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980147133f554a/文档/TITIP/MAUL/Belajar Coding/. My Portofolio/shared/"/>
    </mc:Choice>
  </mc:AlternateContent>
  <xr:revisionPtr revIDLastSave="1" documentId="13_ncr:1_{5423FFD9-96CB-4A46-B72B-6D4939688C80}" xr6:coauthVersionLast="47" xr6:coauthVersionMax="47" xr10:uidLastSave="{49A3517A-DEA5-48A5-B535-3416240518DA}"/>
  <bookViews>
    <workbookView showSheetTabs="0" xWindow="-110" yWindow="-110" windowWidth="19420" windowHeight="10300" tabRatio="481" activeTab="4" xr2:uid="{00000000-000D-0000-FFFF-FFFF00000000}"/>
  </bookViews>
  <sheets>
    <sheet name="Dashboard" sheetId="10" r:id="rId1"/>
    <sheet name="REGISTER SK" sheetId="2" r:id="rId2"/>
    <sheet name="Draft SK" sheetId="3" r:id="rId3"/>
    <sheet name="Data Induk Pegawai" sheetId="4" r:id="rId4"/>
    <sheet name="Pegawai Aktif" sheetId="6" r:id="rId5"/>
    <sheet name="Kontrol Perpanjangan" sheetId="12" r:id="rId6"/>
    <sheet name="Rekap Simpan DIP" sheetId="7" r:id="rId7"/>
    <sheet name="data dashboard" sheetId="11" r:id="rId8"/>
  </sheets>
  <definedNames>
    <definedName name="_xlnm._FilterDatabase" localSheetId="3" hidden="1">'Data Induk Pegawai'!$A$5:$V$105</definedName>
    <definedName name="_xlnm._FilterDatabase" localSheetId="2" hidden="1">'Draft SK'!$A$1:$AP$596</definedName>
    <definedName name="_xlnm._FilterDatabase" localSheetId="4" hidden="1">'Pegawai Aktif'!$A$8:$S$8</definedName>
    <definedName name="_xlnm._FilterDatabase" localSheetId="1" hidden="1">'REGISTER SK'!$A$4:$G$370</definedName>
    <definedName name="_xlnm._FilterDatabase" localSheetId="6" hidden="1">'Rekap Simpan DIP'!$B$5:$K$69</definedName>
    <definedName name="_xlnm.Print_Area" localSheetId="3">'Data Induk Pegawai'!$B$1:$P$102</definedName>
    <definedName name="_xlnm.Print_Area" localSheetId="1">'REGISTER SK'!$A$1:$G$400</definedName>
    <definedName name="_xlnm.Print_Area" localSheetId="6">'Rekap Simpan DIP'!$S$3:$Z$43</definedName>
    <definedName name="_xlnm.Print_Titles" localSheetId="3">'Data Induk Pegawai'!$1:$5</definedName>
    <definedName name="_xlnm.Print_Titles" localSheetId="4">'Pegawai Aktif'!$7:$8</definedName>
    <definedName name="_xlnm.Print_Titles" localSheetId="1">'REGISTER SK'!$1:$4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5" i="3" l="1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P595" i="3" l="1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R10" i="3"/>
  <c r="R20" i="3"/>
  <c r="R21" i="3"/>
  <c r="R32" i="3"/>
  <c r="R34" i="3"/>
  <c r="R57" i="3"/>
  <c r="R81" i="3"/>
  <c r="R112" i="3"/>
  <c r="R157" i="3"/>
  <c r="R158" i="3"/>
  <c r="R219" i="3"/>
  <c r="R229" i="3"/>
  <c r="R230" i="3"/>
  <c r="R303" i="3"/>
  <c r="R373" i="3"/>
  <c r="R374" i="3"/>
  <c r="R381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A70" i="7"/>
  <c r="A71" i="7"/>
  <c r="W98" i="4" l="1"/>
  <c r="X98" i="4"/>
  <c r="Z98" i="4"/>
  <c r="K8" i="12"/>
  <c r="L8" i="12"/>
  <c r="Q99" i="4"/>
  <c r="Q102" i="4"/>
  <c r="Q103" i="4"/>
  <c r="Q104" i="4"/>
  <c r="Q105" i="4"/>
  <c r="M99" i="4"/>
  <c r="M100" i="4"/>
  <c r="L100" i="4" s="1"/>
  <c r="M101" i="4"/>
  <c r="L101" i="4" s="1"/>
  <c r="L99" i="4"/>
  <c r="L102" i="4"/>
  <c r="L103" i="4"/>
  <c r="L104" i="4"/>
  <c r="L105" i="4"/>
  <c r="P99" i="4"/>
  <c r="P102" i="4"/>
  <c r="P103" i="4"/>
  <c r="P104" i="4"/>
  <c r="P105" i="4"/>
  <c r="O99" i="4"/>
  <c r="O102" i="4"/>
  <c r="O103" i="4"/>
  <c r="O104" i="4"/>
  <c r="O105" i="4"/>
  <c r="AC6" i="3"/>
  <c r="AC7" i="3"/>
  <c r="AC9" i="3"/>
  <c r="AC10" i="3"/>
  <c r="AC20" i="3"/>
  <c r="AC21" i="3"/>
  <c r="AC29" i="3"/>
  <c r="AC31" i="3"/>
  <c r="AC32" i="3"/>
  <c r="AC34" i="3"/>
  <c r="AC42" i="3"/>
  <c r="AC43" i="3"/>
  <c r="AC57" i="3"/>
  <c r="AC67" i="3"/>
  <c r="AC68" i="3"/>
  <c r="AC81" i="3"/>
  <c r="AC112" i="3"/>
  <c r="AC113" i="3"/>
  <c r="AC157" i="3"/>
  <c r="AC158" i="3"/>
  <c r="AC162" i="3"/>
  <c r="AC205" i="3"/>
  <c r="AC206" i="3"/>
  <c r="AC207" i="3"/>
  <c r="AC208" i="3"/>
  <c r="AC219" i="3"/>
  <c r="AC229" i="3"/>
  <c r="AC230" i="3"/>
  <c r="AC231" i="3"/>
  <c r="AC232" i="3"/>
  <c r="AC241" i="3"/>
  <c r="AC242" i="3"/>
  <c r="AC243" i="3"/>
  <c r="AC303" i="3"/>
  <c r="AC304" i="3"/>
  <c r="AC373" i="3"/>
  <c r="AC374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6" i="7"/>
  <c r="U8" i="12"/>
  <c r="C18" i="11" s="1"/>
  <c r="I8" i="12"/>
  <c r="J8" i="12"/>
  <c r="F7" i="12"/>
  <c r="C3" i="12"/>
  <c r="H8" i="12"/>
  <c r="G8" i="12"/>
  <c r="E7" i="12"/>
  <c r="D7" i="12"/>
  <c r="C7" i="12"/>
  <c r="B7" i="12"/>
  <c r="AU6" i="3" l="1"/>
  <c r="AU7" i="3"/>
  <c r="AU9" i="3"/>
  <c r="AU10" i="3"/>
  <c r="AU20" i="3"/>
  <c r="AU21" i="3"/>
  <c r="AU29" i="3"/>
  <c r="AU31" i="3"/>
  <c r="AU32" i="3"/>
  <c r="AU34" i="3"/>
  <c r="AU42" i="3"/>
  <c r="AU43" i="3"/>
  <c r="AU57" i="3"/>
  <c r="AU67" i="3"/>
  <c r="AU68" i="3"/>
  <c r="AU81" i="3"/>
  <c r="AU112" i="3"/>
  <c r="AU113" i="3"/>
  <c r="AU157" i="3"/>
  <c r="AU158" i="3"/>
  <c r="AU205" i="3"/>
  <c r="AU206" i="3"/>
  <c r="AU207" i="3"/>
  <c r="AU208" i="3"/>
  <c r="AU219" i="3"/>
  <c r="AU229" i="3"/>
  <c r="AU230" i="3"/>
  <c r="AU231" i="3"/>
  <c r="AU241" i="3"/>
  <c r="AU242" i="3"/>
  <c r="AU243" i="3"/>
  <c r="AU303" i="3"/>
  <c r="AU373" i="3"/>
  <c r="AU374" i="3"/>
  <c r="AU381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M382" i="3"/>
  <c r="AU382" i="3" s="1"/>
  <c r="D19" i="11"/>
  <c r="E19" i="11" s="1"/>
  <c r="B11" i="11" l="1" a="1"/>
  <c r="B11" i="11" s="1"/>
  <c r="B10" i="11" a="1"/>
  <c r="B10" i="11" s="1"/>
  <c r="B9" i="11" a="1"/>
  <c r="B9" i="11" s="1"/>
  <c r="B8" i="11" a="1"/>
  <c r="B8" i="11" s="1"/>
  <c r="B7" i="11" a="1"/>
  <c r="B7" i="11" s="1"/>
  <c r="B3" i="11" a="1"/>
  <c r="B3" i="11" s="1"/>
  <c r="B2" i="11" a="1"/>
  <c r="B2" i="11" s="1"/>
  <c r="D20" i="11"/>
  <c r="E20" i="11" s="1"/>
  <c r="D21" i="11"/>
  <c r="E21" i="11" s="1"/>
  <c r="D22" i="11"/>
  <c r="E22" i="11" s="1"/>
  <c r="D23" i="11"/>
  <c r="E23" i="11" s="1"/>
  <c r="C14" i="11"/>
  <c r="B14" i="11" s="1"/>
  <c r="AC380" i="3"/>
  <c r="AC379" i="3"/>
  <c r="Z100" i="4"/>
  <c r="X100" i="4"/>
  <c r="W100" i="4"/>
  <c r="N100" i="4"/>
  <c r="Z97" i="4"/>
  <c r="X97" i="4"/>
  <c r="W97" i="4"/>
  <c r="Z96" i="4"/>
  <c r="X96" i="4"/>
  <c r="W96" i="4"/>
  <c r="AC378" i="3"/>
  <c r="AC377" i="3"/>
  <c r="AC376" i="3"/>
  <c r="AC375" i="3"/>
  <c r="AC363" i="3"/>
  <c r="D18" i="11" l="1"/>
  <c r="E18" i="11" s="1"/>
  <c r="B12" i="11"/>
  <c r="B4" i="11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1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6" i="3"/>
  <c r="BA557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2" i="3"/>
  <c r="BA573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8" i="3"/>
  <c r="BA589" i="3"/>
  <c r="BA590" i="3"/>
  <c r="BA591" i="3"/>
  <c r="BA592" i="3"/>
  <c r="BA593" i="3"/>
  <c r="BA594" i="3"/>
  <c r="BA595" i="3"/>
  <c r="BA596" i="3"/>
  <c r="AC372" i="3"/>
  <c r="AC371" i="3"/>
  <c r="AC370" i="3"/>
  <c r="AC369" i="3"/>
  <c r="AC368" i="3"/>
  <c r="AC367" i="3"/>
  <c r="AC366" i="3"/>
  <c r="AC365" i="3"/>
  <c r="AC364" i="3"/>
  <c r="Z95" i="4"/>
  <c r="X95" i="4"/>
  <c r="W95" i="4"/>
  <c r="Z94" i="4"/>
  <c r="X94" i="4"/>
  <c r="W94" i="4"/>
  <c r="Z93" i="4"/>
  <c r="X93" i="4"/>
  <c r="W93" i="4"/>
  <c r="Z91" i="4"/>
  <c r="X91" i="4"/>
  <c r="W91" i="4"/>
  <c r="Z92" i="4"/>
  <c r="X92" i="4"/>
  <c r="W92" i="4"/>
  <c r="Z89" i="4"/>
  <c r="X89" i="4"/>
  <c r="W89" i="4"/>
  <c r="W90" i="4"/>
  <c r="X90" i="4"/>
  <c r="Z90" i="4"/>
  <c r="Z88" i="4"/>
  <c r="X88" i="4"/>
  <c r="W88" i="4"/>
  <c r="Z87" i="4"/>
  <c r="X87" i="4"/>
  <c r="W87" i="4"/>
  <c r="M363" i="3"/>
  <c r="AU363" i="3" s="1"/>
  <c r="BA366" i="3"/>
  <c r="BA367" i="3"/>
  <c r="W7" i="4"/>
  <c r="X7" i="4"/>
  <c r="W8" i="4"/>
  <c r="X8" i="4"/>
  <c r="W9" i="4"/>
  <c r="X9" i="4"/>
  <c r="W10" i="4"/>
  <c r="X10" i="4"/>
  <c r="W11" i="4"/>
  <c r="X11" i="4"/>
  <c r="W12" i="4"/>
  <c r="X12" i="4"/>
  <c r="W13" i="4"/>
  <c r="X13" i="4"/>
  <c r="W14" i="4"/>
  <c r="X14" i="4"/>
  <c r="W15" i="4"/>
  <c r="X15" i="4"/>
  <c r="W16" i="4"/>
  <c r="X16" i="4"/>
  <c r="W17" i="4"/>
  <c r="X17" i="4"/>
  <c r="W18" i="4"/>
  <c r="X18" i="4"/>
  <c r="W19" i="4"/>
  <c r="X19" i="4"/>
  <c r="W20" i="4"/>
  <c r="X20" i="4"/>
  <c r="W21" i="4"/>
  <c r="X21" i="4"/>
  <c r="W22" i="4"/>
  <c r="X22" i="4"/>
  <c r="W23" i="4"/>
  <c r="X23" i="4"/>
  <c r="W24" i="4"/>
  <c r="X24" i="4"/>
  <c r="W25" i="4"/>
  <c r="X25" i="4"/>
  <c r="W26" i="4"/>
  <c r="X26" i="4"/>
  <c r="W27" i="4"/>
  <c r="X27" i="4"/>
  <c r="W28" i="4"/>
  <c r="X28" i="4"/>
  <c r="W29" i="4"/>
  <c r="X29" i="4"/>
  <c r="W30" i="4"/>
  <c r="X30" i="4"/>
  <c r="W31" i="4"/>
  <c r="X31" i="4"/>
  <c r="W32" i="4"/>
  <c r="X32" i="4"/>
  <c r="W33" i="4"/>
  <c r="X33" i="4"/>
  <c r="W34" i="4"/>
  <c r="X34" i="4"/>
  <c r="W35" i="4"/>
  <c r="X35" i="4"/>
  <c r="W36" i="4"/>
  <c r="X36" i="4"/>
  <c r="W37" i="4"/>
  <c r="X37" i="4"/>
  <c r="W38" i="4"/>
  <c r="X38" i="4"/>
  <c r="W39" i="4"/>
  <c r="X39" i="4"/>
  <c r="W40" i="4"/>
  <c r="X40" i="4"/>
  <c r="W41" i="4"/>
  <c r="X41" i="4"/>
  <c r="W42" i="4"/>
  <c r="X42" i="4"/>
  <c r="W43" i="4"/>
  <c r="X43" i="4"/>
  <c r="W44" i="4"/>
  <c r="X44" i="4"/>
  <c r="W45" i="4"/>
  <c r="X45" i="4"/>
  <c r="W46" i="4"/>
  <c r="X46" i="4"/>
  <c r="W47" i="4"/>
  <c r="X47" i="4"/>
  <c r="W48" i="4"/>
  <c r="X48" i="4"/>
  <c r="W49" i="4"/>
  <c r="X49" i="4"/>
  <c r="W50" i="4"/>
  <c r="X50" i="4"/>
  <c r="W51" i="4"/>
  <c r="X51" i="4"/>
  <c r="W52" i="4"/>
  <c r="X52" i="4"/>
  <c r="W53" i="4"/>
  <c r="X53" i="4"/>
  <c r="W54" i="4"/>
  <c r="X54" i="4"/>
  <c r="W55" i="4"/>
  <c r="X55" i="4"/>
  <c r="W56" i="4"/>
  <c r="X56" i="4"/>
  <c r="W57" i="4"/>
  <c r="X57" i="4"/>
  <c r="W58" i="4"/>
  <c r="X58" i="4"/>
  <c r="W59" i="4"/>
  <c r="X59" i="4"/>
  <c r="W60" i="4"/>
  <c r="X60" i="4"/>
  <c r="W61" i="4"/>
  <c r="X61" i="4"/>
  <c r="W62" i="4"/>
  <c r="X62" i="4"/>
  <c r="W63" i="4"/>
  <c r="X63" i="4"/>
  <c r="W64" i="4"/>
  <c r="X64" i="4"/>
  <c r="W65" i="4"/>
  <c r="X65" i="4"/>
  <c r="W66" i="4"/>
  <c r="X66" i="4"/>
  <c r="W67" i="4"/>
  <c r="X67" i="4"/>
  <c r="W68" i="4"/>
  <c r="X68" i="4"/>
  <c r="W69" i="4"/>
  <c r="X69" i="4"/>
  <c r="W70" i="4"/>
  <c r="X70" i="4"/>
  <c r="W71" i="4"/>
  <c r="X71" i="4"/>
  <c r="W72" i="4"/>
  <c r="X72" i="4"/>
  <c r="W73" i="4"/>
  <c r="X73" i="4"/>
  <c r="W74" i="4"/>
  <c r="X74" i="4"/>
  <c r="W75" i="4"/>
  <c r="X75" i="4"/>
  <c r="W76" i="4"/>
  <c r="X76" i="4"/>
  <c r="W77" i="4"/>
  <c r="X77" i="4"/>
  <c r="W78" i="4"/>
  <c r="X78" i="4"/>
  <c r="W79" i="4"/>
  <c r="X79" i="4"/>
  <c r="W80" i="4"/>
  <c r="X80" i="4"/>
  <c r="W81" i="4"/>
  <c r="X81" i="4"/>
  <c r="W82" i="4"/>
  <c r="X82" i="4"/>
  <c r="W83" i="4"/>
  <c r="X83" i="4"/>
  <c r="W84" i="4"/>
  <c r="X84" i="4"/>
  <c r="W85" i="4"/>
  <c r="X85" i="4"/>
  <c r="W86" i="4"/>
  <c r="X86" i="4"/>
  <c r="W99" i="4"/>
  <c r="X99" i="4"/>
  <c r="W101" i="4"/>
  <c r="X101" i="4"/>
  <c r="W102" i="4"/>
  <c r="X102" i="4"/>
  <c r="W103" i="4"/>
  <c r="X103" i="4"/>
  <c r="W104" i="4"/>
  <c r="X104" i="4"/>
  <c r="W105" i="4"/>
  <c r="X105" i="4"/>
  <c r="X6" i="4"/>
  <c r="W6" i="4"/>
  <c r="F8" i="6"/>
  <c r="R102" i="4"/>
  <c r="R103" i="4"/>
  <c r="R104" i="4"/>
  <c r="R105" i="4"/>
  <c r="N102" i="4"/>
  <c r="N103" i="4"/>
  <c r="N104" i="4"/>
  <c r="N105" i="4"/>
  <c r="N99" i="4"/>
  <c r="AB4" i="6"/>
  <c r="AB5" i="6"/>
  <c r="AB6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3" i="6"/>
  <c r="J7" i="6"/>
  <c r="S8" i="6"/>
  <c r="R8" i="6"/>
  <c r="Q8" i="6"/>
  <c r="P8" i="6"/>
  <c r="O8" i="6"/>
  <c r="N8" i="6"/>
  <c r="M7" i="6"/>
  <c r="L7" i="6"/>
  <c r="K7" i="6"/>
  <c r="I7" i="6"/>
  <c r="H7" i="6"/>
  <c r="G7" i="6"/>
  <c r="E8" i="6"/>
  <c r="D7" i="6"/>
  <c r="C7" i="6"/>
  <c r="B7" i="6"/>
  <c r="N101" i="4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2" i="3"/>
  <c r="Z99" i="4"/>
  <c r="A101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E6" i="3"/>
  <c r="AE7" i="3"/>
  <c r="AE9" i="3"/>
  <c r="AE34" i="3"/>
  <c r="AE42" i="3"/>
  <c r="AE43" i="3"/>
  <c r="AE113" i="3"/>
  <c r="AE230" i="3"/>
  <c r="AE231" i="3"/>
  <c r="L363" i="3"/>
  <c r="I363" i="3"/>
  <c r="W363" i="3"/>
  <c r="AC362" i="3"/>
  <c r="M362" i="3"/>
  <c r="AU362" i="3" s="1"/>
  <c r="L362" i="3"/>
  <c r="I362" i="3"/>
  <c r="AC361" i="3"/>
  <c r="M361" i="3"/>
  <c r="AU361" i="3" s="1"/>
  <c r="L361" i="3"/>
  <c r="I361" i="3"/>
  <c r="AC360" i="3"/>
  <c r="M360" i="3"/>
  <c r="AU360" i="3" s="1"/>
  <c r="L360" i="3"/>
  <c r="I360" i="3"/>
  <c r="M359" i="3"/>
  <c r="AU359" i="3" s="1"/>
  <c r="L359" i="3"/>
  <c r="I359" i="3"/>
  <c r="M358" i="3"/>
  <c r="AU358" i="3" s="1"/>
  <c r="L358" i="3"/>
  <c r="I358" i="3"/>
  <c r="AC357" i="3"/>
  <c r="M357" i="3"/>
  <c r="AU357" i="3" s="1"/>
  <c r="L357" i="3"/>
  <c r="I357" i="3"/>
  <c r="AC356" i="3"/>
  <c r="M356" i="3"/>
  <c r="AU356" i="3" s="1"/>
  <c r="L356" i="3"/>
  <c r="I356" i="3"/>
  <c r="AC355" i="3"/>
  <c r="M355" i="3"/>
  <c r="AU355" i="3" s="1"/>
  <c r="L355" i="3"/>
  <c r="I355" i="3"/>
  <c r="M364" i="3"/>
  <c r="AU364" i="3" s="1"/>
  <c r="L364" i="3"/>
  <c r="I364" i="3"/>
  <c r="W364" i="3"/>
  <c r="S10" i="3"/>
  <c r="S20" i="3"/>
  <c r="S21" i="3"/>
  <c r="S32" i="3"/>
  <c r="S34" i="3"/>
  <c r="S57" i="3"/>
  <c r="S81" i="3"/>
  <c r="S112" i="3"/>
  <c r="S157" i="3"/>
  <c r="S158" i="3"/>
  <c r="S219" i="3"/>
  <c r="S229" i="3"/>
  <c r="S230" i="3"/>
  <c r="S303" i="3"/>
  <c r="S373" i="3"/>
  <c r="S381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P596" i="3"/>
  <c r="W243" i="3"/>
  <c r="W242" i="3"/>
  <c r="W241" i="3"/>
  <c r="AC354" i="3"/>
  <c r="M354" i="3"/>
  <c r="AU354" i="3" s="1"/>
  <c r="L354" i="3"/>
  <c r="I354" i="3"/>
  <c r="AC353" i="3"/>
  <c r="M353" i="3"/>
  <c r="AU353" i="3" s="1"/>
  <c r="L353" i="3"/>
  <c r="I353" i="3"/>
  <c r="AC352" i="3"/>
  <c r="M352" i="3"/>
  <c r="AU352" i="3" s="1"/>
  <c r="L352" i="3"/>
  <c r="I352" i="3"/>
  <c r="AC351" i="3"/>
  <c r="M351" i="3"/>
  <c r="AU351" i="3" s="1"/>
  <c r="L351" i="3"/>
  <c r="I351" i="3"/>
  <c r="AC350" i="3"/>
  <c r="M350" i="3"/>
  <c r="AU350" i="3" s="1"/>
  <c r="L350" i="3"/>
  <c r="I350" i="3"/>
  <c r="AC349" i="3"/>
  <c r="M349" i="3"/>
  <c r="AU349" i="3" s="1"/>
  <c r="L349" i="3"/>
  <c r="I349" i="3"/>
  <c r="AC348" i="3"/>
  <c r="M348" i="3"/>
  <c r="AU348" i="3" s="1"/>
  <c r="L348" i="3"/>
  <c r="I348" i="3"/>
  <c r="AC347" i="3"/>
  <c r="M347" i="3"/>
  <c r="AU347" i="3" s="1"/>
  <c r="L347" i="3"/>
  <c r="I347" i="3"/>
  <c r="AC346" i="3"/>
  <c r="M346" i="3"/>
  <c r="AU346" i="3" s="1"/>
  <c r="L346" i="3"/>
  <c r="I346" i="3"/>
  <c r="AC345" i="3"/>
  <c r="M345" i="3"/>
  <c r="AU345" i="3" s="1"/>
  <c r="L345" i="3"/>
  <c r="I345" i="3"/>
  <c r="BA365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" i="3"/>
  <c r="M365" i="3"/>
  <c r="AU365" i="3" s="1"/>
  <c r="L365" i="3"/>
  <c r="I365" i="3"/>
  <c r="AC344" i="3"/>
  <c r="M344" i="3"/>
  <c r="AU344" i="3" s="1"/>
  <c r="L344" i="3"/>
  <c r="I344" i="3"/>
  <c r="AC343" i="3"/>
  <c r="M343" i="3"/>
  <c r="AU343" i="3" s="1"/>
  <c r="L343" i="3"/>
  <c r="I343" i="3"/>
  <c r="Z86" i="4"/>
  <c r="Z101" i="4"/>
  <c r="M366" i="3"/>
  <c r="AU366" i="3" s="1"/>
  <c r="L366" i="3"/>
  <c r="I366" i="3"/>
  <c r="M367" i="3"/>
  <c r="AU367" i="3" s="1"/>
  <c r="L367" i="3"/>
  <c r="I367" i="3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6" i="4"/>
  <c r="E4" i="6"/>
  <c r="N596" i="3"/>
  <c r="M119" i="3"/>
  <c r="AU119" i="3" s="1"/>
  <c r="W358" i="3" l="1"/>
  <c r="AC358" i="3"/>
  <c r="W359" i="3"/>
  <c r="AC359" i="3"/>
  <c r="AT360" i="3"/>
  <c r="AA98" i="4"/>
  <c r="AA100" i="4"/>
  <c r="A100" i="4" s="1"/>
  <c r="AA6" i="4"/>
  <c r="A6" i="4" s="1"/>
  <c r="AA97" i="4"/>
  <c r="AA96" i="4"/>
  <c r="AA95" i="4"/>
  <c r="AA88" i="4"/>
  <c r="AA92" i="4"/>
  <c r="AA93" i="4"/>
  <c r="AA91" i="4"/>
  <c r="AA87" i="4"/>
  <c r="AA94" i="4"/>
  <c r="AA90" i="4"/>
  <c r="AA89" i="4"/>
  <c r="AR366" i="3"/>
  <c r="AR367" i="3"/>
  <c r="AT363" i="3"/>
  <c r="AA99" i="4"/>
  <c r="A99" i="4" s="1"/>
  <c r="AS355" i="3"/>
  <c r="AT362" i="3"/>
  <c r="AR359" i="3"/>
  <c r="AR358" i="3"/>
  <c r="AR352" i="3"/>
  <c r="Q5" i="7"/>
  <c r="P5" i="7"/>
  <c r="O6" i="7" s="1"/>
  <c r="P6" i="7" s="1"/>
  <c r="O7" i="7" s="1"/>
  <c r="Q7" i="7" s="1"/>
  <c r="W357" i="3"/>
  <c r="W356" i="3"/>
  <c r="W355" i="3"/>
  <c r="W360" i="3"/>
  <c r="W362" i="3"/>
  <c r="W361" i="3"/>
  <c r="W345" i="3"/>
  <c r="W349" i="3"/>
  <c r="W353" i="3"/>
  <c r="W346" i="3"/>
  <c r="W350" i="3"/>
  <c r="W354" i="3"/>
  <c r="W348" i="3"/>
  <c r="W351" i="3"/>
  <c r="W347" i="3"/>
  <c r="W352" i="3"/>
  <c r="W343" i="3"/>
  <c r="W365" i="3"/>
  <c r="W344" i="3"/>
  <c r="W366" i="3"/>
  <c r="AA86" i="4"/>
  <c r="AA101" i="4"/>
  <c r="A101" i="4" s="1"/>
  <c r="AS362" i="3"/>
  <c r="AR360" i="3"/>
  <c r="AT359" i="3"/>
  <c r="AS359" i="3"/>
  <c r="AT366" i="3"/>
  <c r="AS366" i="3"/>
  <c r="AT355" i="3"/>
  <c r="AT352" i="3"/>
  <c r="AR354" i="3"/>
  <c r="AS354" i="3"/>
  <c r="AT354" i="3"/>
  <c r="AR362" i="3"/>
  <c r="AR355" i="3"/>
  <c r="AR361" i="3"/>
  <c r="AS361" i="3"/>
  <c r="AT361" i="3"/>
  <c r="AT353" i="3"/>
  <c r="AR353" i="3"/>
  <c r="AS353" i="3"/>
  <c r="AH119" i="3"/>
  <c r="AR119" i="3"/>
  <c r="AS119" i="3"/>
  <c r="AT119" i="3"/>
  <c r="AS364" i="3"/>
  <c r="AT364" i="3"/>
  <c r="AR363" i="3"/>
  <c r="AS363" i="3"/>
  <c r="AR356" i="3"/>
  <c r="AS356" i="3"/>
  <c r="AT356" i="3"/>
  <c r="AR365" i="3"/>
  <c r="AS365" i="3"/>
  <c r="AT365" i="3"/>
  <c r="AR357" i="3"/>
  <c r="AS357" i="3"/>
  <c r="AT357" i="3"/>
  <c r="AR364" i="3"/>
  <c r="AS352" i="3"/>
  <c r="AS358" i="3"/>
  <c r="AT358" i="3"/>
  <c r="AS367" i="3"/>
  <c r="AT367" i="3"/>
  <c r="AS360" i="3"/>
  <c r="W367" i="3"/>
  <c r="AA9" i="4"/>
  <c r="A9" i="4" s="1"/>
  <c r="AA73" i="4"/>
  <c r="A73" i="4" s="1"/>
  <c r="AA57" i="4"/>
  <c r="A57" i="4" s="1"/>
  <c r="AA33" i="4"/>
  <c r="A33" i="4" s="1"/>
  <c r="AA81" i="4"/>
  <c r="A81" i="4" s="1"/>
  <c r="AA65" i="4"/>
  <c r="A65" i="4" s="1"/>
  <c r="AA49" i="4"/>
  <c r="A49" i="4" s="1"/>
  <c r="AA41" i="4"/>
  <c r="A41" i="4" s="1"/>
  <c r="AA25" i="4"/>
  <c r="A25" i="4" s="1"/>
  <c r="AA17" i="4"/>
  <c r="A17" i="4" s="1"/>
  <c r="AA7" i="4"/>
  <c r="AA60" i="4"/>
  <c r="A60" i="4" s="1"/>
  <c r="AA28" i="4"/>
  <c r="A28" i="4" s="1"/>
  <c r="AA80" i="4"/>
  <c r="A80" i="4" s="1"/>
  <c r="AA72" i="4"/>
  <c r="A72" i="4" s="1"/>
  <c r="AA64" i="4"/>
  <c r="A64" i="4" s="1"/>
  <c r="AA56" i="4"/>
  <c r="A56" i="4" s="1"/>
  <c r="AA48" i="4"/>
  <c r="A48" i="4" s="1"/>
  <c r="AA40" i="4"/>
  <c r="A40" i="4" s="1"/>
  <c r="AA32" i="4"/>
  <c r="A32" i="4" s="1"/>
  <c r="AA24" i="4"/>
  <c r="A24" i="4" s="1"/>
  <c r="AA16" i="4"/>
  <c r="A16" i="4" s="1"/>
  <c r="AA8" i="4"/>
  <c r="A8" i="4" s="1"/>
  <c r="AA20" i="4"/>
  <c r="A20" i="4" s="1"/>
  <c r="AA36" i="4"/>
  <c r="A36" i="4" s="1"/>
  <c r="AA52" i="4"/>
  <c r="A52" i="4" s="1"/>
  <c r="AA68" i="4"/>
  <c r="A68" i="4" s="1"/>
  <c r="AA84" i="4"/>
  <c r="A84" i="4" s="1"/>
  <c r="AA59" i="4"/>
  <c r="A59" i="4" s="1"/>
  <c r="AA27" i="4"/>
  <c r="A27" i="4" s="1"/>
  <c r="AA58" i="4"/>
  <c r="A58" i="4" s="1"/>
  <c r="AA26" i="4"/>
  <c r="A26" i="4" s="1"/>
  <c r="AA76" i="4"/>
  <c r="A76" i="4" s="1"/>
  <c r="AA44" i="4"/>
  <c r="A44" i="4" s="1"/>
  <c r="AA12" i="4"/>
  <c r="A12" i="4" s="1"/>
  <c r="AA75" i="4"/>
  <c r="A75" i="4" s="1"/>
  <c r="AA43" i="4"/>
  <c r="A43" i="4" s="1"/>
  <c r="AA11" i="4"/>
  <c r="A11" i="4" s="1"/>
  <c r="AA83" i="4"/>
  <c r="A83" i="4" s="1"/>
  <c r="AA67" i="4"/>
  <c r="A67" i="4" s="1"/>
  <c r="AA51" i="4"/>
  <c r="A51" i="4" s="1"/>
  <c r="AA35" i="4"/>
  <c r="A35" i="4" s="1"/>
  <c r="AA19" i="4"/>
  <c r="A19" i="4" s="1"/>
  <c r="AA74" i="4"/>
  <c r="A74" i="4" s="1"/>
  <c r="AA42" i="4"/>
  <c r="A42" i="4" s="1"/>
  <c r="AA10" i="4"/>
  <c r="A10" i="4" s="1"/>
  <c r="AA82" i="4"/>
  <c r="A82" i="4" s="1"/>
  <c r="AA66" i="4"/>
  <c r="A66" i="4" s="1"/>
  <c r="AA50" i="4"/>
  <c r="A50" i="4" s="1"/>
  <c r="AA34" i="4"/>
  <c r="A34" i="4" s="1"/>
  <c r="AA18" i="4"/>
  <c r="A18" i="4" s="1"/>
  <c r="AA79" i="4"/>
  <c r="A79" i="4" s="1"/>
  <c r="AA71" i="4"/>
  <c r="A71" i="4" s="1"/>
  <c r="AA63" i="4"/>
  <c r="A63" i="4" s="1"/>
  <c r="AA55" i="4"/>
  <c r="A55" i="4" s="1"/>
  <c r="AA47" i="4"/>
  <c r="A47" i="4" s="1"/>
  <c r="AA39" i="4"/>
  <c r="A39" i="4" s="1"/>
  <c r="AA31" i="4"/>
  <c r="A31" i="4" s="1"/>
  <c r="AA23" i="4"/>
  <c r="A23" i="4" s="1"/>
  <c r="AA15" i="4"/>
  <c r="A15" i="4" s="1"/>
  <c r="AA78" i="4"/>
  <c r="A78" i="4" s="1"/>
  <c r="AA70" i="4"/>
  <c r="A70" i="4" s="1"/>
  <c r="AA62" i="4"/>
  <c r="A62" i="4" s="1"/>
  <c r="AA54" i="4"/>
  <c r="A54" i="4" s="1"/>
  <c r="AA46" i="4"/>
  <c r="A46" i="4" s="1"/>
  <c r="AA38" i="4"/>
  <c r="A38" i="4" s="1"/>
  <c r="AA30" i="4"/>
  <c r="A30" i="4" s="1"/>
  <c r="AA22" i="4"/>
  <c r="A22" i="4" s="1"/>
  <c r="AA14" i="4"/>
  <c r="A14" i="4" s="1"/>
  <c r="AA85" i="4"/>
  <c r="A85" i="4" s="1"/>
  <c r="AA77" i="4"/>
  <c r="A77" i="4" s="1"/>
  <c r="AA69" i="4"/>
  <c r="A69" i="4" s="1"/>
  <c r="AA61" i="4"/>
  <c r="A61" i="4" s="1"/>
  <c r="AA53" i="4"/>
  <c r="A53" i="4" s="1"/>
  <c r="AA45" i="4"/>
  <c r="A45" i="4" s="1"/>
  <c r="AA37" i="4"/>
  <c r="A37" i="4" s="1"/>
  <c r="AA29" i="4"/>
  <c r="A29" i="4" s="1"/>
  <c r="AA21" i="4"/>
  <c r="A21" i="4" s="1"/>
  <c r="AA13" i="4"/>
  <c r="A13" i="4" s="1"/>
  <c r="M3" i="3"/>
  <c r="AU3" i="3" s="1"/>
  <c r="M4" i="3"/>
  <c r="AU4" i="3" s="1"/>
  <c r="M5" i="3"/>
  <c r="AU5" i="3" s="1"/>
  <c r="M6" i="3"/>
  <c r="M7" i="3"/>
  <c r="M8" i="3"/>
  <c r="AU8" i="3" s="1"/>
  <c r="M9" i="3"/>
  <c r="M10" i="3"/>
  <c r="M11" i="3"/>
  <c r="AU11" i="3" s="1"/>
  <c r="M12" i="3"/>
  <c r="AU12" i="3" s="1"/>
  <c r="M13" i="3"/>
  <c r="AU13" i="3" s="1"/>
  <c r="M14" i="3"/>
  <c r="AU14" i="3" s="1"/>
  <c r="M15" i="3"/>
  <c r="AU15" i="3" s="1"/>
  <c r="M16" i="3"/>
  <c r="AU16" i="3" s="1"/>
  <c r="M17" i="3"/>
  <c r="AU17" i="3" s="1"/>
  <c r="M18" i="3"/>
  <c r="AU18" i="3" s="1"/>
  <c r="M19" i="3"/>
  <c r="AU19" i="3" s="1"/>
  <c r="M20" i="3"/>
  <c r="M21" i="3"/>
  <c r="M22" i="3"/>
  <c r="AU22" i="3" s="1"/>
  <c r="M23" i="3"/>
  <c r="AU23" i="3" s="1"/>
  <c r="M24" i="3"/>
  <c r="AU24" i="3" s="1"/>
  <c r="M25" i="3"/>
  <c r="AU25" i="3" s="1"/>
  <c r="M26" i="3"/>
  <c r="AU26" i="3" s="1"/>
  <c r="M27" i="3"/>
  <c r="AU27" i="3" s="1"/>
  <c r="M28" i="3"/>
  <c r="AU28" i="3" s="1"/>
  <c r="M29" i="3"/>
  <c r="M30" i="3"/>
  <c r="AU30" i="3" s="1"/>
  <c r="M31" i="3"/>
  <c r="M32" i="3"/>
  <c r="M33" i="3"/>
  <c r="AU33" i="3" s="1"/>
  <c r="M34" i="3"/>
  <c r="M35" i="3"/>
  <c r="AU35" i="3" s="1"/>
  <c r="M36" i="3"/>
  <c r="AU36" i="3" s="1"/>
  <c r="M37" i="3"/>
  <c r="AU37" i="3" s="1"/>
  <c r="M38" i="3"/>
  <c r="AU38" i="3" s="1"/>
  <c r="M39" i="3"/>
  <c r="AU39" i="3" s="1"/>
  <c r="M40" i="3"/>
  <c r="AU40" i="3" s="1"/>
  <c r="M41" i="3"/>
  <c r="AU41" i="3" s="1"/>
  <c r="M42" i="3"/>
  <c r="M43" i="3"/>
  <c r="M44" i="3"/>
  <c r="AU44" i="3" s="1"/>
  <c r="M45" i="3"/>
  <c r="AU45" i="3" s="1"/>
  <c r="M46" i="3"/>
  <c r="AU46" i="3" s="1"/>
  <c r="M47" i="3"/>
  <c r="AU47" i="3" s="1"/>
  <c r="M48" i="3"/>
  <c r="AU48" i="3" s="1"/>
  <c r="M49" i="3"/>
  <c r="AU49" i="3" s="1"/>
  <c r="M50" i="3"/>
  <c r="AU50" i="3" s="1"/>
  <c r="M51" i="3"/>
  <c r="AU51" i="3" s="1"/>
  <c r="M52" i="3"/>
  <c r="AU52" i="3" s="1"/>
  <c r="M53" i="3"/>
  <c r="AU53" i="3" s="1"/>
  <c r="M54" i="3"/>
  <c r="AU54" i="3" s="1"/>
  <c r="M55" i="3"/>
  <c r="AU55" i="3" s="1"/>
  <c r="M56" i="3"/>
  <c r="AU56" i="3" s="1"/>
  <c r="M57" i="3"/>
  <c r="M58" i="3"/>
  <c r="AU58" i="3" s="1"/>
  <c r="M59" i="3"/>
  <c r="AU59" i="3" s="1"/>
  <c r="M60" i="3"/>
  <c r="AU60" i="3" s="1"/>
  <c r="M61" i="3"/>
  <c r="AU61" i="3" s="1"/>
  <c r="M62" i="3"/>
  <c r="AU62" i="3" s="1"/>
  <c r="M63" i="3"/>
  <c r="AU63" i="3" s="1"/>
  <c r="M64" i="3"/>
  <c r="AU64" i="3" s="1"/>
  <c r="M65" i="3"/>
  <c r="AU65" i="3" s="1"/>
  <c r="M66" i="3"/>
  <c r="AU66" i="3" s="1"/>
  <c r="M67" i="3"/>
  <c r="M68" i="3"/>
  <c r="M69" i="3"/>
  <c r="AU69" i="3" s="1"/>
  <c r="M70" i="3"/>
  <c r="AU70" i="3" s="1"/>
  <c r="M71" i="3"/>
  <c r="AU71" i="3" s="1"/>
  <c r="M72" i="3"/>
  <c r="AU72" i="3" s="1"/>
  <c r="M73" i="3"/>
  <c r="AU73" i="3" s="1"/>
  <c r="M74" i="3"/>
  <c r="AU74" i="3" s="1"/>
  <c r="M75" i="3"/>
  <c r="AU75" i="3" s="1"/>
  <c r="M76" i="3"/>
  <c r="AU76" i="3" s="1"/>
  <c r="M77" i="3"/>
  <c r="AU77" i="3" s="1"/>
  <c r="M78" i="3"/>
  <c r="AU78" i="3" s="1"/>
  <c r="M79" i="3"/>
  <c r="AU79" i="3" s="1"/>
  <c r="M80" i="3"/>
  <c r="AU80" i="3" s="1"/>
  <c r="M81" i="3"/>
  <c r="M82" i="3"/>
  <c r="AU82" i="3" s="1"/>
  <c r="M83" i="3"/>
  <c r="AU83" i="3" s="1"/>
  <c r="M84" i="3"/>
  <c r="AU84" i="3" s="1"/>
  <c r="M85" i="3"/>
  <c r="AU85" i="3" s="1"/>
  <c r="M86" i="3"/>
  <c r="AU86" i="3" s="1"/>
  <c r="M87" i="3"/>
  <c r="AU87" i="3" s="1"/>
  <c r="M88" i="3"/>
  <c r="AU88" i="3" s="1"/>
  <c r="M89" i="3"/>
  <c r="AU89" i="3" s="1"/>
  <c r="M90" i="3"/>
  <c r="AU90" i="3" s="1"/>
  <c r="M91" i="3"/>
  <c r="AU91" i="3" s="1"/>
  <c r="M92" i="3"/>
  <c r="AU92" i="3" s="1"/>
  <c r="M93" i="3"/>
  <c r="AU93" i="3" s="1"/>
  <c r="M94" i="3"/>
  <c r="AU94" i="3" s="1"/>
  <c r="M95" i="3"/>
  <c r="AU95" i="3" s="1"/>
  <c r="M96" i="3"/>
  <c r="AU96" i="3" s="1"/>
  <c r="M97" i="3"/>
  <c r="AU97" i="3" s="1"/>
  <c r="M98" i="3"/>
  <c r="AU98" i="3" s="1"/>
  <c r="M99" i="3"/>
  <c r="AU99" i="3" s="1"/>
  <c r="M100" i="3"/>
  <c r="AU100" i="3" s="1"/>
  <c r="M101" i="3"/>
  <c r="AU101" i="3" s="1"/>
  <c r="M102" i="3"/>
  <c r="AU102" i="3" s="1"/>
  <c r="M103" i="3"/>
  <c r="AU103" i="3" s="1"/>
  <c r="M104" i="3"/>
  <c r="AU104" i="3" s="1"/>
  <c r="M105" i="3"/>
  <c r="AU105" i="3" s="1"/>
  <c r="M106" i="3"/>
  <c r="AU106" i="3" s="1"/>
  <c r="M107" i="3"/>
  <c r="AU107" i="3" s="1"/>
  <c r="M108" i="3"/>
  <c r="AU108" i="3" s="1"/>
  <c r="M109" i="3"/>
  <c r="AU109" i="3" s="1"/>
  <c r="M110" i="3"/>
  <c r="AU110" i="3" s="1"/>
  <c r="M111" i="3"/>
  <c r="AU111" i="3" s="1"/>
  <c r="M112" i="3"/>
  <c r="M113" i="3"/>
  <c r="M114" i="3"/>
  <c r="AU114" i="3" s="1"/>
  <c r="M115" i="3"/>
  <c r="AU115" i="3" s="1"/>
  <c r="M116" i="3"/>
  <c r="AU116" i="3" s="1"/>
  <c r="M117" i="3"/>
  <c r="AU117" i="3" s="1"/>
  <c r="M118" i="3"/>
  <c r="AU118" i="3" s="1"/>
  <c r="M120" i="3"/>
  <c r="AU120" i="3" s="1"/>
  <c r="M121" i="3"/>
  <c r="AU121" i="3" s="1"/>
  <c r="M122" i="3"/>
  <c r="AU122" i="3" s="1"/>
  <c r="M123" i="3"/>
  <c r="AU123" i="3" s="1"/>
  <c r="M124" i="3"/>
  <c r="AU124" i="3" s="1"/>
  <c r="M125" i="3"/>
  <c r="AU125" i="3" s="1"/>
  <c r="M126" i="3"/>
  <c r="AU126" i="3" s="1"/>
  <c r="M127" i="3"/>
  <c r="AU127" i="3" s="1"/>
  <c r="M128" i="3"/>
  <c r="AU128" i="3" s="1"/>
  <c r="M129" i="3"/>
  <c r="AU129" i="3" s="1"/>
  <c r="M130" i="3"/>
  <c r="AU130" i="3" s="1"/>
  <c r="M131" i="3"/>
  <c r="AU131" i="3" s="1"/>
  <c r="M132" i="3"/>
  <c r="AU132" i="3" s="1"/>
  <c r="M133" i="3"/>
  <c r="AU133" i="3" s="1"/>
  <c r="M134" i="3"/>
  <c r="AU134" i="3" s="1"/>
  <c r="M135" i="3"/>
  <c r="AU135" i="3" s="1"/>
  <c r="M136" i="3"/>
  <c r="AU136" i="3" s="1"/>
  <c r="M137" i="3"/>
  <c r="AU137" i="3" s="1"/>
  <c r="M138" i="3"/>
  <c r="AU138" i="3" s="1"/>
  <c r="M139" i="3"/>
  <c r="AU139" i="3" s="1"/>
  <c r="M140" i="3"/>
  <c r="AU140" i="3" s="1"/>
  <c r="M141" i="3"/>
  <c r="AU141" i="3" s="1"/>
  <c r="M142" i="3"/>
  <c r="AU142" i="3" s="1"/>
  <c r="M143" i="3"/>
  <c r="AU143" i="3" s="1"/>
  <c r="M144" i="3"/>
  <c r="AU144" i="3" s="1"/>
  <c r="M145" i="3"/>
  <c r="AU145" i="3" s="1"/>
  <c r="M146" i="3"/>
  <c r="AU146" i="3" s="1"/>
  <c r="M147" i="3"/>
  <c r="AU147" i="3" s="1"/>
  <c r="M148" i="3"/>
  <c r="AU148" i="3" s="1"/>
  <c r="M149" i="3"/>
  <c r="AU149" i="3" s="1"/>
  <c r="M150" i="3"/>
  <c r="AU150" i="3" s="1"/>
  <c r="M151" i="3"/>
  <c r="AU151" i="3" s="1"/>
  <c r="M152" i="3"/>
  <c r="AU152" i="3" s="1"/>
  <c r="M153" i="3"/>
  <c r="AU153" i="3" s="1"/>
  <c r="M154" i="3"/>
  <c r="AU154" i="3" s="1"/>
  <c r="M155" i="3"/>
  <c r="AU155" i="3" s="1"/>
  <c r="M156" i="3"/>
  <c r="AU156" i="3" s="1"/>
  <c r="M157" i="3"/>
  <c r="M158" i="3"/>
  <c r="M159" i="3"/>
  <c r="AU159" i="3" s="1"/>
  <c r="M160" i="3"/>
  <c r="AU160" i="3" s="1"/>
  <c r="M161" i="3"/>
  <c r="AU161" i="3" s="1"/>
  <c r="M162" i="3"/>
  <c r="AU162" i="3" s="1"/>
  <c r="M163" i="3"/>
  <c r="AU163" i="3" s="1"/>
  <c r="M164" i="3"/>
  <c r="AU164" i="3" s="1"/>
  <c r="M165" i="3"/>
  <c r="AU165" i="3" s="1"/>
  <c r="M166" i="3"/>
  <c r="AU166" i="3" s="1"/>
  <c r="M167" i="3"/>
  <c r="AU167" i="3" s="1"/>
  <c r="M168" i="3"/>
  <c r="AU168" i="3" s="1"/>
  <c r="M169" i="3"/>
  <c r="AU169" i="3" s="1"/>
  <c r="M170" i="3"/>
  <c r="AU170" i="3" s="1"/>
  <c r="M171" i="3"/>
  <c r="AU171" i="3" s="1"/>
  <c r="M172" i="3"/>
  <c r="AU172" i="3" s="1"/>
  <c r="M173" i="3"/>
  <c r="AU173" i="3" s="1"/>
  <c r="M174" i="3"/>
  <c r="AU174" i="3" s="1"/>
  <c r="M175" i="3"/>
  <c r="AU175" i="3" s="1"/>
  <c r="M176" i="3"/>
  <c r="AU176" i="3" s="1"/>
  <c r="M177" i="3"/>
  <c r="AU177" i="3" s="1"/>
  <c r="M178" i="3"/>
  <c r="AU178" i="3" s="1"/>
  <c r="M179" i="3"/>
  <c r="AU179" i="3" s="1"/>
  <c r="M180" i="3"/>
  <c r="AU180" i="3" s="1"/>
  <c r="M181" i="3"/>
  <c r="AU181" i="3" s="1"/>
  <c r="M182" i="3"/>
  <c r="AU182" i="3" s="1"/>
  <c r="M183" i="3"/>
  <c r="AU183" i="3" s="1"/>
  <c r="M184" i="3"/>
  <c r="AU184" i="3" s="1"/>
  <c r="M185" i="3"/>
  <c r="AU185" i="3" s="1"/>
  <c r="M186" i="3"/>
  <c r="AU186" i="3" s="1"/>
  <c r="M187" i="3"/>
  <c r="AU187" i="3" s="1"/>
  <c r="M188" i="3"/>
  <c r="AU188" i="3" s="1"/>
  <c r="M189" i="3"/>
  <c r="AU189" i="3" s="1"/>
  <c r="M190" i="3"/>
  <c r="AU190" i="3" s="1"/>
  <c r="M191" i="3"/>
  <c r="AU191" i="3" s="1"/>
  <c r="M192" i="3"/>
  <c r="AU192" i="3" s="1"/>
  <c r="M193" i="3"/>
  <c r="AU193" i="3" s="1"/>
  <c r="M194" i="3"/>
  <c r="AU194" i="3" s="1"/>
  <c r="M195" i="3"/>
  <c r="AU195" i="3" s="1"/>
  <c r="M196" i="3"/>
  <c r="AU196" i="3" s="1"/>
  <c r="M197" i="3"/>
  <c r="AU197" i="3" s="1"/>
  <c r="M198" i="3"/>
  <c r="AU198" i="3" s="1"/>
  <c r="M199" i="3"/>
  <c r="AU199" i="3" s="1"/>
  <c r="M200" i="3"/>
  <c r="AU200" i="3" s="1"/>
  <c r="M201" i="3"/>
  <c r="AU201" i="3" s="1"/>
  <c r="M202" i="3"/>
  <c r="AU202" i="3" s="1"/>
  <c r="M203" i="3"/>
  <c r="AU203" i="3" s="1"/>
  <c r="M204" i="3"/>
  <c r="AU204" i="3" s="1"/>
  <c r="M205" i="3"/>
  <c r="M206" i="3"/>
  <c r="M207" i="3"/>
  <c r="M208" i="3"/>
  <c r="M209" i="3"/>
  <c r="AU209" i="3" s="1"/>
  <c r="M210" i="3"/>
  <c r="AU210" i="3" s="1"/>
  <c r="M211" i="3"/>
  <c r="AU211" i="3" s="1"/>
  <c r="M212" i="3"/>
  <c r="AU212" i="3" s="1"/>
  <c r="M213" i="3"/>
  <c r="AU213" i="3" s="1"/>
  <c r="M214" i="3"/>
  <c r="AU214" i="3" s="1"/>
  <c r="M215" i="3"/>
  <c r="AU215" i="3" s="1"/>
  <c r="M216" i="3"/>
  <c r="AU216" i="3" s="1"/>
  <c r="M217" i="3"/>
  <c r="AU217" i="3" s="1"/>
  <c r="M218" i="3"/>
  <c r="AU218" i="3" s="1"/>
  <c r="M219" i="3"/>
  <c r="M220" i="3"/>
  <c r="AU220" i="3" s="1"/>
  <c r="M221" i="3"/>
  <c r="AU221" i="3" s="1"/>
  <c r="M222" i="3"/>
  <c r="AU222" i="3" s="1"/>
  <c r="M223" i="3"/>
  <c r="AU223" i="3" s="1"/>
  <c r="M224" i="3"/>
  <c r="AU224" i="3" s="1"/>
  <c r="M225" i="3"/>
  <c r="AU225" i="3" s="1"/>
  <c r="M226" i="3"/>
  <c r="AU226" i="3" s="1"/>
  <c r="M227" i="3"/>
  <c r="AU227" i="3" s="1"/>
  <c r="M228" i="3"/>
  <c r="AU228" i="3" s="1"/>
  <c r="M229" i="3"/>
  <c r="M230" i="3"/>
  <c r="M231" i="3"/>
  <c r="M232" i="3"/>
  <c r="AU232" i="3" s="1"/>
  <c r="M233" i="3"/>
  <c r="AU233" i="3" s="1"/>
  <c r="M234" i="3"/>
  <c r="AU234" i="3" s="1"/>
  <c r="M235" i="3"/>
  <c r="AU235" i="3" s="1"/>
  <c r="M236" i="3"/>
  <c r="AU236" i="3" s="1"/>
  <c r="M237" i="3"/>
  <c r="AU237" i="3" s="1"/>
  <c r="M238" i="3"/>
  <c r="AU238" i="3" s="1"/>
  <c r="M239" i="3"/>
  <c r="AU239" i="3" s="1"/>
  <c r="M240" i="3"/>
  <c r="AU240" i="3" s="1"/>
  <c r="M241" i="3"/>
  <c r="M242" i="3"/>
  <c r="M243" i="3"/>
  <c r="M244" i="3"/>
  <c r="AU244" i="3" s="1"/>
  <c r="M245" i="3"/>
  <c r="AU245" i="3" s="1"/>
  <c r="M246" i="3"/>
  <c r="AU246" i="3" s="1"/>
  <c r="M247" i="3"/>
  <c r="AU247" i="3" s="1"/>
  <c r="M248" i="3"/>
  <c r="AU248" i="3" s="1"/>
  <c r="M249" i="3"/>
  <c r="AU249" i="3" s="1"/>
  <c r="M250" i="3"/>
  <c r="AU250" i="3" s="1"/>
  <c r="M251" i="3"/>
  <c r="AU251" i="3" s="1"/>
  <c r="M252" i="3"/>
  <c r="AU252" i="3" s="1"/>
  <c r="M253" i="3"/>
  <c r="AU253" i="3" s="1"/>
  <c r="M254" i="3"/>
  <c r="AU254" i="3" s="1"/>
  <c r="M255" i="3"/>
  <c r="AU255" i="3" s="1"/>
  <c r="M256" i="3"/>
  <c r="AU256" i="3" s="1"/>
  <c r="M257" i="3"/>
  <c r="AU257" i="3" s="1"/>
  <c r="M258" i="3"/>
  <c r="AU258" i="3" s="1"/>
  <c r="M259" i="3"/>
  <c r="AU259" i="3" s="1"/>
  <c r="M260" i="3"/>
  <c r="AU260" i="3" s="1"/>
  <c r="M261" i="3"/>
  <c r="AU261" i="3" s="1"/>
  <c r="M262" i="3"/>
  <c r="AU262" i="3" s="1"/>
  <c r="M263" i="3"/>
  <c r="AU263" i="3" s="1"/>
  <c r="M264" i="3"/>
  <c r="AU264" i="3" s="1"/>
  <c r="M265" i="3"/>
  <c r="AU265" i="3" s="1"/>
  <c r="M266" i="3"/>
  <c r="AU266" i="3" s="1"/>
  <c r="M267" i="3"/>
  <c r="AU267" i="3" s="1"/>
  <c r="M268" i="3"/>
  <c r="AU268" i="3" s="1"/>
  <c r="M269" i="3"/>
  <c r="AU269" i="3" s="1"/>
  <c r="M270" i="3"/>
  <c r="AU270" i="3" s="1"/>
  <c r="M271" i="3"/>
  <c r="AU271" i="3" s="1"/>
  <c r="M272" i="3"/>
  <c r="AU272" i="3" s="1"/>
  <c r="M273" i="3"/>
  <c r="AU273" i="3" s="1"/>
  <c r="M274" i="3"/>
  <c r="AU274" i="3" s="1"/>
  <c r="M275" i="3"/>
  <c r="AU275" i="3" s="1"/>
  <c r="M276" i="3"/>
  <c r="AU276" i="3" s="1"/>
  <c r="M277" i="3"/>
  <c r="AU277" i="3" s="1"/>
  <c r="M278" i="3"/>
  <c r="AU278" i="3" s="1"/>
  <c r="M279" i="3"/>
  <c r="AU279" i="3" s="1"/>
  <c r="M280" i="3"/>
  <c r="AU280" i="3" s="1"/>
  <c r="M281" i="3"/>
  <c r="AU281" i="3" s="1"/>
  <c r="M282" i="3"/>
  <c r="AU282" i="3" s="1"/>
  <c r="M283" i="3"/>
  <c r="AU283" i="3" s="1"/>
  <c r="M284" i="3"/>
  <c r="AU284" i="3" s="1"/>
  <c r="M285" i="3"/>
  <c r="AU285" i="3" s="1"/>
  <c r="M286" i="3"/>
  <c r="AU286" i="3" s="1"/>
  <c r="M287" i="3"/>
  <c r="AU287" i="3" s="1"/>
  <c r="M288" i="3"/>
  <c r="AU288" i="3" s="1"/>
  <c r="M289" i="3"/>
  <c r="AU289" i="3" s="1"/>
  <c r="M290" i="3"/>
  <c r="AU290" i="3" s="1"/>
  <c r="M291" i="3"/>
  <c r="AU291" i="3" s="1"/>
  <c r="M292" i="3"/>
  <c r="AU292" i="3" s="1"/>
  <c r="M293" i="3"/>
  <c r="AU293" i="3" s="1"/>
  <c r="M294" i="3"/>
  <c r="AU294" i="3" s="1"/>
  <c r="M295" i="3"/>
  <c r="AU295" i="3" s="1"/>
  <c r="M296" i="3"/>
  <c r="AU296" i="3" s="1"/>
  <c r="M297" i="3"/>
  <c r="AU297" i="3" s="1"/>
  <c r="M298" i="3"/>
  <c r="AU298" i="3" s="1"/>
  <c r="M299" i="3"/>
  <c r="AU299" i="3" s="1"/>
  <c r="M300" i="3"/>
  <c r="AU300" i="3" s="1"/>
  <c r="M301" i="3"/>
  <c r="AU301" i="3" s="1"/>
  <c r="M302" i="3"/>
  <c r="AU302" i="3" s="1"/>
  <c r="M303" i="3"/>
  <c r="M304" i="3"/>
  <c r="AU304" i="3" s="1"/>
  <c r="M305" i="3"/>
  <c r="AU305" i="3" s="1"/>
  <c r="M306" i="3"/>
  <c r="AU306" i="3" s="1"/>
  <c r="M307" i="3"/>
  <c r="AU307" i="3" s="1"/>
  <c r="M308" i="3"/>
  <c r="AU308" i="3" s="1"/>
  <c r="M309" i="3"/>
  <c r="AU309" i="3" s="1"/>
  <c r="M310" i="3"/>
  <c r="AU310" i="3" s="1"/>
  <c r="M311" i="3"/>
  <c r="AU311" i="3" s="1"/>
  <c r="M312" i="3"/>
  <c r="AU312" i="3" s="1"/>
  <c r="M313" i="3"/>
  <c r="AU313" i="3" s="1"/>
  <c r="M314" i="3"/>
  <c r="AU314" i="3" s="1"/>
  <c r="M315" i="3"/>
  <c r="AU315" i="3" s="1"/>
  <c r="M316" i="3"/>
  <c r="AU316" i="3" s="1"/>
  <c r="M317" i="3"/>
  <c r="AU317" i="3" s="1"/>
  <c r="M318" i="3"/>
  <c r="AU318" i="3" s="1"/>
  <c r="M319" i="3"/>
  <c r="AU319" i="3" s="1"/>
  <c r="M320" i="3"/>
  <c r="AU320" i="3" s="1"/>
  <c r="M321" i="3"/>
  <c r="AU321" i="3" s="1"/>
  <c r="M322" i="3"/>
  <c r="AU322" i="3" s="1"/>
  <c r="M323" i="3"/>
  <c r="AU323" i="3" s="1"/>
  <c r="M324" i="3"/>
  <c r="AU324" i="3" s="1"/>
  <c r="M325" i="3"/>
  <c r="AU325" i="3" s="1"/>
  <c r="M326" i="3"/>
  <c r="AU326" i="3" s="1"/>
  <c r="M327" i="3"/>
  <c r="AU327" i="3" s="1"/>
  <c r="M328" i="3"/>
  <c r="AU328" i="3" s="1"/>
  <c r="M329" i="3"/>
  <c r="AU329" i="3" s="1"/>
  <c r="M330" i="3"/>
  <c r="AU330" i="3" s="1"/>
  <c r="M331" i="3"/>
  <c r="AU331" i="3" s="1"/>
  <c r="M332" i="3"/>
  <c r="AU332" i="3" s="1"/>
  <c r="M333" i="3"/>
  <c r="AU333" i="3" s="1"/>
  <c r="M334" i="3"/>
  <c r="AU334" i="3" s="1"/>
  <c r="M335" i="3"/>
  <c r="AU335" i="3" s="1"/>
  <c r="M336" i="3"/>
  <c r="AU336" i="3" s="1"/>
  <c r="M337" i="3"/>
  <c r="AU337" i="3" s="1"/>
  <c r="M338" i="3"/>
  <c r="AU338" i="3" s="1"/>
  <c r="M339" i="3"/>
  <c r="AU339" i="3" s="1"/>
  <c r="M340" i="3"/>
  <c r="AU340" i="3" s="1"/>
  <c r="M341" i="3"/>
  <c r="AU341" i="3" s="1"/>
  <c r="M342" i="3"/>
  <c r="AU342" i="3" s="1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M368" i="3"/>
  <c r="AU368" i="3" s="1"/>
  <c r="M369" i="3"/>
  <c r="AU369" i="3" s="1"/>
  <c r="M370" i="3"/>
  <c r="AU370" i="3" s="1"/>
  <c r="M371" i="3"/>
  <c r="AU371" i="3" s="1"/>
  <c r="M372" i="3"/>
  <c r="AU372" i="3" s="1"/>
  <c r="M373" i="3"/>
  <c r="M374" i="3"/>
  <c r="M375" i="3"/>
  <c r="AU375" i="3" s="1"/>
  <c r="M376" i="3"/>
  <c r="AU376" i="3" s="1"/>
  <c r="M377" i="3"/>
  <c r="AU377" i="3" s="1"/>
  <c r="M378" i="3"/>
  <c r="AU378" i="3" s="1"/>
  <c r="M379" i="3"/>
  <c r="AU379" i="3" s="1"/>
  <c r="M380" i="3"/>
  <c r="AU380" i="3" s="1"/>
  <c r="M381" i="3"/>
  <c r="M383" i="3"/>
  <c r="AU383" i="3" s="1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2" i="3"/>
  <c r="AU2" i="3" s="1"/>
  <c r="L2" i="3"/>
  <c r="A98" i="4" l="1"/>
  <c r="AB98" i="4"/>
  <c r="AB6" i="4"/>
  <c r="AB96" i="4"/>
  <c r="A96" i="4"/>
  <c r="AB97" i="4"/>
  <c r="A97" i="4"/>
  <c r="AB100" i="4"/>
  <c r="A89" i="4"/>
  <c r="AB89" i="4"/>
  <c r="AB94" i="4"/>
  <c r="A94" i="4"/>
  <c r="AB93" i="4"/>
  <c r="A93" i="4"/>
  <c r="AB87" i="4"/>
  <c r="A87" i="4"/>
  <c r="AB92" i="4"/>
  <c r="A92" i="4"/>
  <c r="AB88" i="4"/>
  <c r="A88" i="4"/>
  <c r="AB91" i="4"/>
  <c r="A91" i="4"/>
  <c r="AB95" i="4"/>
  <c r="A95" i="4"/>
  <c r="A90" i="4"/>
  <c r="AB90" i="4"/>
  <c r="AB99" i="4"/>
  <c r="Q6" i="7"/>
  <c r="P7" i="7"/>
  <c r="O8" i="7" s="1"/>
  <c r="Q8" i="7" s="1"/>
  <c r="AB86" i="4"/>
  <c r="A86" i="4"/>
  <c r="AB101" i="4"/>
  <c r="AH555" i="3"/>
  <c r="AR555" i="3"/>
  <c r="AS555" i="3"/>
  <c r="AT555" i="3"/>
  <c r="AH583" i="3"/>
  <c r="AR583" i="3"/>
  <c r="AS583" i="3"/>
  <c r="AT583" i="3"/>
  <c r="AH535" i="3"/>
  <c r="AR535" i="3"/>
  <c r="AS535" i="3"/>
  <c r="AT535" i="3"/>
  <c r="AH479" i="3"/>
  <c r="AS479" i="3"/>
  <c r="AT479" i="3"/>
  <c r="AR479" i="3"/>
  <c r="AH399" i="3"/>
  <c r="AS399" i="3"/>
  <c r="AT399" i="3"/>
  <c r="AR399" i="3"/>
  <c r="AH303" i="3"/>
  <c r="AS303" i="3"/>
  <c r="AT303" i="3"/>
  <c r="AR303" i="3"/>
  <c r="AH199" i="3"/>
  <c r="AS199" i="3"/>
  <c r="AT199" i="3"/>
  <c r="AR199" i="3"/>
  <c r="AH55" i="3"/>
  <c r="AR55" i="3"/>
  <c r="AS55" i="3"/>
  <c r="AT55" i="3"/>
  <c r="AH47" i="3"/>
  <c r="AR47" i="3"/>
  <c r="AT47" i="3"/>
  <c r="AS47" i="3"/>
  <c r="AH31" i="3"/>
  <c r="AR31" i="3"/>
  <c r="AS31" i="3"/>
  <c r="AT31" i="3"/>
  <c r="AH7" i="3"/>
  <c r="AR7" i="3"/>
  <c r="AT7" i="3"/>
  <c r="AS7" i="3"/>
  <c r="AH579" i="3"/>
  <c r="AR579" i="3"/>
  <c r="AS579" i="3"/>
  <c r="AT579" i="3"/>
  <c r="AH547" i="3"/>
  <c r="AR547" i="3"/>
  <c r="AS547" i="3"/>
  <c r="AT547" i="3"/>
  <c r="AH515" i="3"/>
  <c r="AS515" i="3"/>
  <c r="AT515" i="3"/>
  <c r="AR515" i="3"/>
  <c r="AH491" i="3"/>
  <c r="AS491" i="3"/>
  <c r="AT491" i="3"/>
  <c r="AR491" i="3"/>
  <c r="AH467" i="3"/>
  <c r="AS467" i="3"/>
  <c r="AT467" i="3"/>
  <c r="AR467" i="3"/>
  <c r="AH443" i="3"/>
  <c r="AS443" i="3"/>
  <c r="AT443" i="3"/>
  <c r="AR443" i="3"/>
  <c r="AH419" i="3"/>
  <c r="AS419" i="3"/>
  <c r="AT419" i="3"/>
  <c r="AR419" i="3"/>
  <c r="AH395" i="3"/>
  <c r="AS395" i="3"/>
  <c r="AT395" i="3"/>
  <c r="AR395" i="3"/>
  <c r="AH371" i="3"/>
  <c r="AS371" i="3"/>
  <c r="AT371" i="3"/>
  <c r="AR371" i="3"/>
  <c r="AH347" i="3"/>
  <c r="AR347" i="3"/>
  <c r="AS347" i="3"/>
  <c r="AT347" i="3"/>
  <c r="AH323" i="3"/>
  <c r="AT323" i="3"/>
  <c r="AR323" i="3"/>
  <c r="AS323" i="3"/>
  <c r="AH299" i="3"/>
  <c r="AR299" i="3"/>
  <c r="AS299" i="3"/>
  <c r="AT299" i="3"/>
  <c r="AH275" i="3"/>
  <c r="AT275" i="3"/>
  <c r="AR275" i="3"/>
  <c r="AS275" i="3"/>
  <c r="AH251" i="3"/>
  <c r="AS251" i="3"/>
  <c r="AT251" i="3"/>
  <c r="AR251" i="3"/>
  <c r="AH219" i="3"/>
  <c r="AT219" i="3"/>
  <c r="AR219" i="3"/>
  <c r="AS219" i="3"/>
  <c r="AH195" i="3"/>
  <c r="AR195" i="3"/>
  <c r="AT195" i="3"/>
  <c r="AS195" i="3"/>
  <c r="AH171" i="3"/>
  <c r="AR171" i="3"/>
  <c r="AT171" i="3"/>
  <c r="AS171" i="3"/>
  <c r="AH147" i="3"/>
  <c r="AT147" i="3"/>
  <c r="AR147" i="3"/>
  <c r="AS147" i="3"/>
  <c r="AH123" i="3"/>
  <c r="AR123" i="3"/>
  <c r="AS123" i="3"/>
  <c r="AT123" i="3"/>
  <c r="AH99" i="3"/>
  <c r="AT99" i="3"/>
  <c r="AR99" i="3"/>
  <c r="AS99" i="3"/>
  <c r="AH83" i="3"/>
  <c r="AT83" i="3"/>
  <c r="AS83" i="3"/>
  <c r="AR83" i="3"/>
  <c r="AH51" i="3"/>
  <c r="AS51" i="3"/>
  <c r="AT51" i="3"/>
  <c r="AR51" i="3"/>
  <c r="AH19" i="3"/>
  <c r="AR19" i="3"/>
  <c r="AS19" i="3"/>
  <c r="AT19" i="3"/>
  <c r="AH594" i="3"/>
  <c r="AS594" i="3"/>
  <c r="AR594" i="3"/>
  <c r="AT594" i="3"/>
  <c r="AH570" i="3"/>
  <c r="AT570" i="3"/>
  <c r="AR570" i="3"/>
  <c r="AS570" i="3"/>
  <c r="AH546" i="3"/>
  <c r="AS546" i="3"/>
  <c r="AT546" i="3"/>
  <c r="AR546" i="3"/>
  <c r="AH522" i="3"/>
  <c r="AR522" i="3"/>
  <c r="AS522" i="3"/>
  <c r="AT522" i="3"/>
  <c r="AH498" i="3"/>
  <c r="AR498" i="3"/>
  <c r="AS498" i="3"/>
  <c r="AT498" i="3"/>
  <c r="AH474" i="3"/>
  <c r="AR474" i="3"/>
  <c r="AS474" i="3"/>
  <c r="AT474" i="3"/>
  <c r="AH450" i="3"/>
  <c r="AR450" i="3"/>
  <c r="AS450" i="3"/>
  <c r="AT450" i="3"/>
  <c r="AH426" i="3"/>
  <c r="AR426" i="3"/>
  <c r="AS426" i="3"/>
  <c r="AT426" i="3"/>
  <c r="AH402" i="3"/>
  <c r="AR402" i="3"/>
  <c r="AS402" i="3"/>
  <c r="AT402" i="3"/>
  <c r="AH378" i="3"/>
  <c r="AR378" i="3"/>
  <c r="AS378" i="3"/>
  <c r="AT378" i="3"/>
  <c r="AH346" i="3"/>
  <c r="AR346" i="3"/>
  <c r="AS346" i="3"/>
  <c r="AT346" i="3"/>
  <c r="AH322" i="3"/>
  <c r="AR322" i="3"/>
  <c r="AS322" i="3"/>
  <c r="AT322" i="3"/>
  <c r="AH298" i="3"/>
  <c r="AS298" i="3"/>
  <c r="AT298" i="3"/>
  <c r="AR298" i="3"/>
  <c r="AH274" i="3"/>
  <c r="AR274" i="3"/>
  <c r="AS274" i="3"/>
  <c r="AT274" i="3"/>
  <c r="AH250" i="3"/>
  <c r="AR250" i="3"/>
  <c r="AS250" i="3"/>
  <c r="AT250" i="3"/>
  <c r="AH234" i="3"/>
  <c r="AR234" i="3"/>
  <c r="AS234" i="3"/>
  <c r="AT234" i="3"/>
  <c r="AH218" i="3"/>
  <c r="AR218" i="3"/>
  <c r="AS218" i="3"/>
  <c r="AT218" i="3"/>
  <c r="AH202" i="3"/>
  <c r="AR202" i="3"/>
  <c r="AT202" i="3"/>
  <c r="AS202" i="3"/>
  <c r="AH194" i="3"/>
  <c r="AT194" i="3"/>
  <c r="AS194" i="3"/>
  <c r="AR194" i="3"/>
  <c r="AH178" i="3"/>
  <c r="AT178" i="3"/>
  <c r="AR178" i="3"/>
  <c r="AS178" i="3"/>
  <c r="AH154" i="3"/>
  <c r="AS154" i="3"/>
  <c r="AT154" i="3"/>
  <c r="AR154" i="3"/>
  <c r="AH138" i="3"/>
  <c r="AS138" i="3"/>
  <c r="AT138" i="3"/>
  <c r="AR138" i="3"/>
  <c r="AH122" i="3"/>
  <c r="AR122" i="3"/>
  <c r="AT122" i="3"/>
  <c r="AS122" i="3"/>
  <c r="AH106" i="3"/>
  <c r="AR106" i="3"/>
  <c r="AS106" i="3"/>
  <c r="AT106" i="3"/>
  <c r="AH90" i="3"/>
  <c r="AT90" i="3"/>
  <c r="AS90" i="3"/>
  <c r="AR90" i="3"/>
  <c r="AH74" i="3"/>
  <c r="AS74" i="3"/>
  <c r="AT74" i="3"/>
  <c r="AR74" i="3"/>
  <c r="AH66" i="3"/>
  <c r="AS66" i="3"/>
  <c r="AT66" i="3"/>
  <c r="AR66" i="3"/>
  <c r="AH50" i="3"/>
  <c r="AS50" i="3"/>
  <c r="AR50" i="3"/>
  <c r="AT50" i="3"/>
  <c r="AH26" i="3"/>
  <c r="AR26" i="3"/>
  <c r="AS26" i="3"/>
  <c r="AT26" i="3"/>
  <c r="AH561" i="3"/>
  <c r="AR561" i="3"/>
  <c r="AS561" i="3"/>
  <c r="AT561" i="3"/>
  <c r="AH553" i="3"/>
  <c r="AR553" i="3"/>
  <c r="AS553" i="3"/>
  <c r="AT553" i="3"/>
  <c r="AH545" i="3"/>
  <c r="AR545" i="3"/>
  <c r="AS545" i="3"/>
  <c r="AT545" i="3"/>
  <c r="AH529" i="3"/>
  <c r="AS529" i="3"/>
  <c r="AT529" i="3"/>
  <c r="AR529" i="3"/>
  <c r="AH513" i="3"/>
  <c r="AS513" i="3"/>
  <c r="AT513" i="3"/>
  <c r="AR513" i="3"/>
  <c r="AH497" i="3"/>
  <c r="AS497" i="3"/>
  <c r="AT497" i="3"/>
  <c r="AR497" i="3"/>
  <c r="AH473" i="3"/>
  <c r="AS473" i="3"/>
  <c r="AT473" i="3"/>
  <c r="AR473" i="3"/>
  <c r="AH449" i="3"/>
  <c r="AS449" i="3"/>
  <c r="AT449" i="3"/>
  <c r="AR449" i="3"/>
  <c r="AH425" i="3"/>
  <c r="AS425" i="3"/>
  <c r="AT425" i="3"/>
  <c r="AR425" i="3"/>
  <c r="AH401" i="3"/>
  <c r="AS401" i="3"/>
  <c r="AT401" i="3"/>
  <c r="AR401" i="3"/>
  <c r="AH377" i="3"/>
  <c r="AS377" i="3"/>
  <c r="AT377" i="3"/>
  <c r="AR377" i="3"/>
  <c r="AH337" i="3"/>
  <c r="AT337" i="3"/>
  <c r="AR337" i="3"/>
  <c r="AS337" i="3"/>
  <c r="AH313" i="3"/>
  <c r="AR313" i="3"/>
  <c r="AS313" i="3"/>
  <c r="AT313" i="3"/>
  <c r="AH289" i="3"/>
  <c r="AT289" i="3"/>
  <c r="AS289" i="3"/>
  <c r="AR289" i="3"/>
  <c r="AH257" i="3"/>
  <c r="AR257" i="3"/>
  <c r="AS257" i="3"/>
  <c r="AT257" i="3"/>
  <c r="AH233" i="3"/>
  <c r="AR233" i="3"/>
  <c r="AS233" i="3"/>
  <c r="AT233" i="3"/>
  <c r="AH209" i="3"/>
  <c r="AS209" i="3"/>
  <c r="AT209" i="3"/>
  <c r="AR209" i="3"/>
  <c r="AH185" i="3"/>
  <c r="AT185" i="3"/>
  <c r="AS185" i="3"/>
  <c r="AR185" i="3"/>
  <c r="AH169" i="3"/>
  <c r="AR169" i="3"/>
  <c r="AT169" i="3"/>
  <c r="AS169" i="3"/>
  <c r="AH145" i="3"/>
  <c r="AS145" i="3"/>
  <c r="AT145" i="3"/>
  <c r="AR145" i="3"/>
  <c r="AH121" i="3"/>
  <c r="AT121" i="3"/>
  <c r="AR121" i="3"/>
  <c r="AS121" i="3"/>
  <c r="AH105" i="3"/>
  <c r="AR105" i="3"/>
  <c r="AS105" i="3"/>
  <c r="AT105" i="3"/>
  <c r="AH89" i="3"/>
  <c r="AS89" i="3"/>
  <c r="AT89" i="3"/>
  <c r="AR89" i="3"/>
  <c r="AH65" i="3"/>
  <c r="AS65" i="3"/>
  <c r="AT65" i="3"/>
  <c r="AR65" i="3"/>
  <c r="AH49" i="3"/>
  <c r="AR49" i="3"/>
  <c r="AT49" i="3"/>
  <c r="AS49" i="3"/>
  <c r="AH17" i="3"/>
  <c r="AR17" i="3"/>
  <c r="AS17" i="3"/>
  <c r="AT17" i="3"/>
  <c r="AH576" i="3"/>
  <c r="AS576" i="3"/>
  <c r="AR576" i="3"/>
  <c r="AT576" i="3"/>
  <c r="AH552" i="3"/>
  <c r="AR552" i="3"/>
  <c r="AT552" i="3"/>
  <c r="AS552" i="3"/>
  <c r="AH528" i="3"/>
  <c r="AR528" i="3"/>
  <c r="AS528" i="3"/>
  <c r="AT528" i="3"/>
  <c r="AH504" i="3"/>
  <c r="AR504" i="3"/>
  <c r="AT504" i="3"/>
  <c r="AS504" i="3"/>
  <c r="AH480" i="3"/>
  <c r="AR480" i="3"/>
  <c r="AS480" i="3"/>
  <c r="AT480" i="3"/>
  <c r="AH456" i="3"/>
  <c r="AS456" i="3"/>
  <c r="AR456" i="3"/>
  <c r="AT456" i="3"/>
  <c r="AH432" i="3"/>
  <c r="AR432" i="3"/>
  <c r="AS432" i="3"/>
  <c r="AT432" i="3"/>
  <c r="AH400" i="3"/>
  <c r="AR400" i="3"/>
  <c r="AS400" i="3"/>
  <c r="AT400" i="3"/>
  <c r="AH376" i="3"/>
  <c r="AS376" i="3"/>
  <c r="AT376" i="3"/>
  <c r="AR376" i="3"/>
  <c r="AH344" i="3"/>
  <c r="AT344" i="3"/>
  <c r="AS344" i="3"/>
  <c r="AR344" i="3"/>
  <c r="AH320" i="3"/>
  <c r="AR320" i="3"/>
  <c r="AT320" i="3"/>
  <c r="AS320" i="3"/>
  <c r="AH296" i="3"/>
  <c r="AT296" i="3"/>
  <c r="AR296" i="3"/>
  <c r="AS296" i="3"/>
  <c r="AH272" i="3"/>
  <c r="AT272" i="3"/>
  <c r="AR272" i="3"/>
  <c r="AS272" i="3"/>
  <c r="AH248" i="3"/>
  <c r="AT248" i="3"/>
  <c r="AR248" i="3"/>
  <c r="AS248" i="3"/>
  <c r="AH224" i="3"/>
  <c r="AS224" i="3"/>
  <c r="AT224" i="3"/>
  <c r="AR224" i="3"/>
  <c r="AH200" i="3"/>
  <c r="AR200" i="3"/>
  <c r="AT200" i="3"/>
  <c r="AS200" i="3"/>
  <c r="AH176" i="3"/>
  <c r="AR176" i="3"/>
  <c r="AS176" i="3"/>
  <c r="AT176" i="3"/>
  <c r="AH152" i="3"/>
  <c r="AR152" i="3"/>
  <c r="AT152" i="3"/>
  <c r="AS152" i="3"/>
  <c r="AH128" i="3"/>
  <c r="AR128" i="3"/>
  <c r="AS128" i="3"/>
  <c r="AT128" i="3"/>
  <c r="AH88" i="3"/>
  <c r="AS88" i="3"/>
  <c r="AT88" i="3"/>
  <c r="AR88" i="3"/>
  <c r="AH64" i="3"/>
  <c r="AR64" i="3"/>
  <c r="AS64" i="3"/>
  <c r="AT64" i="3"/>
  <c r="AH40" i="3"/>
  <c r="AR40" i="3"/>
  <c r="AT40" i="3"/>
  <c r="AS40" i="3"/>
  <c r="AH8" i="3"/>
  <c r="AT8" i="3"/>
  <c r="AR8" i="3"/>
  <c r="AS8" i="3"/>
  <c r="AH575" i="3"/>
  <c r="AR575" i="3"/>
  <c r="AS575" i="3"/>
  <c r="AT575" i="3"/>
  <c r="AH551" i="3"/>
  <c r="AR551" i="3"/>
  <c r="AS551" i="3"/>
  <c r="AT551" i="3"/>
  <c r="AH519" i="3"/>
  <c r="AS519" i="3"/>
  <c r="AT519" i="3"/>
  <c r="AR519" i="3"/>
  <c r="AH503" i="3"/>
  <c r="AS503" i="3"/>
  <c r="AT503" i="3"/>
  <c r="AR503" i="3"/>
  <c r="AH471" i="3"/>
  <c r="AS471" i="3"/>
  <c r="AT471" i="3"/>
  <c r="AR471" i="3"/>
  <c r="AH447" i="3"/>
  <c r="AS447" i="3"/>
  <c r="AT447" i="3"/>
  <c r="AR447" i="3"/>
  <c r="AH431" i="3"/>
  <c r="AS431" i="3"/>
  <c r="AT431" i="3"/>
  <c r="AR431" i="3"/>
  <c r="AH407" i="3"/>
  <c r="AS407" i="3"/>
  <c r="AT407" i="3"/>
  <c r="AR407" i="3"/>
  <c r="AH375" i="3"/>
  <c r="AS375" i="3"/>
  <c r="AT375" i="3"/>
  <c r="AR375" i="3"/>
  <c r="AH343" i="3"/>
  <c r="AR343" i="3"/>
  <c r="AS343" i="3"/>
  <c r="AT343" i="3"/>
  <c r="AH319" i="3"/>
  <c r="AS319" i="3"/>
  <c r="AT319" i="3"/>
  <c r="AR319" i="3"/>
  <c r="AH287" i="3"/>
  <c r="AR287" i="3"/>
  <c r="AT287" i="3"/>
  <c r="AS287" i="3"/>
  <c r="AH255" i="3"/>
  <c r="AS255" i="3"/>
  <c r="AT255" i="3"/>
  <c r="AR255" i="3"/>
  <c r="AH231" i="3"/>
  <c r="AR231" i="3"/>
  <c r="AS231" i="3"/>
  <c r="AT231" i="3"/>
  <c r="AH207" i="3"/>
  <c r="AR207" i="3"/>
  <c r="AS207" i="3"/>
  <c r="AT207" i="3"/>
  <c r="AH175" i="3"/>
  <c r="AT175" i="3"/>
  <c r="AR175" i="3"/>
  <c r="AS175" i="3"/>
  <c r="AH151" i="3"/>
  <c r="AR151" i="3"/>
  <c r="AS151" i="3"/>
  <c r="AT151" i="3"/>
  <c r="AH127" i="3"/>
  <c r="AR127" i="3"/>
  <c r="AS127" i="3"/>
  <c r="AT127" i="3"/>
  <c r="AH103" i="3"/>
  <c r="AT103" i="3"/>
  <c r="AR103" i="3"/>
  <c r="AS103" i="3"/>
  <c r="AH71" i="3"/>
  <c r="AT71" i="3"/>
  <c r="AR71" i="3"/>
  <c r="AS71" i="3"/>
  <c r="AH15" i="3"/>
  <c r="AR15" i="3"/>
  <c r="AS15" i="3"/>
  <c r="AT15" i="3"/>
  <c r="AH582" i="3"/>
  <c r="AR582" i="3"/>
  <c r="AT582" i="3"/>
  <c r="AS582" i="3"/>
  <c r="AH558" i="3"/>
  <c r="AR558" i="3"/>
  <c r="AS558" i="3"/>
  <c r="AT558" i="3"/>
  <c r="AH542" i="3"/>
  <c r="AR542" i="3"/>
  <c r="AS542" i="3"/>
  <c r="AT542" i="3"/>
  <c r="AH534" i="3"/>
  <c r="AT534" i="3"/>
  <c r="AR534" i="3"/>
  <c r="AS534" i="3"/>
  <c r="AH510" i="3"/>
  <c r="AS510" i="3"/>
  <c r="AT510" i="3"/>
  <c r="AR510" i="3"/>
  <c r="AH502" i="3"/>
  <c r="AS502" i="3"/>
  <c r="AT502" i="3"/>
  <c r="AR502" i="3"/>
  <c r="AH494" i="3"/>
  <c r="AT494" i="3"/>
  <c r="AR494" i="3"/>
  <c r="AS494" i="3"/>
  <c r="AH486" i="3"/>
  <c r="AS486" i="3"/>
  <c r="AT486" i="3"/>
  <c r="AR486" i="3"/>
  <c r="AH478" i="3"/>
  <c r="AR478" i="3"/>
  <c r="AS478" i="3"/>
  <c r="AT478" i="3"/>
  <c r="AH470" i="3"/>
  <c r="AS470" i="3"/>
  <c r="AT470" i="3"/>
  <c r="AR470" i="3"/>
  <c r="AH462" i="3"/>
  <c r="AT462" i="3"/>
  <c r="AR462" i="3"/>
  <c r="AS462" i="3"/>
  <c r="AH454" i="3"/>
  <c r="AS454" i="3"/>
  <c r="AT454" i="3"/>
  <c r="AR454" i="3"/>
  <c r="AH446" i="3"/>
  <c r="AT446" i="3"/>
  <c r="AR446" i="3"/>
  <c r="AS446" i="3"/>
  <c r="AH438" i="3"/>
  <c r="AS438" i="3"/>
  <c r="AT438" i="3"/>
  <c r="AR438" i="3"/>
  <c r="AH430" i="3"/>
  <c r="AT430" i="3"/>
  <c r="AS430" i="3"/>
  <c r="AR430" i="3"/>
  <c r="AH422" i="3"/>
  <c r="AS422" i="3"/>
  <c r="AT422" i="3"/>
  <c r="AR422" i="3"/>
  <c r="AH414" i="3"/>
  <c r="AT414" i="3"/>
  <c r="AS414" i="3"/>
  <c r="AR414" i="3"/>
  <c r="AH406" i="3"/>
  <c r="AS406" i="3"/>
  <c r="AT406" i="3"/>
  <c r="AR406" i="3"/>
  <c r="AH398" i="3"/>
  <c r="AT398" i="3"/>
  <c r="AS398" i="3"/>
  <c r="AR398" i="3"/>
  <c r="AH390" i="3"/>
  <c r="AS390" i="3"/>
  <c r="AT390" i="3"/>
  <c r="AR390" i="3"/>
  <c r="AH382" i="3"/>
  <c r="AT382" i="3"/>
  <c r="AS382" i="3"/>
  <c r="AR382" i="3"/>
  <c r="AH374" i="3"/>
  <c r="AS374" i="3"/>
  <c r="AT374" i="3"/>
  <c r="AR374" i="3"/>
  <c r="AH350" i="3"/>
  <c r="AR350" i="3"/>
  <c r="AS350" i="3"/>
  <c r="AT350" i="3"/>
  <c r="AH342" i="3"/>
  <c r="AS342" i="3"/>
  <c r="AT342" i="3"/>
  <c r="AR342" i="3"/>
  <c r="AH334" i="3"/>
  <c r="AR334" i="3"/>
  <c r="AS334" i="3"/>
  <c r="AT334" i="3"/>
  <c r="AH326" i="3"/>
  <c r="AS326" i="3"/>
  <c r="AT326" i="3"/>
  <c r="AR326" i="3"/>
  <c r="AH318" i="3"/>
  <c r="AR318" i="3"/>
  <c r="AS318" i="3"/>
  <c r="AT318" i="3"/>
  <c r="AH310" i="3"/>
  <c r="AS310" i="3"/>
  <c r="AT310" i="3"/>
  <c r="AR310" i="3"/>
  <c r="AH302" i="3"/>
  <c r="AS302" i="3"/>
  <c r="AT302" i="3"/>
  <c r="AR302" i="3"/>
  <c r="AH294" i="3"/>
  <c r="AS294" i="3"/>
  <c r="AT294" i="3"/>
  <c r="AR294" i="3"/>
  <c r="AH286" i="3"/>
  <c r="AT286" i="3"/>
  <c r="AR286" i="3"/>
  <c r="AS286" i="3"/>
  <c r="AH278" i="3"/>
  <c r="AR278" i="3"/>
  <c r="AS278" i="3"/>
  <c r="AT278" i="3"/>
  <c r="AH270" i="3"/>
  <c r="AR270" i="3"/>
  <c r="AS270" i="3"/>
  <c r="AT270" i="3"/>
  <c r="AH262" i="3"/>
  <c r="AR262" i="3"/>
  <c r="AS262" i="3"/>
  <c r="AT262" i="3"/>
  <c r="AH254" i="3"/>
  <c r="AS254" i="3"/>
  <c r="AT254" i="3"/>
  <c r="AR254" i="3"/>
  <c r="AH246" i="3"/>
  <c r="AS246" i="3"/>
  <c r="AT246" i="3"/>
  <c r="AR246" i="3"/>
  <c r="AH238" i="3"/>
  <c r="AT238" i="3"/>
  <c r="AR238" i="3"/>
  <c r="AS238" i="3"/>
  <c r="AH230" i="3"/>
  <c r="AT230" i="3"/>
  <c r="AS230" i="3"/>
  <c r="AR230" i="3"/>
  <c r="AH222" i="3"/>
  <c r="AR222" i="3"/>
  <c r="AS222" i="3"/>
  <c r="AT222" i="3"/>
  <c r="AH214" i="3"/>
  <c r="AT214" i="3"/>
  <c r="AR214" i="3"/>
  <c r="AS214" i="3"/>
  <c r="AH206" i="3"/>
  <c r="AS206" i="3"/>
  <c r="AT206" i="3"/>
  <c r="AR206" i="3"/>
  <c r="AH198" i="3"/>
  <c r="AR198" i="3"/>
  <c r="AS198" i="3"/>
  <c r="AT198" i="3"/>
  <c r="AH190" i="3"/>
  <c r="AS190" i="3"/>
  <c r="AT190" i="3"/>
  <c r="AR190" i="3"/>
  <c r="AH182" i="3"/>
  <c r="AT182" i="3"/>
  <c r="AR182" i="3"/>
  <c r="AS182" i="3"/>
  <c r="AH174" i="3"/>
  <c r="AR174" i="3"/>
  <c r="AS174" i="3"/>
  <c r="AT174" i="3"/>
  <c r="AH166" i="3"/>
  <c r="AR166" i="3"/>
  <c r="AS166" i="3"/>
  <c r="AT166" i="3"/>
  <c r="AH158" i="3"/>
  <c r="AR158" i="3"/>
  <c r="AT158" i="3"/>
  <c r="AS158" i="3"/>
  <c r="AH150" i="3"/>
  <c r="AS150" i="3"/>
  <c r="AT150" i="3"/>
  <c r="AR150" i="3"/>
  <c r="AH142" i="3"/>
  <c r="AT142" i="3"/>
  <c r="AS142" i="3"/>
  <c r="AR142" i="3"/>
  <c r="AH134" i="3"/>
  <c r="AT134" i="3"/>
  <c r="AS134" i="3"/>
  <c r="AR134" i="3"/>
  <c r="AH126" i="3"/>
  <c r="AS126" i="3"/>
  <c r="AT126" i="3"/>
  <c r="AR126" i="3"/>
  <c r="AH117" i="3"/>
  <c r="AS117" i="3"/>
  <c r="AR117" i="3"/>
  <c r="AT117" i="3"/>
  <c r="AH110" i="3"/>
  <c r="AR110" i="3"/>
  <c r="AS110" i="3"/>
  <c r="AT110" i="3"/>
  <c r="AH102" i="3"/>
  <c r="AR102" i="3"/>
  <c r="AS102" i="3"/>
  <c r="AT102" i="3"/>
  <c r="AH94" i="3"/>
  <c r="AT94" i="3"/>
  <c r="AS94" i="3"/>
  <c r="AR94" i="3"/>
  <c r="AH86" i="3"/>
  <c r="AT86" i="3"/>
  <c r="AR86" i="3"/>
  <c r="AS86" i="3"/>
  <c r="AH78" i="3"/>
  <c r="AR78" i="3"/>
  <c r="AS78" i="3"/>
  <c r="AT78" i="3"/>
  <c r="AH70" i="3"/>
  <c r="AT70" i="3"/>
  <c r="AR70" i="3"/>
  <c r="AS70" i="3"/>
  <c r="AH62" i="3"/>
  <c r="AR62" i="3"/>
  <c r="AS62" i="3"/>
  <c r="AT62" i="3"/>
  <c r="AH54" i="3"/>
  <c r="AR54" i="3"/>
  <c r="AS54" i="3"/>
  <c r="AT54" i="3"/>
  <c r="AH46" i="3"/>
  <c r="AR46" i="3"/>
  <c r="AS46" i="3"/>
  <c r="AT46" i="3"/>
  <c r="AH38" i="3"/>
  <c r="AS38" i="3"/>
  <c r="AT38" i="3"/>
  <c r="AR38" i="3"/>
  <c r="AH30" i="3"/>
  <c r="AR30" i="3"/>
  <c r="AS30" i="3"/>
  <c r="AT30" i="3"/>
  <c r="AH22" i="3"/>
  <c r="AS22" i="3"/>
  <c r="AT22" i="3"/>
  <c r="AR22" i="3"/>
  <c r="AH14" i="3"/>
  <c r="AT14" i="3"/>
  <c r="AR14" i="3"/>
  <c r="AS14" i="3"/>
  <c r="AH6" i="3"/>
  <c r="AR6" i="3"/>
  <c r="AS6" i="3"/>
  <c r="AT6" i="3"/>
  <c r="AH595" i="3"/>
  <c r="AR595" i="3"/>
  <c r="AS595" i="3"/>
  <c r="AT595" i="3"/>
  <c r="AH571" i="3"/>
  <c r="AR571" i="3"/>
  <c r="AS571" i="3"/>
  <c r="AT571" i="3"/>
  <c r="AH539" i="3"/>
  <c r="AR539" i="3"/>
  <c r="AS539" i="3"/>
  <c r="AT539" i="3"/>
  <c r="AH523" i="3"/>
  <c r="AS523" i="3"/>
  <c r="AT523" i="3"/>
  <c r="AR523" i="3"/>
  <c r="AH499" i="3"/>
  <c r="AS499" i="3"/>
  <c r="AT499" i="3"/>
  <c r="AR499" i="3"/>
  <c r="AH475" i="3"/>
  <c r="AS475" i="3"/>
  <c r="AT475" i="3"/>
  <c r="AR475" i="3"/>
  <c r="AH451" i="3"/>
  <c r="AS451" i="3"/>
  <c r="AT451" i="3"/>
  <c r="AR451" i="3"/>
  <c r="AH427" i="3"/>
  <c r="AS427" i="3"/>
  <c r="AT427" i="3"/>
  <c r="AR427" i="3"/>
  <c r="AH403" i="3"/>
  <c r="AS403" i="3"/>
  <c r="AT403" i="3"/>
  <c r="AR403" i="3"/>
  <c r="AH379" i="3"/>
  <c r="AS379" i="3"/>
  <c r="AT379" i="3"/>
  <c r="AR379" i="3"/>
  <c r="AH331" i="3"/>
  <c r="AR331" i="3"/>
  <c r="AS331" i="3"/>
  <c r="AT331" i="3"/>
  <c r="AH307" i="3"/>
  <c r="AT307" i="3"/>
  <c r="AR307" i="3"/>
  <c r="AS307" i="3"/>
  <c r="AH283" i="3"/>
  <c r="AR283" i="3"/>
  <c r="AT283" i="3"/>
  <c r="AS283" i="3"/>
  <c r="AH259" i="3"/>
  <c r="AS259" i="3"/>
  <c r="AT259" i="3"/>
  <c r="AR259" i="3"/>
  <c r="AH243" i="3"/>
  <c r="AT243" i="3"/>
  <c r="AS243" i="3"/>
  <c r="AR243" i="3"/>
  <c r="AH227" i="3"/>
  <c r="AT227" i="3"/>
  <c r="AR227" i="3"/>
  <c r="AS227" i="3"/>
  <c r="AH203" i="3"/>
  <c r="AT203" i="3"/>
  <c r="AR203" i="3"/>
  <c r="AS203" i="3"/>
  <c r="AH179" i="3"/>
  <c r="AR179" i="3"/>
  <c r="AT179" i="3"/>
  <c r="AS179" i="3"/>
  <c r="AH155" i="3"/>
  <c r="AT155" i="3"/>
  <c r="AS155" i="3"/>
  <c r="AR155" i="3"/>
  <c r="AH131" i="3"/>
  <c r="AR131" i="3"/>
  <c r="AS131" i="3"/>
  <c r="AT131" i="3"/>
  <c r="AH114" i="3"/>
  <c r="AR114" i="3"/>
  <c r="AS114" i="3"/>
  <c r="AT114" i="3"/>
  <c r="AH91" i="3"/>
  <c r="AR91" i="3"/>
  <c r="AS91" i="3"/>
  <c r="AT91" i="3"/>
  <c r="AH67" i="3"/>
  <c r="AS67" i="3"/>
  <c r="AR67" i="3"/>
  <c r="AT67" i="3"/>
  <c r="AH59" i="3"/>
  <c r="AR59" i="3"/>
  <c r="AS59" i="3"/>
  <c r="AT59" i="3"/>
  <c r="AH35" i="3"/>
  <c r="AT35" i="3"/>
  <c r="AR35" i="3"/>
  <c r="AS35" i="3"/>
  <c r="AH27" i="3"/>
  <c r="AR27" i="3"/>
  <c r="AS27" i="3"/>
  <c r="AT27" i="3"/>
  <c r="AH3" i="3"/>
  <c r="AS3" i="3"/>
  <c r="AT3" i="3"/>
  <c r="AR3" i="3"/>
  <c r="AH586" i="3"/>
  <c r="AT586" i="3"/>
  <c r="AR586" i="3"/>
  <c r="AS586" i="3"/>
  <c r="AH562" i="3"/>
  <c r="AR562" i="3"/>
  <c r="AS562" i="3"/>
  <c r="AT562" i="3"/>
  <c r="AH538" i="3"/>
  <c r="AT538" i="3"/>
  <c r="AR538" i="3"/>
  <c r="AS538" i="3"/>
  <c r="AH514" i="3"/>
  <c r="AR514" i="3"/>
  <c r="AS514" i="3"/>
  <c r="AT514" i="3"/>
  <c r="AH490" i="3"/>
  <c r="AR490" i="3"/>
  <c r="AS490" i="3"/>
  <c r="AT490" i="3"/>
  <c r="AH466" i="3"/>
  <c r="AR466" i="3"/>
  <c r="AS466" i="3"/>
  <c r="AT466" i="3"/>
  <c r="AH442" i="3"/>
  <c r="AR442" i="3"/>
  <c r="AS442" i="3"/>
  <c r="AT442" i="3"/>
  <c r="AH418" i="3"/>
  <c r="AR418" i="3"/>
  <c r="AS418" i="3"/>
  <c r="AT418" i="3"/>
  <c r="AH394" i="3"/>
  <c r="AR394" i="3"/>
  <c r="AS394" i="3"/>
  <c r="AT394" i="3"/>
  <c r="AH370" i="3"/>
  <c r="AR370" i="3"/>
  <c r="AS370" i="3"/>
  <c r="AT370" i="3"/>
  <c r="AH330" i="3"/>
  <c r="AR330" i="3"/>
  <c r="AS330" i="3"/>
  <c r="AT330" i="3"/>
  <c r="AH306" i="3"/>
  <c r="AR306" i="3"/>
  <c r="AS306" i="3"/>
  <c r="AT306" i="3"/>
  <c r="AH282" i="3"/>
  <c r="AT282" i="3"/>
  <c r="AR282" i="3"/>
  <c r="AS282" i="3"/>
  <c r="AH258" i="3"/>
  <c r="AS258" i="3"/>
  <c r="AR258" i="3"/>
  <c r="AT258" i="3"/>
  <c r="AH242" i="3"/>
  <c r="AS242" i="3"/>
  <c r="AR242" i="3"/>
  <c r="AT242" i="3"/>
  <c r="AH210" i="3"/>
  <c r="AR210" i="3"/>
  <c r="AS210" i="3"/>
  <c r="AT210" i="3"/>
  <c r="AH186" i="3"/>
  <c r="AR186" i="3"/>
  <c r="AS186" i="3"/>
  <c r="AT186" i="3"/>
  <c r="AH162" i="3"/>
  <c r="AR162" i="3"/>
  <c r="AS162" i="3"/>
  <c r="AT162" i="3"/>
  <c r="AH146" i="3"/>
  <c r="AT146" i="3"/>
  <c r="AS146" i="3"/>
  <c r="AR146" i="3"/>
  <c r="AH130" i="3"/>
  <c r="AR130" i="3"/>
  <c r="AT130" i="3"/>
  <c r="AS130" i="3"/>
  <c r="AH113" i="3"/>
  <c r="AT113" i="3"/>
  <c r="AR113" i="3"/>
  <c r="AS113" i="3"/>
  <c r="AH98" i="3"/>
  <c r="AR98" i="3"/>
  <c r="AS98" i="3"/>
  <c r="AT98" i="3"/>
  <c r="AH82" i="3"/>
  <c r="AR82" i="3"/>
  <c r="AT82" i="3"/>
  <c r="AS82" i="3"/>
  <c r="AH58" i="3"/>
  <c r="AR58" i="3"/>
  <c r="AS58" i="3"/>
  <c r="AT58" i="3"/>
  <c r="AH42" i="3"/>
  <c r="AR42" i="3"/>
  <c r="AS42" i="3"/>
  <c r="AT42" i="3"/>
  <c r="AH18" i="3"/>
  <c r="AT18" i="3"/>
  <c r="AR18" i="3"/>
  <c r="AS18" i="3"/>
  <c r="AH585" i="3"/>
  <c r="AR585" i="3"/>
  <c r="AS585" i="3"/>
  <c r="AT585" i="3"/>
  <c r="AH481" i="3"/>
  <c r="AS481" i="3"/>
  <c r="AT481" i="3"/>
  <c r="AR481" i="3"/>
  <c r="AH457" i="3"/>
  <c r="AS457" i="3"/>
  <c r="AT457" i="3"/>
  <c r="AR457" i="3"/>
  <c r="AH433" i="3"/>
  <c r="AS433" i="3"/>
  <c r="AT433" i="3"/>
  <c r="AR433" i="3"/>
  <c r="AH409" i="3"/>
  <c r="AS409" i="3"/>
  <c r="AT409" i="3"/>
  <c r="AR409" i="3"/>
  <c r="AH385" i="3"/>
  <c r="AS385" i="3"/>
  <c r="AT385" i="3"/>
  <c r="AR385" i="3"/>
  <c r="AH329" i="3"/>
  <c r="AR329" i="3"/>
  <c r="AS329" i="3"/>
  <c r="AT329" i="3"/>
  <c r="AH305" i="3"/>
  <c r="AT305" i="3"/>
  <c r="AS305" i="3"/>
  <c r="AR305" i="3"/>
  <c r="AH281" i="3"/>
  <c r="AR281" i="3"/>
  <c r="AT281" i="3"/>
  <c r="AS281" i="3"/>
  <c r="AH265" i="3"/>
  <c r="AS265" i="3"/>
  <c r="AT265" i="3"/>
  <c r="AR265" i="3"/>
  <c r="AH241" i="3"/>
  <c r="AR241" i="3"/>
  <c r="AS241" i="3"/>
  <c r="AT241" i="3"/>
  <c r="AH217" i="3"/>
  <c r="AS217" i="3"/>
  <c r="AT217" i="3"/>
  <c r="AR217" i="3"/>
  <c r="AH193" i="3"/>
  <c r="AR193" i="3"/>
  <c r="AS193" i="3"/>
  <c r="AT193" i="3"/>
  <c r="AH177" i="3"/>
  <c r="AT177" i="3"/>
  <c r="AS177" i="3"/>
  <c r="AR177" i="3"/>
  <c r="AH153" i="3"/>
  <c r="AR153" i="3"/>
  <c r="AS153" i="3"/>
  <c r="AT153" i="3"/>
  <c r="AH129" i="3"/>
  <c r="AT129" i="3"/>
  <c r="AR129" i="3"/>
  <c r="AS129" i="3"/>
  <c r="AH97" i="3"/>
  <c r="AS97" i="3"/>
  <c r="AT97" i="3"/>
  <c r="AR97" i="3"/>
  <c r="AH81" i="3"/>
  <c r="AT81" i="3"/>
  <c r="AR81" i="3"/>
  <c r="AS81" i="3"/>
  <c r="AH57" i="3"/>
  <c r="AS57" i="3"/>
  <c r="AT57" i="3"/>
  <c r="AR57" i="3"/>
  <c r="AH41" i="3"/>
  <c r="AR41" i="3"/>
  <c r="AS41" i="3"/>
  <c r="AT41" i="3"/>
  <c r="AH33" i="3"/>
  <c r="AS33" i="3"/>
  <c r="AT33" i="3"/>
  <c r="AR33" i="3"/>
  <c r="AH9" i="3"/>
  <c r="AR9" i="3"/>
  <c r="AS9" i="3"/>
  <c r="AT9" i="3"/>
  <c r="AH592" i="3"/>
  <c r="AS592" i="3"/>
  <c r="AR592" i="3"/>
  <c r="AT592" i="3"/>
  <c r="AH568" i="3"/>
  <c r="AR568" i="3"/>
  <c r="AT568" i="3"/>
  <c r="AS568" i="3"/>
  <c r="AH544" i="3"/>
  <c r="AS544" i="3"/>
  <c r="AR544" i="3"/>
  <c r="AT544" i="3"/>
  <c r="AH520" i="3"/>
  <c r="AS520" i="3"/>
  <c r="AR520" i="3"/>
  <c r="AT520" i="3"/>
  <c r="AH496" i="3"/>
  <c r="AR496" i="3"/>
  <c r="AS496" i="3"/>
  <c r="AT496" i="3"/>
  <c r="AH472" i="3"/>
  <c r="AS472" i="3"/>
  <c r="AT472" i="3"/>
  <c r="AR472" i="3"/>
  <c r="AH448" i="3"/>
  <c r="AR448" i="3"/>
  <c r="AS448" i="3"/>
  <c r="AT448" i="3"/>
  <c r="AH424" i="3"/>
  <c r="AS424" i="3"/>
  <c r="AR424" i="3"/>
  <c r="AT424" i="3"/>
  <c r="AH408" i="3"/>
  <c r="AS408" i="3"/>
  <c r="AT408" i="3"/>
  <c r="AR408" i="3"/>
  <c r="AH384" i="3"/>
  <c r="AR384" i="3"/>
  <c r="AS384" i="3"/>
  <c r="AT384" i="3"/>
  <c r="AH336" i="3"/>
  <c r="AR336" i="3"/>
  <c r="AS336" i="3"/>
  <c r="AT336" i="3"/>
  <c r="AH312" i="3"/>
  <c r="AT312" i="3"/>
  <c r="AR312" i="3"/>
  <c r="AS312" i="3"/>
  <c r="AH288" i="3"/>
  <c r="AR288" i="3"/>
  <c r="AS288" i="3"/>
  <c r="AT288" i="3"/>
  <c r="AH264" i="3"/>
  <c r="AS264" i="3"/>
  <c r="AT264" i="3"/>
  <c r="AR264" i="3"/>
  <c r="AH240" i="3"/>
  <c r="AR240" i="3"/>
  <c r="AT240" i="3"/>
  <c r="AS240" i="3"/>
  <c r="AH216" i="3"/>
  <c r="AR216" i="3"/>
  <c r="AS216" i="3"/>
  <c r="AT216" i="3"/>
  <c r="AH192" i="3"/>
  <c r="AT192" i="3"/>
  <c r="AR192" i="3"/>
  <c r="AS192" i="3"/>
  <c r="AH168" i="3"/>
  <c r="AR168" i="3"/>
  <c r="AS168" i="3"/>
  <c r="AT168" i="3"/>
  <c r="AH144" i="3"/>
  <c r="AS144" i="3"/>
  <c r="AT144" i="3"/>
  <c r="AR144" i="3"/>
  <c r="AH120" i="3"/>
  <c r="AT120" i="3"/>
  <c r="AR120" i="3"/>
  <c r="AS120" i="3"/>
  <c r="AH96" i="3"/>
  <c r="AS96" i="3"/>
  <c r="AT96" i="3"/>
  <c r="AR96" i="3"/>
  <c r="AH72" i="3"/>
  <c r="AR72" i="3"/>
  <c r="AS72" i="3"/>
  <c r="AT72" i="3"/>
  <c r="AH48" i="3"/>
  <c r="AT48" i="3"/>
  <c r="AR48" i="3"/>
  <c r="AS48" i="3"/>
  <c r="AH16" i="3"/>
  <c r="AR16" i="3"/>
  <c r="AS16" i="3"/>
  <c r="AT16" i="3"/>
  <c r="AH591" i="3"/>
  <c r="AR591" i="3"/>
  <c r="AS591" i="3"/>
  <c r="AT591" i="3"/>
  <c r="AH559" i="3"/>
  <c r="AR559" i="3"/>
  <c r="AS559" i="3"/>
  <c r="AT559" i="3"/>
  <c r="AH527" i="3"/>
  <c r="AS527" i="3"/>
  <c r="AT527" i="3"/>
  <c r="AR527" i="3"/>
  <c r="AH495" i="3"/>
  <c r="AS495" i="3"/>
  <c r="AT495" i="3"/>
  <c r="AR495" i="3"/>
  <c r="AH463" i="3"/>
  <c r="AS463" i="3"/>
  <c r="AT463" i="3"/>
  <c r="AR463" i="3"/>
  <c r="AH439" i="3"/>
  <c r="AS439" i="3"/>
  <c r="AT439" i="3"/>
  <c r="AR439" i="3"/>
  <c r="AH415" i="3"/>
  <c r="AS415" i="3"/>
  <c r="AT415" i="3"/>
  <c r="AR415" i="3"/>
  <c r="AH383" i="3"/>
  <c r="AS383" i="3"/>
  <c r="AT383" i="3"/>
  <c r="AR383" i="3"/>
  <c r="AH335" i="3"/>
  <c r="AS335" i="3"/>
  <c r="AT335" i="3"/>
  <c r="AR335" i="3"/>
  <c r="AH311" i="3"/>
  <c r="AT311" i="3"/>
  <c r="AR311" i="3"/>
  <c r="AS311" i="3"/>
  <c r="AH279" i="3"/>
  <c r="AT279" i="3"/>
  <c r="AR279" i="3"/>
  <c r="AS279" i="3"/>
  <c r="AH263" i="3"/>
  <c r="AT263" i="3"/>
  <c r="AR263" i="3"/>
  <c r="AS263" i="3"/>
  <c r="AH239" i="3"/>
  <c r="AR239" i="3"/>
  <c r="AS239" i="3"/>
  <c r="AT239" i="3"/>
  <c r="AH215" i="3"/>
  <c r="AR215" i="3"/>
  <c r="AS215" i="3"/>
  <c r="AT215" i="3"/>
  <c r="AH183" i="3"/>
  <c r="AS183" i="3"/>
  <c r="AT183" i="3"/>
  <c r="AR183" i="3"/>
  <c r="AH159" i="3"/>
  <c r="AR159" i="3"/>
  <c r="AS159" i="3"/>
  <c r="AT159" i="3"/>
  <c r="AH135" i="3"/>
  <c r="AR135" i="3"/>
  <c r="AS135" i="3"/>
  <c r="AT135" i="3"/>
  <c r="AH111" i="3"/>
  <c r="AT111" i="3"/>
  <c r="AR111" i="3"/>
  <c r="AS111" i="3"/>
  <c r="AH95" i="3"/>
  <c r="AR95" i="3"/>
  <c r="AS95" i="3"/>
  <c r="AT95" i="3"/>
  <c r="AH79" i="3"/>
  <c r="AT79" i="3"/>
  <c r="AR79" i="3"/>
  <c r="AS79" i="3"/>
  <c r="AH39" i="3"/>
  <c r="AR39" i="3"/>
  <c r="AS39" i="3"/>
  <c r="AT39" i="3"/>
  <c r="AH566" i="3"/>
  <c r="AR566" i="3"/>
  <c r="AT566" i="3"/>
  <c r="AS566" i="3"/>
  <c r="AH526" i="3"/>
  <c r="AR526" i="3"/>
  <c r="AS526" i="3"/>
  <c r="AT526" i="3"/>
  <c r="AH2" i="3"/>
  <c r="AT2" i="3"/>
  <c r="AS2" i="3"/>
  <c r="AR2" i="3"/>
  <c r="AH589" i="3"/>
  <c r="AR589" i="3"/>
  <c r="AS589" i="3"/>
  <c r="AT589" i="3"/>
  <c r="AH581" i="3"/>
  <c r="AR581" i="3"/>
  <c r="AS581" i="3"/>
  <c r="AT581" i="3"/>
  <c r="AH573" i="3"/>
  <c r="AR573" i="3"/>
  <c r="AS573" i="3"/>
  <c r="AT573" i="3"/>
  <c r="AH565" i="3"/>
  <c r="AR565" i="3"/>
  <c r="AS565" i="3"/>
  <c r="AT565" i="3"/>
  <c r="AH557" i="3"/>
  <c r="AR557" i="3"/>
  <c r="AS557" i="3"/>
  <c r="AT557" i="3"/>
  <c r="AH549" i="3"/>
  <c r="AR549" i="3"/>
  <c r="AS549" i="3"/>
  <c r="AT549" i="3"/>
  <c r="AH541" i="3"/>
  <c r="AR541" i="3"/>
  <c r="AS541" i="3"/>
  <c r="AT541" i="3"/>
  <c r="AH533" i="3"/>
  <c r="AR533" i="3"/>
  <c r="AS533" i="3"/>
  <c r="AT533" i="3"/>
  <c r="AH525" i="3"/>
  <c r="AS525" i="3"/>
  <c r="AT525" i="3"/>
  <c r="AR525" i="3"/>
  <c r="AH517" i="3"/>
  <c r="AS517" i="3"/>
  <c r="AT517" i="3"/>
  <c r="AR517" i="3"/>
  <c r="AH509" i="3"/>
  <c r="AS509" i="3"/>
  <c r="AT509" i="3"/>
  <c r="AR509" i="3"/>
  <c r="AH501" i="3"/>
  <c r="AS501" i="3"/>
  <c r="AT501" i="3"/>
  <c r="AR501" i="3"/>
  <c r="AH493" i="3"/>
  <c r="AS493" i="3"/>
  <c r="AT493" i="3"/>
  <c r="AR493" i="3"/>
  <c r="AH485" i="3"/>
  <c r="AS485" i="3"/>
  <c r="AT485" i="3"/>
  <c r="AR485" i="3"/>
  <c r="AH477" i="3"/>
  <c r="AS477" i="3"/>
  <c r="AT477" i="3"/>
  <c r="AR477" i="3"/>
  <c r="AH469" i="3"/>
  <c r="AS469" i="3"/>
  <c r="AT469" i="3"/>
  <c r="AR469" i="3"/>
  <c r="AH461" i="3"/>
  <c r="AS461" i="3"/>
  <c r="AT461" i="3"/>
  <c r="AR461" i="3"/>
  <c r="AH453" i="3"/>
  <c r="AS453" i="3"/>
  <c r="AT453" i="3"/>
  <c r="AR453" i="3"/>
  <c r="AH445" i="3"/>
  <c r="AS445" i="3"/>
  <c r="AT445" i="3"/>
  <c r="AR445" i="3"/>
  <c r="AH437" i="3"/>
  <c r="AS437" i="3"/>
  <c r="AT437" i="3"/>
  <c r="AR437" i="3"/>
  <c r="AH429" i="3"/>
  <c r="AS429" i="3"/>
  <c r="AT429" i="3"/>
  <c r="AR429" i="3"/>
  <c r="AH421" i="3"/>
  <c r="AS421" i="3"/>
  <c r="AT421" i="3"/>
  <c r="AR421" i="3"/>
  <c r="AH413" i="3"/>
  <c r="AS413" i="3"/>
  <c r="AT413" i="3"/>
  <c r="AR413" i="3"/>
  <c r="AH405" i="3"/>
  <c r="AS405" i="3"/>
  <c r="AT405" i="3"/>
  <c r="AR405" i="3"/>
  <c r="AH397" i="3"/>
  <c r="AS397" i="3"/>
  <c r="AT397" i="3"/>
  <c r="AR397" i="3"/>
  <c r="AH389" i="3"/>
  <c r="AS389" i="3"/>
  <c r="AT389" i="3"/>
  <c r="AR389" i="3"/>
  <c r="AH381" i="3"/>
  <c r="AS381" i="3"/>
  <c r="AT381" i="3"/>
  <c r="AR381" i="3"/>
  <c r="AH373" i="3"/>
  <c r="AS373" i="3"/>
  <c r="AT373" i="3"/>
  <c r="AR373" i="3"/>
  <c r="AH349" i="3"/>
  <c r="AR349" i="3"/>
  <c r="AS349" i="3"/>
  <c r="AT349" i="3"/>
  <c r="AH341" i="3"/>
  <c r="AR341" i="3"/>
  <c r="AS341" i="3"/>
  <c r="AT341" i="3"/>
  <c r="AH333" i="3"/>
  <c r="AR333" i="3"/>
  <c r="AS333" i="3"/>
  <c r="AT333" i="3"/>
  <c r="AH325" i="3"/>
  <c r="AR325" i="3"/>
  <c r="AS325" i="3"/>
  <c r="AT325" i="3"/>
  <c r="AH317" i="3"/>
  <c r="AR317" i="3"/>
  <c r="AS317" i="3"/>
  <c r="AT317" i="3"/>
  <c r="AH309" i="3"/>
  <c r="AS309" i="3"/>
  <c r="AT309" i="3"/>
  <c r="AR309" i="3"/>
  <c r="AH301" i="3"/>
  <c r="AR301" i="3"/>
  <c r="AS301" i="3"/>
  <c r="AT301" i="3"/>
  <c r="AH293" i="3"/>
  <c r="AS293" i="3"/>
  <c r="AR293" i="3"/>
  <c r="AT293" i="3"/>
  <c r="AH285" i="3"/>
  <c r="AR285" i="3"/>
  <c r="AS285" i="3"/>
  <c r="AT285" i="3"/>
  <c r="AH277" i="3"/>
  <c r="AR277" i="3"/>
  <c r="AS277" i="3"/>
  <c r="AT277" i="3"/>
  <c r="AH269" i="3"/>
  <c r="AR269" i="3"/>
  <c r="AS269" i="3"/>
  <c r="AT269" i="3"/>
  <c r="AH261" i="3"/>
  <c r="AS261" i="3"/>
  <c r="AT261" i="3"/>
  <c r="AR261" i="3"/>
  <c r="AH253" i="3"/>
  <c r="AT253" i="3"/>
  <c r="AR253" i="3"/>
  <c r="AS253" i="3"/>
  <c r="AH245" i="3"/>
  <c r="AR245" i="3"/>
  <c r="AS245" i="3"/>
  <c r="AT245" i="3"/>
  <c r="AH237" i="3"/>
  <c r="AT237" i="3"/>
  <c r="AR237" i="3"/>
  <c r="AS237" i="3"/>
  <c r="AH229" i="3"/>
  <c r="AR229" i="3"/>
  <c r="AS229" i="3"/>
  <c r="AT229" i="3"/>
  <c r="AH221" i="3"/>
  <c r="AR221" i="3"/>
  <c r="AS221" i="3"/>
  <c r="AT221" i="3"/>
  <c r="AH213" i="3"/>
  <c r="AS213" i="3"/>
  <c r="AR213" i="3"/>
  <c r="AT213" i="3"/>
  <c r="AH205" i="3"/>
  <c r="AT205" i="3"/>
  <c r="AS205" i="3"/>
  <c r="AR205" i="3"/>
  <c r="AH197" i="3"/>
  <c r="AR197" i="3"/>
  <c r="AS197" i="3"/>
  <c r="AT197" i="3"/>
  <c r="AH189" i="3"/>
  <c r="AR189" i="3"/>
  <c r="AS189" i="3"/>
  <c r="AT189" i="3"/>
  <c r="AH181" i="3"/>
  <c r="AR181" i="3"/>
  <c r="AS181" i="3"/>
  <c r="AT181" i="3"/>
  <c r="AH173" i="3"/>
  <c r="AS173" i="3"/>
  <c r="AT173" i="3"/>
  <c r="AR173" i="3"/>
  <c r="AH165" i="3"/>
  <c r="AS165" i="3"/>
  <c r="AT165" i="3"/>
  <c r="AR165" i="3"/>
  <c r="AH157" i="3"/>
  <c r="AT157" i="3"/>
  <c r="AR157" i="3"/>
  <c r="AS157" i="3"/>
  <c r="AH149" i="3"/>
  <c r="AT149" i="3"/>
  <c r="AR149" i="3"/>
  <c r="AS149" i="3"/>
  <c r="AH141" i="3"/>
  <c r="AT141" i="3"/>
  <c r="AR141" i="3"/>
  <c r="AS141" i="3"/>
  <c r="AH133" i="3"/>
  <c r="AS133" i="3"/>
  <c r="AT133" i="3"/>
  <c r="AR133" i="3"/>
  <c r="AH125" i="3"/>
  <c r="AR125" i="3"/>
  <c r="AS125" i="3"/>
  <c r="AT125" i="3"/>
  <c r="AH116" i="3"/>
  <c r="AS116" i="3"/>
  <c r="AT116" i="3"/>
  <c r="AR116" i="3"/>
  <c r="AH109" i="3"/>
  <c r="AR109" i="3"/>
  <c r="AT109" i="3"/>
  <c r="AS109" i="3"/>
  <c r="AH101" i="3"/>
  <c r="AR101" i="3"/>
  <c r="AS101" i="3"/>
  <c r="AT101" i="3"/>
  <c r="AH93" i="3"/>
  <c r="AR93" i="3"/>
  <c r="AS93" i="3"/>
  <c r="AT93" i="3"/>
  <c r="AH85" i="3"/>
  <c r="AR85" i="3"/>
  <c r="AS85" i="3"/>
  <c r="AT85" i="3"/>
  <c r="AH77" i="3"/>
  <c r="AR77" i="3"/>
  <c r="AS77" i="3"/>
  <c r="AT77" i="3"/>
  <c r="AH69" i="3"/>
  <c r="AR69" i="3"/>
  <c r="AS69" i="3"/>
  <c r="AT69" i="3"/>
  <c r="AH61" i="3"/>
  <c r="AT61" i="3"/>
  <c r="AS61" i="3"/>
  <c r="AR61" i="3"/>
  <c r="AH53" i="3"/>
  <c r="AT53" i="3"/>
  <c r="AS53" i="3"/>
  <c r="AR53" i="3"/>
  <c r="AH45" i="3"/>
  <c r="AT45" i="3"/>
  <c r="AR45" i="3"/>
  <c r="AS45" i="3"/>
  <c r="AH37" i="3"/>
  <c r="AT37" i="3"/>
  <c r="AR37" i="3"/>
  <c r="AS37" i="3"/>
  <c r="AH29" i="3"/>
  <c r="AR29" i="3"/>
  <c r="AS29" i="3"/>
  <c r="AT29" i="3"/>
  <c r="AH21" i="3"/>
  <c r="AR21" i="3"/>
  <c r="AS21" i="3"/>
  <c r="AT21" i="3"/>
  <c r="AH13" i="3"/>
  <c r="AS13" i="3"/>
  <c r="AT13" i="3"/>
  <c r="AR13" i="3"/>
  <c r="AH5" i="3"/>
  <c r="AR5" i="3"/>
  <c r="AS5" i="3"/>
  <c r="AT5" i="3"/>
  <c r="AH587" i="3"/>
  <c r="AR587" i="3"/>
  <c r="AS587" i="3"/>
  <c r="AT587" i="3"/>
  <c r="AH563" i="3"/>
  <c r="AR563" i="3"/>
  <c r="AS563" i="3"/>
  <c r="AT563" i="3"/>
  <c r="AH531" i="3"/>
  <c r="AR531" i="3"/>
  <c r="AS531" i="3"/>
  <c r="AT531" i="3"/>
  <c r="AH507" i="3"/>
  <c r="AS507" i="3"/>
  <c r="AT507" i="3"/>
  <c r="AR507" i="3"/>
  <c r="AH483" i="3"/>
  <c r="AS483" i="3"/>
  <c r="AT483" i="3"/>
  <c r="AR483" i="3"/>
  <c r="AH459" i="3"/>
  <c r="AS459" i="3"/>
  <c r="AT459" i="3"/>
  <c r="AR459" i="3"/>
  <c r="AH435" i="3"/>
  <c r="AS435" i="3"/>
  <c r="AT435" i="3"/>
  <c r="AR435" i="3"/>
  <c r="AH411" i="3"/>
  <c r="AS411" i="3"/>
  <c r="AT411" i="3"/>
  <c r="AR411" i="3"/>
  <c r="AH387" i="3"/>
  <c r="AS387" i="3"/>
  <c r="AT387" i="3"/>
  <c r="AR387" i="3"/>
  <c r="AH339" i="3"/>
  <c r="AR339" i="3"/>
  <c r="AS339" i="3"/>
  <c r="AT339" i="3"/>
  <c r="AH315" i="3"/>
  <c r="AR315" i="3"/>
  <c r="AS315" i="3"/>
  <c r="AT315" i="3"/>
  <c r="AH291" i="3"/>
  <c r="AR291" i="3"/>
  <c r="AS291" i="3"/>
  <c r="AT291" i="3"/>
  <c r="AH267" i="3"/>
  <c r="AR267" i="3"/>
  <c r="AT267" i="3"/>
  <c r="AS267" i="3"/>
  <c r="AH235" i="3"/>
  <c r="AS235" i="3"/>
  <c r="AR235" i="3"/>
  <c r="AT235" i="3"/>
  <c r="AH211" i="3"/>
  <c r="AR211" i="3"/>
  <c r="AS211" i="3"/>
  <c r="AT211" i="3"/>
  <c r="AH187" i="3"/>
  <c r="AT187" i="3"/>
  <c r="AR187" i="3"/>
  <c r="AS187" i="3"/>
  <c r="AH163" i="3"/>
  <c r="AR163" i="3"/>
  <c r="AS163" i="3"/>
  <c r="AT163" i="3"/>
  <c r="AH139" i="3"/>
  <c r="AR139" i="3"/>
  <c r="AS139" i="3"/>
  <c r="AT139" i="3"/>
  <c r="AH107" i="3"/>
  <c r="AS107" i="3"/>
  <c r="AT107" i="3"/>
  <c r="AR107" i="3"/>
  <c r="AH75" i="3"/>
  <c r="AR75" i="3"/>
  <c r="AT75" i="3"/>
  <c r="AS75" i="3"/>
  <c r="AH43" i="3"/>
  <c r="AT43" i="3"/>
  <c r="AS43" i="3"/>
  <c r="AR43" i="3"/>
  <c r="AH11" i="3"/>
  <c r="AR11" i="3"/>
  <c r="AS11" i="3"/>
  <c r="AT11" i="3"/>
  <c r="AH578" i="3"/>
  <c r="AT578" i="3"/>
  <c r="AS578" i="3"/>
  <c r="AR578" i="3"/>
  <c r="AH554" i="3"/>
  <c r="AT554" i="3"/>
  <c r="AR554" i="3"/>
  <c r="AS554" i="3"/>
  <c r="AH530" i="3"/>
  <c r="AR530" i="3"/>
  <c r="AS530" i="3"/>
  <c r="AT530" i="3"/>
  <c r="AH506" i="3"/>
  <c r="AR506" i="3"/>
  <c r="AS506" i="3"/>
  <c r="AT506" i="3"/>
  <c r="AH482" i="3"/>
  <c r="AS482" i="3"/>
  <c r="AT482" i="3"/>
  <c r="AR482" i="3"/>
  <c r="AH458" i="3"/>
  <c r="AR458" i="3"/>
  <c r="AS458" i="3"/>
  <c r="AT458" i="3"/>
  <c r="AH434" i="3"/>
  <c r="AR434" i="3"/>
  <c r="AS434" i="3"/>
  <c r="AT434" i="3"/>
  <c r="AH410" i="3"/>
  <c r="AR410" i="3"/>
  <c r="AS410" i="3"/>
  <c r="AT410" i="3"/>
  <c r="AH386" i="3"/>
  <c r="AR386" i="3"/>
  <c r="AS386" i="3"/>
  <c r="AT386" i="3"/>
  <c r="AH338" i="3"/>
  <c r="AR338" i="3"/>
  <c r="AS338" i="3"/>
  <c r="AT338" i="3"/>
  <c r="AH314" i="3"/>
  <c r="AR314" i="3"/>
  <c r="AS314" i="3"/>
  <c r="AT314" i="3"/>
  <c r="AH290" i="3"/>
  <c r="AR290" i="3"/>
  <c r="AS290" i="3"/>
  <c r="AT290" i="3"/>
  <c r="AH266" i="3"/>
  <c r="AT266" i="3"/>
  <c r="AR266" i="3"/>
  <c r="AS266" i="3"/>
  <c r="AH226" i="3"/>
  <c r="AT226" i="3"/>
  <c r="AR226" i="3"/>
  <c r="AS226" i="3"/>
  <c r="AH170" i="3"/>
  <c r="AT170" i="3"/>
  <c r="AR170" i="3"/>
  <c r="AS170" i="3"/>
  <c r="AH34" i="3"/>
  <c r="AR34" i="3"/>
  <c r="AS34" i="3"/>
  <c r="AT34" i="3"/>
  <c r="AH10" i="3"/>
  <c r="AR10" i="3"/>
  <c r="AS10" i="3"/>
  <c r="AT10" i="3"/>
  <c r="AH593" i="3"/>
  <c r="AR593" i="3"/>
  <c r="AS593" i="3"/>
  <c r="AT593" i="3"/>
  <c r="AH577" i="3"/>
  <c r="AR577" i="3"/>
  <c r="AS577" i="3"/>
  <c r="AT577" i="3"/>
  <c r="AH569" i="3"/>
  <c r="AR569" i="3"/>
  <c r="AS569" i="3"/>
  <c r="AT569" i="3"/>
  <c r="AH537" i="3"/>
  <c r="AR537" i="3"/>
  <c r="AS537" i="3"/>
  <c r="AT537" i="3"/>
  <c r="AH521" i="3"/>
  <c r="AS521" i="3"/>
  <c r="AT521" i="3"/>
  <c r="AR521" i="3"/>
  <c r="AH505" i="3"/>
  <c r="AS505" i="3"/>
  <c r="AT505" i="3"/>
  <c r="AR505" i="3"/>
  <c r="AH489" i="3"/>
  <c r="AS489" i="3"/>
  <c r="AT489" i="3"/>
  <c r="AR489" i="3"/>
  <c r="AH465" i="3"/>
  <c r="AS465" i="3"/>
  <c r="AT465" i="3"/>
  <c r="AR465" i="3"/>
  <c r="AH441" i="3"/>
  <c r="AS441" i="3"/>
  <c r="AT441" i="3"/>
  <c r="AR441" i="3"/>
  <c r="AH417" i="3"/>
  <c r="AS417" i="3"/>
  <c r="AT417" i="3"/>
  <c r="AR417" i="3"/>
  <c r="AH393" i="3"/>
  <c r="AS393" i="3"/>
  <c r="AT393" i="3"/>
  <c r="AR393" i="3"/>
  <c r="AH369" i="3"/>
  <c r="AS369" i="3"/>
  <c r="AT369" i="3"/>
  <c r="AR369" i="3"/>
  <c r="AH345" i="3"/>
  <c r="AR345" i="3"/>
  <c r="AS345" i="3"/>
  <c r="AT345" i="3"/>
  <c r="AH321" i="3"/>
  <c r="AT321" i="3"/>
  <c r="AR321" i="3"/>
  <c r="AS321" i="3"/>
  <c r="AH297" i="3"/>
  <c r="AR297" i="3"/>
  <c r="AS297" i="3"/>
  <c r="AT297" i="3"/>
  <c r="AH273" i="3"/>
  <c r="AS273" i="3"/>
  <c r="AT273" i="3"/>
  <c r="AR273" i="3"/>
  <c r="AH249" i="3"/>
  <c r="AR249" i="3"/>
  <c r="AS249" i="3"/>
  <c r="AT249" i="3"/>
  <c r="AH225" i="3"/>
  <c r="AT225" i="3"/>
  <c r="AR225" i="3"/>
  <c r="AS225" i="3"/>
  <c r="AH201" i="3"/>
  <c r="AT201" i="3"/>
  <c r="AR201" i="3"/>
  <c r="AS201" i="3"/>
  <c r="AH161" i="3"/>
  <c r="AT161" i="3"/>
  <c r="AR161" i="3"/>
  <c r="AS161" i="3"/>
  <c r="AH137" i="3"/>
  <c r="AS137" i="3"/>
  <c r="AT137" i="3"/>
  <c r="AR137" i="3"/>
  <c r="AH112" i="3"/>
  <c r="AR112" i="3"/>
  <c r="AS112" i="3"/>
  <c r="AT112" i="3"/>
  <c r="AH73" i="3"/>
  <c r="AR73" i="3"/>
  <c r="AS73" i="3"/>
  <c r="AT73" i="3"/>
  <c r="AH25" i="3"/>
  <c r="AS25" i="3"/>
  <c r="AT25" i="3"/>
  <c r="AR25" i="3"/>
  <c r="AH584" i="3"/>
  <c r="AT584" i="3"/>
  <c r="AR584" i="3"/>
  <c r="AS584" i="3"/>
  <c r="AH560" i="3"/>
  <c r="AS560" i="3"/>
  <c r="AR560" i="3"/>
  <c r="AT560" i="3"/>
  <c r="AH536" i="3"/>
  <c r="AS536" i="3"/>
  <c r="AT536" i="3"/>
  <c r="AR536" i="3"/>
  <c r="AH512" i="3"/>
  <c r="AR512" i="3"/>
  <c r="AS512" i="3"/>
  <c r="AT512" i="3"/>
  <c r="AH488" i="3"/>
  <c r="AR488" i="3"/>
  <c r="AS488" i="3"/>
  <c r="AT488" i="3"/>
  <c r="AH464" i="3"/>
  <c r="AR464" i="3"/>
  <c r="AS464" i="3"/>
  <c r="AT464" i="3"/>
  <c r="AH440" i="3"/>
  <c r="AS440" i="3"/>
  <c r="AT440" i="3"/>
  <c r="AR440" i="3"/>
  <c r="AH416" i="3"/>
  <c r="AR416" i="3"/>
  <c r="AS416" i="3"/>
  <c r="AT416" i="3"/>
  <c r="AH392" i="3"/>
  <c r="AS392" i="3"/>
  <c r="AR392" i="3"/>
  <c r="AT392" i="3"/>
  <c r="AH368" i="3"/>
  <c r="AR368" i="3"/>
  <c r="AS368" i="3"/>
  <c r="AT368" i="3"/>
  <c r="AH328" i="3"/>
  <c r="AT328" i="3"/>
  <c r="AR328" i="3"/>
  <c r="AS328" i="3"/>
  <c r="AH304" i="3"/>
  <c r="AR304" i="3"/>
  <c r="AT304" i="3"/>
  <c r="AS304" i="3"/>
  <c r="AH280" i="3"/>
  <c r="AS280" i="3"/>
  <c r="AT280" i="3"/>
  <c r="AR280" i="3"/>
  <c r="AH256" i="3"/>
  <c r="AR256" i="3"/>
  <c r="AT256" i="3"/>
  <c r="AS256" i="3"/>
  <c r="AH232" i="3"/>
  <c r="AS232" i="3"/>
  <c r="AT232" i="3"/>
  <c r="AR232" i="3"/>
  <c r="AH208" i="3"/>
  <c r="AT208" i="3"/>
  <c r="AR208" i="3"/>
  <c r="AS208" i="3"/>
  <c r="AH184" i="3"/>
  <c r="AR184" i="3"/>
  <c r="AS184" i="3"/>
  <c r="AT184" i="3"/>
  <c r="AH160" i="3"/>
  <c r="AS160" i="3"/>
  <c r="AT160" i="3"/>
  <c r="AR160" i="3"/>
  <c r="AH136" i="3"/>
  <c r="AR136" i="3"/>
  <c r="AS136" i="3"/>
  <c r="AT136" i="3"/>
  <c r="AH104" i="3"/>
  <c r="AT104" i="3"/>
  <c r="AS104" i="3"/>
  <c r="AR104" i="3"/>
  <c r="AH80" i="3"/>
  <c r="AT80" i="3"/>
  <c r="AR80" i="3"/>
  <c r="AS80" i="3"/>
  <c r="AH56" i="3"/>
  <c r="AT56" i="3"/>
  <c r="AR56" i="3"/>
  <c r="AS56" i="3"/>
  <c r="AH32" i="3"/>
  <c r="AR32" i="3"/>
  <c r="AS32" i="3"/>
  <c r="AT32" i="3"/>
  <c r="AH24" i="3"/>
  <c r="AR24" i="3"/>
  <c r="AS24" i="3"/>
  <c r="AT24" i="3"/>
  <c r="AH567" i="3"/>
  <c r="AR567" i="3"/>
  <c r="AS567" i="3"/>
  <c r="AT567" i="3"/>
  <c r="AH543" i="3"/>
  <c r="AR543" i="3"/>
  <c r="AS543" i="3"/>
  <c r="AT543" i="3"/>
  <c r="AH511" i="3"/>
  <c r="AS511" i="3"/>
  <c r="AT511" i="3"/>
  <c r="AR511" i="3"/>
  <c r="AH487" i="3"/>
  <c r="AS487" i="3"/>
  <c r="AT487" i="3"/>
  <c r="AR487" i="3"/>
  <c r="AH455" i="3"/>
  <c r="AS455" i="3"/>
  <c r="AT455" i="3"/>
  <c r="AR455" i="3"/>
  <c r="AH423" i="3"/>
  <c r="AS423" i="3"/>
  <c r="AT423" i="3"/>
  <c r="AR423" i="3"/>
  <c r="AH391" i="3"/>
  <c r="AS391" i="3"/>
  <c r="AT391" i="3"/>
  <c r="AR391" i="3"/>
  <c r="AH351" i="3"/>
  <c r="AS351" i="3"/>
  <c r="AT351" i="3"/>
  <c r="AR351" i="3"/>
  <c r="AH327" i="3"/>
  <c r="AT327" i="3"/>
  <c r="AR327" i="3"/>
  <c r="AS327" i="3"/>
  <c r="AH295" i="3"/>
  <c r="AR295" i="3"/>
  <c r="AS295" i="3"/>
  <c r="AT295" i="3"/>
  <c r="AH271" i="3"/>
  <c r="AR271" i="3"/>
  <c r="AS271" i="3"/>
  <c r="AT271" i="3"/>
  <c r="AH247" i="3"/>
  <c r="AR247" i="3"/>
  <c r="AS247" i="3"/>
  <c r="AT247" i="3"/>
  <c r="AH223" i="3"/>
  <c r="AR223" i="3"/>
  <c r="AS223" i="3"/>
  <c r="AT223" i="3"/>
  <c r="AH191" i="3"/>
  <c r="AT191" i="3"/>
  <c r="AR191" i="3"/>
  <c r="AS191" i="3"/>
  <c r="AH167" i="3"/>
  <c r="AR167" i="3"/>
  <c r="AS167" i="3"/>
  <c r="AT167" i="3"/>
  <c r="AH143" i="3"/>
  <c r="AR143" i="3"/>
  <c r="AS143" i="3"/>
  <c r="AT143" i="3"/>
  <c r="AH118" i="3"/>
  <c r="AS118" i="3"/>
  <c r="AT118" i="3"/>
  <c r="AR118" i="3"/>
  <c r="AH87" i="3"/>
  <c r="AR87" i="3"/>
  <c r="AT87" i="3"/>
  <c r="AS87" i="3"/>
  <c r="AH63" i="3"/>
  <c r="AR63" i="3"/>
  <c r="AT63" i="3"/>
  <c r="AS63" i="3"/>
  <c r="AH23" i="3"/>
  <c r="AS23" i="3"/>
  <c r="AT23" i="3"/>
  <c r="AR23" i="3"/>
  <c r="AH590" i="3"/>
  <c r="AR590" i="3"/>
  <c r="AS590" i="3"/>
  <c r="AT590" i="3"/>
  <c r="AH574" i="3"/>
  <c r="AR574" i="3"/>
  <c r="AS574" i="3"/>
  <c r="AT574" i="3"/>
  <c r="AH550" i="3"/>
  <c r="AT550" i="3"/>
  <c r="AR550" i="3"/>
  <c r="AS550" i="3"/>
  <c r="AH518" i="3"/>
  <c r="AS518" i="3"/>
  <c r="AT518" i="3"/>
  <c r="AR518" i="3"/>
  <c r="AH596" i="3"/>
  <c r="AS596" i="3"/>
  <c r="AT596" i="3"/>
  <c r="AR596" i="3"/>
  <c r="AH588" i="3"/>
  <c r="AS588" i="3"/>
  <c r="AR588" i="3"/>
  <c r="AT588" i="3"/>
  <c r="AH580" i="3"/>
  <c r="AS580" i="3"/>
  <c r="AT580" i="3"/>
  <c r="AR580" i="3"/>
  <c r="AH572" i="3"/>
  <c r="AS572" i="3"/>
  <c r="AR572" i="3"/>
  <c r="AT572" i="3"/>
  <c r="AH564" i="3"/>
  <c r="AS564" i="3"/>
  <c r="AT564" i="3"/>
  <c r="AR564" i="3"/>
  <c r="AH556" i="3"/>
  <c r="AR556" i="3"/>
  <c r="AS556" i="3"/>
  <c r="AT556" i="3"/>
  <c r="AH548" i="3"/>
  <c r="AS548" i="3"/>
  <c r="AT548" i="3"/>
  <c r="AR548" i="3"/>
  <c r="AH540" i="3"/>
  <c r="AR540" i="3"/>
  <c r="AS540" i="3"/>
  <c r="AT540" i="3"/>
  <c r="AH532" i="3"/>
  <c r="AS532" i="3"/>
  <c r="AT532" i="3"/>
  <c r="AR532" i="3"/>
  <c r="AH524" i="3"/>
  <c r="AT524" i="3"/>
  <c r="AR524" i="3"/>
  <c r="AS524" i="3"/>
  <c r="AH516" i="3"/>
  <c r="AR516" i="3"/>
  <c r="AS516" i="3"/>
  <c r="AT516" i="3"/>
  <c r="AH508" i="3"/>
  <c r="AT508" i="3"/>
  <c r="AR508" i="3"/>
  <c r="AS508" i="3"/>
  <c r="AH500" i="3"/>
  <c r="AR500" i="3"/>
  <c r="AS500" i="3"/>
  <c r="AT500" i="3"/>
  <c r="AH492" i="3"/>
  <c r="AT492" i="3"/>
  <c r="AS492" i="3"/>
  <c r="AR492" i="3"/>
  <c r="AH484" i="3"/>
  <c r="AR484" i="3"/>
  <c r="AT484" i="3"/>
  <c r="AS484" i="3"/>
  <c r="AH476" i="3"/>
  <c r="AT476" i="3"/>
  <c r="AR476" i="3"/>
  <c r="AS476" i="3"/>
  <c r="AH468" i="3"/>
  <c r="AR468" i="3"/>
  <c r="AT468" i="3"/>
  <c r="AS468" i="3"/>
  <c r="AH460" i="3"/>
  <c r="AT460" i="3"/>
  <c r="AR460" i="3"/>
  <c r="AS460" i="3"/>
  <c r="AH452" i="3"/>
  <c r="AR452" i="3"/>
  <c r="AS452" i="3"/>
  <c r="AT452" i="3"/>
  <c r="AH444" i="3"/>
  <c r="AT444" i="3"/>
  <c r="AR444" i="3"/>
  <c r="AS444" i="3"/>
  <c r="AH436" i="3"/>
  <c r="AR436" i="3"/>
  <c r="AT436" i="3"/>
  <c r="AS436" i="3"/>
  <c r="AH428" i="3"/>
  <c r="AT428" i="3"/>
  <c r="AR428" i="3"/>
  <c r="AS428" i="3"/>
  <c r="AH420" i="3"/>
  <c r="AR420" i="3"/>
  <c r="AS420" i="3"/>
  <c r="AT420" i="3"/>
  <c r="AH412" i="3"/>
  <c r="AT412" i="3"/>
  <c r="AR412" i="3"/>
  <c r="AS412" i="3"/>
  <c r="AH404" i="3"/>
  <c r="AR404" i="3"/>
  <c r="AS404" i="3"/>
  <c r="AT404" i="3"/>
  <c r="AH396" i="3"/>
  <c r="AT396" i="3"/>
  <c r="AR396" i="3"/>
  <c r="AS396" i="3"/>
  <c r="AH388" i="3"/>
  <c r="AR388" i="3"/>
  <c r="AS388" i="3"/>
  <c r="AT388" i="3"/>
  <c r="AH380" i="3"/>
  <c r="AT380" i="3"/>
  <c r="AR380" i="3"/>
  <c r="AS380" i="3"/>
  <c r="AH372" i="3"/>
  <c r="AR372" i="3"/>
  <c r="AT372" i="3"/>
  <c r="AS372" i="3"/>
  <c r="AH348" i="3"/>
  <c r="AS348" i="3"/>
  <c r="AT348" i="3"/>
  <c r="AR348" i="3"/>
  <c r="AH340" i="3"/>
  <c r="AR340" i="3"/>
  <c r="AS340" i="3"/>
  <c r="AT340" i="3"/>
  <c r="AH332" i="3"/>
  <c r="AR332" i="3"/>
  <c r="AS332" i="3"/>
  <c r="AT332" i="3"/>
  <c r="AH324" i="3"/>
  <c r="AR324" i="3"/>
  <c r="AS324" i="3"/>
  <c r="AT324" i="3"/>
  <c r="AH316" i="3"/>
  <c r="AT316" i="3"/>
  <c r="AR316" i="3"/>
  <c r="AS316" i="3"/>
  <c r="AH308" i="3"/>
  <c r="AR308" i="3"/>
  <c r="AS308" i="3"/>
  <c r="AT308" i="3"/>
  <c r="AH300" i="3"/>
  <c r="AT300" i="3"/>
  <c r="AR300" i="3"/>
  <c r="AS300" i="3"/>
  <c r="AH292" i="3"/>
  <c r="AR292" i="3"/>
  <c r="AS292" i="3"/>
  <c r="AT292" i="3"/>
  <c r="AH284" i="3"/>
  <c r="AR284" i="3"/>
  <c r="AS284" i="3"/>
  <c r="AT284" i="3"/>
  <c r="AH276" i="3"/>
  <c r="AR276" i="3"/>
  <c r="AS276" i="3"/>
  <c r="AT276" i="3"/>
  <c r="AH268" i="3"/>
  <c r="AT268" i="3"/>
  <c r="AR268" i="3"/>
  <c r="AS268" i="3"/>
  <c r="AH260" i="3"/>
  <c r="AT260" i="3"/>
  <c r="AR260" i="3"/>
  <c r="AS260" i="3"/>
  <c r="AH252" i="3"/>
  <c r="AR252" i="3"/>
  <c r="AS252" i="3"/>
  <c r="AT252" i="3"/>
  <c r="AH244" i="3"/>
  <c r="AT244" i="3"/>
  <c r="AR244" i="3"/>
  <c r="AS244" i="3"/>
  <c r="AH236" i="3"/>
  <c r="AR236" i="3"/>
  <c r="AS236" i="3"/>
  <c r="AT236" i="3"/>
  <c r="AH228" i="3"/>
  <c r="AS228" i="3"/>
  <c r="AT228" i="3"/>
  <c r="AR228" i="3"/>
  <c r="AH220" i="3"/>
  <c r="AT220" i="3"/>
  <c r="AR220" i="3"/>
  <c r="AS220" i="3"/>
  <c r="AH212" i="3"/>
  <c r="AT212" i="3"/>
  <c r="AS212" i="3"/>
  <c r="AR212" i="3"/>
  <c r="AH204" i="3"/>
  <c r="AR204" i="3"/>
  <c r="AS204" i="3"/>
  <c r="AT204" i="3"/>
  <c r="AH196" i="3"/>
  <c r="AR196" i="3"/>
  <c r="AS196" i="3"/>
  <c r="AT196" i="3"/>
  <c r="AH188" i="3"/>
  <c r="AR188" i="3"/>
  <c r="AS188" i="3"/>
  <c r="AT188" i="3"/>
  <c r="AH180" i="3"/>
  <c r="AR180" i="3"/>
  <c r="AT180" i="3"/>
  <c r="AS180" i="3"/>
  <c r="AH172" i="3"/>
  <c r="AS172" i="3"/>
  <c r="AR172" i="3"/>
  <c r="AT172" i="3"/>
  <c r="AH164" i="3"/>
  <c r="AT164" i="3"/>
  <c r="AR164" i="3"/>
  <c r="AS164" i="3"/>
  <c r="AH156" i="3"/>
  <c r="AR156" i="3"/>
  <c r="AS156" i="3"/>
  <c r="AT156" i="3"/>
  <c r="AH148" i="3"/>
  <c r="AR148" i="3"/>
  <c r="AT148" i="3"/>
  <c r="AS148" i="3"/>
  <c r="AH140" i="3"/>
  <c r="AR140" i="3"/>
  <c r="AS140" i="3"/>
  <c r="AT140" i="3"/>
  <c r="AH132" i="3"/>
  <c r="AR132" i="3"/>
  <c r="AS132" i="3"/>
  <c r="AT132" i="3"/>
  <c r="AH124" i="3"/>
  <c r="AS124" i="3"/>
  <c r="AT124" i="3"/>
  <c r="AR124" i="3"/>
  <c r="AH115" i="3"/>
  <c r="AR115" i="3"/>
  <c r="AS115" i="3"/>
  <c r="AT115" i="3"/>
  <c r="AH108" i="3"/>
  <c r="AS108" i="3"/>
  <c r="AR108" i="3"/>
  <c r="AT108" i="3"/>
  <c r="AH100" i="3"/>
  <c r="AR100" i="3"/>
  <c r="AS100" i="3"/>
  <c r="AT100" i="3"/>
  <c r="AH92" i="3"/>
  <c r="AR92" i="3"/>
  <c r="AS92" i="3"/>
  <c r="AT92" i="3"/>
  <c r="AH84" i="3"/>
  <c r="AR84" i="3"/>
  <c r="AS84" i="3"/>
  <c r="AT84" i="3"/>
  <c r="AH76" i="3"/>
  <c r="AT76" i="3"/>
  <c r="AR76" i="3"/>
  <c r="AS76" i="3"/>
  <c r="AH68" i="3"/>
  <c r="AT68" i="3"/>
  <c r="AR68" i="3"/>
  <c r="AS68" i="3"/>
  <c r="AH60" i="3"/>
  <c r="AT60" i="3"/>
  <c r="AR60" i="3"/>
  <c r="AS60" i="3"/>
  <c r="AH52" i="3"/>
  <c r="AR52" i="3"/>
  <c r="AS52" i="3"/>
  <c r="AT52" i="3"/>
  <c r="AH44" i="3"/>
  <c r="AR44" i="3"/>
  <c r="AS44" i="3"/>
  <c r="AT44" i="3"/>
  <c r="AH36" i="3"/>
  <c r="AR36" i="3"/>
  <c r="AT36" i="3"/>
  <c r="AS36" i="3"/>
  <c r="AH28" i="3"/>
  <c r="AT28" i="3"/>
  <c r="AR28" i="3"/>
  <c r="AS28" i="3"/>
  <c r="AH20" i="3"/>
  <c r="AR20" i="3"/>
  <c r="AS20" i="3"/>
  <c r="AT20" i="3"/>
  <c r="AH12" i="3"/>
  <c r="AR12" i="3"/>
  <c r="AS12" i="3"/>
  <c r="AT12" i="3"/>
  <c r="AH4" i="3"/>
  <c r="AR4" i="3"/>
  <c r="AS4" i="3"/>
  <c r="AT4" i="3"/>
  <c r="AB7" i="4"/>
  <c r="A7" i="4"/>
  <c r="AB9" i="4"/>
  <c r="AB61" i="4"/>
  <c r="AB46" i="4"/>
  <c r="AB15" i="4"/>
  <c r="AB79" i="4"/>
  <c r="AB10" i="4"/>
  <c r="AB11" i="4"/>
  <c r="AB27" i="4"/>
  <c r="AB16" i="4"/>
  <c r="AB80" i="4"/>
  <c r="AB33" i="4"/>
  <c r="AB69" i="4"/>
  <c r="AB54" i="4"/>
  <c r="AB23" i="4"/>
  <c r="AB42" i="4"/>
  <c r="AB43" i="4"/>
  <c r="AB59" i="4"/>
  <c r="AB24" i="4"/>
  <c r="AB28" i="4"/>
  <c r="AB13" i="4"/>
  <c r="AB77" i="4"/>
  <c r="AB62" i="4"/>
  <c r="AB31" i="4"/>
  <c r="AB74" i="4"/>
  <c r="AB75" i="4"/>
  <c r="AB84" i="4"/>
  <c r="AB32" i="4"/>
  <c r="AB60" i="4"/>
  <c r="AB57" i="4"/>
  <c r="AB49" i="4"/>
  <c r="AB21" i="4"/>
  <c r="AB85" i="4"/>
  <c r="AB70" i="4"/>
  <c r="AB39" i="4"/>
  <c r="AB18" i="4"/>
  <c r="AB19" i="4"/>
  <c r="AB12" i="4"/>
  <c r="AB68" i="4"/>
  <c r="AB40" i="4"/>
  <c r="AB73" i="4"/>
  <c r="AB29" i="4"/>
  <c r="AB14" i="4"/>
  <c r="AB78" i="4"/>
  <c r="AB47" i="4"/>
  <c r="AB34" i="4"/>
  <c r="AB35" i="4"/>
  <c r="AB44" i="4"/>
  <c r="AB52" i="4"/>
  <c r="AB48" i="4"/>
  <c r="AB65" i="4"/>
  <c r="AB37" i="4"/>
  <c r="AB22" i="4"/>
  <c r="AB55" i="4"/>
  <c r="AB50" i="4"/>
  <c r="AB51" i="4"/>
  <c r="AB76" i="4"/>
  <c r="AB36" i="4"/>
  <c r="AB56" i="4"/>
  <c r="AB25" i="4"/>
  <c r="AB45" i="4"/>
  <c r="AB30" i="4"/>
  <c r="AB63" i="4"/>
  <c r="AB66" i="4"/>
  <c r="AB67" i="4"/>
  <c r="AB26" i="4"/>
  <c r="AB20" i="4"/>
  <c r="AB64" i="4"/>
  <c r="AB17" i="4"/>
  <c r="AB81" i="4"/>
  <c r="AB53" i="4"/>
  <c r="AB38" i="4"/>
  <c r="AB71" i="4"/>
  <c r="AB82" i="4"/>
  <c r="AB83" i="4"/>
  <c r="AB58" i="4"/>
  <c r="AB8" i="4"/>
  <c r="AB72" i="4"/>
  <c r="AB41" i="4"/>
  <c r="AB596" i="3"/>
  <c r="L596" i="3"/>
  <c r="AG596" i="3" s="1"/>
  <c r="I596" i="3"/>
  <c r="H596" i="3"/>
  <c r="W596" i="3" s="1"/>
  <c r="D596" i="3"/>
  <c r="AF596" i="3" s="1"/>
  <c r="L595" i="3"/>
  <c r="AG595" i="3" s="1"/>
  <c r="I595" i="3"/>
  <c r="W595" i="3"/>
  <c r="D595" i="3"/>
  <c r="L594" i="3"/>
  <c r="AG594" i="3" s="1"/>
  <c r="I594" i="3"/>
  <c r="W594" i="3"/>
  <c r="D594" i="3"/>
  <c r="AF594" i="3" s="1"/>
  <c r="L593" i="3"/>
  <c r="AG593" i="3" s="1"/>
  <c r="I593" i="3"/>
  <c r="W593" i="3"/>
  <c r="D593" i="3"/>
  <c r="L592" i="3"/>
  <c r="AG592" i="3" s="1"/>
  <c r="I592" i="3"/>
  <c r="W592" i="3"/>
  <c r="D592" i="3"/>
  <c r="AF592" i="3" s="1"/>
  <c r="L591" i="3"/>
  <c r="AG591" i="3" s="1"/>
  <c r="I591" i="3"/>
  <c r="W591" i="3"/>
  <c r="D591" i="3"/>
  <c r="L590" i="3"/>
  <c r="AG590" i="3" s="1"/>
  <c r="I590" i="3"/>
  <c r="W590" i="3"/>
  <c r="D590" i="3"/>
  <c r="AF590" i="3" s="1"/>
  <c r="L589" i="3"/>
  <c r="AG589" i="3" s="1"/>
  <c r="I589" i="3"/>
  <c r="W589" i="3"/>
  <c r="D589" i="3"/>
  <c r="L588" i="3"/>
  <c r="AG588" i="3" s="1"/>
  <c r="I588" i="3"/>
  <c r="W588" i="3"/>
  <c r="D588" i="3"/>
  <c r="AF588" i="3" s="1"/>
  <c r="L587" i="3"/>
  <c r="AG587" i="3" s="1"/>
  <c r="I587" i="3"/>
  <c r="W587" i="3"/>
  <c r="D587" i="3"/>
  <c r="L586" i="3"/>
  <c r="AG586" i="3" s="1"/>
  <c r="I586" i="3"/>
  <c r="W586" i="3"/>
  <c r="D586" i="3"/>
  <c r="AF586" i="3" s="1"/>
  <c r="L585" i="3"/>
  <c r="AG585" i="3" s="1"/>
  <c r="I585" i="3"/>
  <c r="W585" i="3"/>
  <c r="D585" i="3"/>
  <c r="L584" i="3"/>
  <c r="AG584" i="3" s="1"/>
  <c r="I584" i="3"/>
  <c r="W584" i="3"/>
  <c r="D584" i="3"/>
  <c r="AF584" i="3" s="1"/>
  <c r="L583" i="3"/>
  <c r="AG583" i="3" s="1"/>
  <c r="I583" i="3"/>
  <c r="W583" i="3"/>
  <c r="D583" i="3"/>
  <c r="L582" i="3"/>
  <c r="AG582" i="3" s="1"/>
  <c r="I582" i="3"/>
  <c r="W582" i="3"/>
  <c r="D582" i="3"/>
  <c r="AF582" i="3" s="1"/>
  <c r="L581" i="3"/>
  <c r="AG581" i="3" s="1"/>
  <c r="I581" i="3"/>
  <c r="W581" i="3"/>
  <c r="D581" i="3"/>
  <c r="L580" i="3"/>
  <c r="AG580" i="3" s="1"/>
  <c r="I580" i="3"/>
  <c r="W580" i="3"/>
  <c r="D580" i="3"/>
  <c r="AF580" i="3" s="1"/>
  <c r="L579" i="3"/>
  <c r="AG579" i="3" s="1"/>
  <c r="I579" i="3"/>
  <c r="W579" i="3"/>
  <c r="D579" i="3"/>
  <c r="L578" i="3"/>
  <c r="AG578" i="3" s="1"/>
  <c r="I578" i="3"/>
  <c r="W578" i="3"/>
  <c r="D578" i="3"/>
  <c r="AF578" i="3" s="1"/>
  <c r="L577" i="3"/>
  <c r="AG577" i="3" s="1"/>
  <c r="I577" i="3"/>
  <c r="W577" i="3"/>
  <c r="D577" i="3"/>
  <c r="L576" i="3"/>
  <c r="AG576" i="3" s="1"/>
  <c r="I576" i="3"/>
  <c r="W576" i="3"/>
  <c r="D576" i="3"/>
  <c r="AF576" i="3" s="1"/>
  <c r="L575" i="3"/>
  <c r="AG575" i="3" s="1"/>
  <c r="I575" i="3"/>
  <c r="W575" i="3"/>
  <c r="D575" i="3"/>
  <c r="L574" i="3"/>
  <c r="AG574" i="3" s="1"/>
  <c r="I574" i="3"/>
  <c r="W574" i="3"/>
  <c r="D574" i="3"/>
  <c r="AF574" i="3" s="1"/>
  <c r="L573" i="3"/>
  <c r="AG573" i="3" s="1"/>
  <c r="I573" i="3"/>
  <c r="W573" i="3"/>
  <c r="D573" i="3"/>
  <c r="L572" i="3"/>
  <c r="AG572" i="3" s="1"/>
  <c r="I572" i="3"/>
  <c r="W572" i="3"/>
  <c r="D572" i="3"/>
  <c r="AF572" i="3" s="1"/>
  <c r="L571" i="3"/>
  <c r="AG571" i="3" s="1"/>
  <c r="I571" i="3"/>
  <c r="W571" i="3"/>
  <c r="D571" i="3"/>
  <c r="L570" i="3"/>
  <c r="AG570" i="3" s="1"/>
  <c r="I570" i="3"/>
  <c r="W570" i="3"/>
  <c r="D570" i="3"/>
  <c r="AF570" i="3" s="1"/>
  <c r="L569" i="3"/>
  <c r="AG569" i="3" s="1"/>
  <c r="I569" i="3"/>
  <c r="W569" i="3"/>
  <c r="D569" i="3"/>
  <c r="L568" i="3"/>
  <c r="AG568" i="3" s="1"/>
  <c r="I568" i="3"/>
  <c r="W568" i="3"/>
  <c r="D568" i="3"/>
  <c r="AF568" i="3" s="1"/>
  <c r="L567" i="3"/>
  <c r="AG567" i="3" s="1"/>
  <c r="I567" i="3"/>
  <c r="W567" i="3"/>
  <c r="D567" i="3"/>
  <c r="L566" i="3"/>
  <c r="AG566" i="3" s="1"/>
  <c r="I566" i="3"/>
  <c r="W566" i="3"/>
  <c r="D566" i="3"/>
  <c r="AF566" i="3" s="1"/>
  <c r="L565" i="3"/>
  <c r="AG565" i="3" s="1"/>
  <c r="I565" i="3"/>
  <c r="W565" i="3"/>
  <c r="D565" i="3"/>
  <c r="L564" i="3"/>
  <c r="AG564" i="3" s="1"/>
  <c r="I564" i="3"/>
  <c r="W564" i="3"/>
  <c r="D564" i="3"/>
  <c r="AF564" i="3" s="1"/>
  <c r="L563" i="3"/>
  <c r="AG563" i="3" s="1"/>
  <c r="I563" i="3"/>
  <c r="W563" i="3"/>
  <c r="D563" i="3"/>
  <c r="L562" i="3"/>
  <c r="AG562" i="3" s="1"/>
  <c r="I562" i="3"/>
  <c r="W562" i="3"/>
  <c r="D562" i="3"/>
  <c r="AF562" i="3" s="1"/>
  <c r="L561" i="3"/>
  <c r="AG561" i="3" s="1"/>
  <c r="I561" i="3"/>
  <c r="W561" i="3"/>
  <c r="D561" i="3"/>
  <c r="L560" i="3"/>
  <c r="AG560" i="3" s="1"/>
  <c r="I560" i="3"/>
  <c r="W560" i="3"/>
  <c r="D560" i="3"/>
  <c r="AF560" i="3" s="1"/>
  <c r="L559" i="3"/>
  <c r="AG559" i="3" s="1"/>
  <c r="I559" i="3"/>
  <c r="W559" i="3"/>
  <c r="D559" i="3"/>
  <c r="L558" i="3"/>
  <c r="AG558" i="3" s="1"/>
  <c r="I558" i="3"/>
  <c r="W558" i="3"/>
  <c r="D558" i="3"/>
  <c r="AF558" i="3" s="1"/>
  <c r="L557" i="3"/>
  <c r="AG557" i="3" s="1"/>
  <c r="I557" i="3"/>
  <c r="W557" i="3"/>
  <c r="D557" i="3"/>
  <c r="L556" i="3"/>
  <c r="AG556" i="3" s="1"/>
  <c r="I556" i="3"/>
  <c r="W556" i="3"/>
  <c r="D556" i="3"/>
  <c r="AF556" i="3" s="1"/>
  <c r="L555" i="3"/>
  <c r="AG555" i="3" s="1"/>
  <c r="I555" i="3"/>
  <c r="W555" i="3"/>
  <c r="D555" i="3"/>
  <c r="L554" i="3"/>
  <c r="AG554" i="3" s="1"/>
  <c r="I554" i="3"/>
  <c r="W554" i="3"/>
  <c r="D554" i="3"/>
  <c r="L553" i="3"/>
  <c r="AG553" i="3" s="1"/>
  <c r="I553" i="3"/>
  <c r="W553" i="3"/>
  <c r="D553" i="3"/>
  <c r="L552" i="3"/>
  <c r="AG552" i="3" s="1"/>
  <c r="I552" i="3"/>
  <c r="W552" i="3"/>
  <c r="D552" i="3"/>
  <c r="L551" i="3"/>
  <c r="AG551" i="3" s="1"/>
  <c r="I551" i="3"/>
  <c r="W551" i="3"/>
  <c r="D551" i="3"/>
  <c r="L550" i="3"/>
  <c r="AG550" i="3" s="1"/>
  <c r="I550" i="3"/>
  <c r="W550" i="3"/>
  <c r="D550" i="3"/>
  <c r="AF550" i="3" s="1"/>
  <c r="L549" i="3"/>
  <c r="AG549" i="3" s="1"/>
  <c r="I549" i="3"/>
  <c r="W549" i="3"/>
  <c r="D549" i="3"/>
  <c r="L548" i="3"/>
  <c r="AG548" i="3" s="1"/>
  <c r="I548" i="3"/>
  <c r="W548" i="3"/>
  <c r="D548" i="3"/>
  <c r="AF548" i="3" s="1"/>
  <c r="L547" i="3"/>
  <c r="AG547" i="3" s="1"/>
  <c r="I547" i="3"/>
  <c r="W547" i="3"/>
  <c r="D547" i="3"/>
  <c r="L546" i="3"/>
  <c r="AG546" i="3" s="1"/>
  <c r="I546" i="3"/>
  <c r="W546" i="3"/>
  <c r="D546" i="3"/>
  <c r="AF546" i="3" s="1"/>
  <c r="L545" i="3"/>
  <c r="AG545" i="3" s="1"/>
  <c r="I545" i="3"/>
  <c r="W545" i="3"/>
  <c r="D545" i="3"/>
  <c r="L544" i="3"/>
  <c r="AG544" i="3" s="1"/>
  <c r="I544" i="3"/>
  <c r="W544" i="3"/>
  <c r="D544" i="3"/>
  <c r="AF544" i="3" s="1"/>
  <c r="L543" i="3"/>
  <c r="AG543" i="3" s="1"/>
  <c r="I543" i="3"/>
  <c r="W543" i="3"/>
  <c r="D543" i="3"/>
  <c r="L542" i="3"/>
  <c r="AG542" i="3" s="1"/>
  <c r="I542" i="3"/>
  <c r="W542" i="3"/>
  <c r="D542" i="3"/>
  <c r="L541" i="3"/>
  <c r="AG541" i="3" s="1"/>
  <c r="I541" i="3"/>
  <c r="W541" i="3"/>
  <c r="D541" i="3"/>
  <c r="L540" i="3"/>
  <c r="AG540" i="3" s="1"/>
  <c r="I540" i="3"/>
  <c r="W540" i="3"/>
  <c r="D540" i="3"/>
  <c r="AF540" i="3" s="1"/>
  <c r="L539" i="3"/>
  <c r="AG539" i="3" s="1"/>
  <c r="I539" i="3"/>
  <c r="W539" i="3"/>
  <c r="D539" i="3"/>
  <c r="L538" i="3"/>
  <c r="AG538" i="3" s="1"/>
  <c r="I538" i="3"/>
  <c r="W538" i="3"/>
  <c r="D538" i="3"/>
  <c r="AF538" i="3" s="1"/>
  <c r="L537" i="3"/>
  <c r="AG537" i="3" s="1"/>
  <c r="I537" i="3"/>
  <c r="W537" i="3"/>
  <c r="D537" i="3"/>
  <c r="L536" i="3"/>
  <c r="AG536" i="3" s="1"/>
  <c r="I536" i="3"/>
  <c r="W536" i="3"/>
  <c r="D536" i="3"/>
  <c r="AF536" i="3" s="1"/>
  <c r="L535" i="3"/>
  <c r="AG535" i="3" s="1"/>
  <c r="I535" i="3"/>
  <c r="W535" i="3"/>
  <c r="D535" i="3"/>
  <c r="L534" i="3"/>
  <c r="AG534" i="3" s="1"/>
  <c r="I534" i="3"/>
  <c r="W534" i="3"/>
  <c r="D534" i="3"/>
  <c r="L533" i="3"/>
  <c r="AG533" i="3" s="1"/>
  <c r="I533" i="3"/>
  <c r="W533" i="3"/>
  <c r="D533" i="3"/>
  <c r="L532" i="3"/>
  <c r="AG532" i="3" s="1"/>
  <c r="I532" i="3"/>
  <c r="W532" i="3"/>
  <c r="D532" i="3"/>
  <c r="AF532" i="3" s="1"/>
  <c r="L531" i="3"/>
  <c r="AG531" i="3" s="1"/>
  <c r="I531" i="3"/>
  <c r="W531" i="3"/>
  <c r="D531" i="3"/>
  <c r="L530" i="3"/>
  <c r="AG530" i="3" s="1"/>
  <c r="I530" i="3"/>
  <c r="W530" i="3"/>
  <c r="D530" i="3"/>
  <c r="AF530" i="3" s="1"/>
  <c r="L529" i="3"/>
  <c r="AG529" i="3" s="1"/>
  <c r="I529" i="3"/>
  <c r="W529" i="3"/>
  <c r="D529" i="3"/>
  <c r="L528" i="3"/>
  <c r="AG528" i="3" s="1"/>
  <c r="I528" i="3"/>
  <c r="W528" i="3"/>
  <c r="D528" i="3"/>
  <c r="AF528" i="3" s="1"/>
  <c r="L527" i="3"/>
  <c r="AG527" i="3" s="1"/>
  <c r="I527" i="3"/>
  <c r="W527" i="3"/>
  <c r="D527" i="3"/>
  <c r="L526" i="3"/>
  <c r="AG526" i="3" s="1"/>
  <c r="I526" i="3"/>
  <c r="W526" i="3"/>
  <c r="D526" i="3"/>
  <c r="AF526" i="3" s="1"/>
  <c r="L525" i="3"/>
  <c r="AG525" i="3" s="1"/>
  <c r="I525" i="3"/>
  <c r="W525" i="3"/>
  <c r="D525" i="3"/>
  <c r="L524" i="3"/>
  <c r="AG524" i="3" s="1"/>
  <c r="I524" i="3"/>
  <c r="W524" i="3"/>
  <c r="D524" i="3"/>
  <c r="AF524" i="3" s="1"/>
  <c r="L523" i="3"/>
  <c r="AG523" i="3" s="1"/>
  <c r="I523" i="3"/>
  <c r="W523" i="3"/>
  <c r="D523" i="3"/>
  <c r="L522" i="3"/>
  <c r="AG522" i="3" s="1"/>
  <c r="I522" i="3"/>
  <c r="W522" i="3"/>
  <c r="D522" i="3"/>
  <c r="AF522" i="3" s="1"/>
  <c r="L521" i="3"/>
  <c r="AG521" i="3" s="1"/>
  <c r="I521" i="3"/>
  <c r="W521" i="3"/>
  <c r="D521" i="3"/>
  <c r="L520" i="3"/>
  <c r="AG520" i="3" s="1"/>
  <c r="I520" i="3"/>
  <c r="W520" i="3"/>
  <c r="D520" i="3"/>
  <c r="AF520" i="3" s="1"/>
  <c r="L519" i="3"/>
  <c r="AG519" i="3" s="1"/>
  <c r="I519" i="3"/>
  <c r="W519" i="3"/>
  <c r="D519" i="3"/>
  <c r="L518" i="3"/>
  <c r="AG518" i="3" s="1"/>
  <c r="I518" i="3"/>
  <c r="W518" i="3"/>
  <c r="D518" i="3"/>
  <c r="L517" i="3"/>
  <c r="AG517" i="3" s="1"/>
  <c r="I517" i="3"/>
  <c r="W517" i="3"/>
  <c r="D517" i="3"/>
  <c r="L516" i="3"/>
  <c r="AG516" i="3" s="1"/>
  <c r="I516" i="3"/>
  <c r="W516" i="3"/>
  <c r="D516" i="3"/>
  <c r="L515" i="3"/>
  <c r="AG515" i="3" s="1"/>
  <c r="I515" i="3"/>
  <c r="W515" i="3"/>
  <c r="D515" i="3"/>
  <c r="L514" i="3"/>
  <c r="AG514" i="3" s="1"/>
  <c r="I514" i="3"/>
  <c r="W514" i="3"/>
  <c r="D514" i="3"/>
  <c r="AF514" i="3" s="1"/>
  <c r="L513" i="3"/>
  <c r="AG513" i="3" s="1"/>
  <c r="I513" i="3"/>
  <c r="W513" i="3"/>
  <c r="D513" i="3"/>
  <c r="L512" i="3"/>
  <c r="AG512" i="3" s="1"/>
  <c r="I512" i="3"/>
  <c r="W512" i="3"/>
  <c r="D512" i="3"/>
  <c r="AF512" i="3" s="1"/>
  <c r="L511" i="3"/>
  <c r="AG511" i="3" s="1"/>
  <c r="I511" i="3"/>
  <c r="W511" i="3"/>
  <c r="D511" i="3"/>
  <c r="L510" i="3"/>
  <c r="AG510" i="3" s="1"/>
  <c r="I510" i="3"/>
  <c r="W510" i="3"/>
  <c r="D510" i="3"/>
  <c r="L509" i="3"/>
  <c r="AG509" i="3" s="1"/>
  <c r="I509" i="3"/>
  <c r="W509" i="3"/>
  <c r="D509" i="3"/>
  <c r="L508" i="3"/>
  <c r="AG508" i="3" s="1"/>
  <c r="I508" i="3"/>
  <c r="W508" i="3"/>
  <c r="D508" i="3"/>
  <c r="AF508" i="3" s="1"/>
  <c r="L507" i="3"/>
  <c r="AG507" i="3" s="1"/>
  <c r="I507" i="3"/>
  <c r="W507" i="3"/>
  <c r="D507" i="3"/>
  <c r="L506" i="3"/>
  <c r="AG506" i="3" s="1"/>
  <c r="I506" i="3"/>
  <c r="W506" i="3"/>
  <c r="D506" i="3"/>
  <c r="AF506" i="3" s="1"/>
  <c r="L505" i="3"/>
  <c r="AG505" i="3" s="1"/>
  <c r="I505" i="3"/>
  <c r="W505" i="3"/>
  <c r="D505" i="3"/>
  <c r="L504" i="3"/>
  <c r="AG504" i="3" s="1"/>
  <c r="I504" i="3"/>
  <c r="W504" i="3"/>
  <c r="D504" i="3"/>
  <c r="AF504" i="3" s="1"/>
  <c r="L503" i="3"/>
  <c r="AG503" i="3" s="1"/>
  <c r="I503" i="3"/>
  <c r="W503" i="3"/>
  <c r="D503" i="3"/>
  <c r="L502" i="3"/>
  <c r="AG502" i="3" s="1"/>
  <c r="I502" i="3"/>
  <c r="W502" i="3"/>
  <c r="D502" i="3"/>
  <c r="AF502" i="3" s="1"/>
  <c r="L501" i="3"/>
  <c r="AG501" i="3" s="1"/>
  <c r="I501" i="3"/>
  <c r="W501" i="3"/>
  <c r="D501" i="3"/>
  <c r="L500" i="3"/>
  <c r="AG500" i="3" s="1"/>
  <c r="I500" i="3"/>
  <c r="W500" i="3"/>
  <c r="D500" i="3"/>
  <c r="L499" i="3"/>
  <c r="AG499" i="3" s="1"/>
  <c r="I499" i="3"/>
  <c r="W499" i="3"/>
  <c r="D499" i="3"/>
  <c r="L498" i="3"/>
  <c r="AG498" i="3" s="1"/>
  <c r="I498" i="3"/>
  <c r="W498" i="3"/>
  <c r="D498" i="3"/>
  <c r="AF498" i="3" s="1"/>
  <c r="L497" i="3"/>
  <c r="AG497" i="3" s="1"/>
  <c r="I497" i="3"/>
  <c r="W497" i="3"/>
  <c r="D497" i="3"/>
  <c r="L496" i="3"/>
  <c r="AG496" i="3" s="1"/>
  <c r="I496" i="3"/>
  <c r="W496" i="3"/>
  <c r="D496" i="3"/>
  <c r="AF496" i="3" s="1"/>
  <c r="L495" i="3"/>
  <c r="AG495" i="3" s="1"/>
  <c r="I495" i="3"/>
  <c r="W495" i="3"/>
  <c r="D495" i="3"/>
  <c r="L494" i="3"/>
  <c r="AG494" i="3" s="1"/>
  <c r="I494" i="3"/>
  <c r="W494" i="3"/>
  <c r="D494" i="3"/>
  <c r="AF494" i="3" s="1"/>
  <c r="L493" i="3"/>
  <c r="AG493" i="3" s="1"/>
  <c r="I493" i="3"/>
  <c r="W493" i="3"/>
  <c r="D493" i="3"/>
  <c r="L492" i="3"/>
  <c r="AG492" i="3" s="1"/>
  <c r="I492" i="3"/>
  <c r="W492" i="3"/>
  <c r="D492" i="3"/>
  <c r="AF492" i="3" s="1"/>
  <c r="L491" i="3"/>
  <c r="AG491" i="3" s="1"/>
  <c r="I491" i="3"/>
  <c r="W491" i="3"/>
  <c r="D491" i="3"/>
  <c r="L490" i="3"/>
  <c r="AG490" i="3" s="1"/>
  <c r="I490" i="3"/>
  <c r="W490" i="3"/>
  <c r="D490" i="3"/>
  <c r="L489" i="3"/>
  <c r="AG489" i="3" s="1"/>
  <c r="I489" i="3"/>
  <c r="W489" i="3"/>
  <c r="D489" i="3"/>
  <c r="L488" i="3"/>
  <c r="AG488" i="3" s="1"/>
  <c r="I488" i="3"/>
  <c r="W488" i="3"/>
  <c r="D488" i="3"/>
  <c r="AF488" i="3" s="1"/>
  <c r="L487" i="3"/>
  <c r="AG487" i="3" s="1"/>
  <c r="I487" i="3"/>
  <c r="W487" i="3"/>
  <c r="D487" i="3"/>
  <c r="L486" i="3"/>
  <c r="AG486" i="3" s="1"/>
  <c r="I486" i="3"/>
  <c r="W486" i="3"/>
  <c r="D486" i="3"/>
  <c r="AF486" i="3" s="1"/>
  <c r="L485" i="3"/>
  <c r="AG485" i="3" s="1"/>
  <c r="I485" i="3"/>
  <c r="W485" i="3"/>
  <c r="D485" i="3"/>
  <c r="L484" i="3"/>
  <c r="AG484" i="3" s="1"/>
  <c r="I484" i="3"/>
  <c r="W484" i="3"/>
  <c r="D484" i="3"/>
  <c r="AF484" i="3" s="1"/>
  <c r="L483" i="3"/>
  <c r="AG483" i="3" s="1"/>
  <c r="I483" i="3"/>
  <c r="W483" i="3"/>
  <c r="D483" i="3"/>
  <c r="L482" i="3"/>
  <c r="AG482" i="3" s="1"/>
  <c r="I482" i="3"/>
  <c r="W482" i="3"/>
  <c r="D482" i="3"/>
  <c r="AF482" i="3" s="1"/>
  <c r="L481" i="3"/>
  <c r="AG481" i="3" s="1"/>
  <c r="I481" i="3"/>
  <c r="W481" i="3"/>
  <c r="D481" i="3"/>
  <c r="L480" i="3"/>
  <c r="AG480" i="3" s="1"/>
  <c r="I480" i="3"/>
  <c r="W480" i="3"/>
  <c r="D480" i="3"/>
  <c r="AF480" i="3" s="1"/>
  <c r="L479" i="3"/>
  <c r="AG479" i="3" s="1"/>
  <c r="I479" i="3"/>
  <c r="W479" i="3"/>
  <c r="D479" i="3"/>
  <c r="L478" i="3"/>
  <c r="AG478" i="3" s="1"/>
  <c r="I478" i="3"/>
  <c r="W478" i="3"/>
  <c r="D478" i="3"/>
  <c r="L477" i="3"/>
  <c r="AG477" i="3" s="1"/>
  <c r="I477" i="3"/>
  <c r="W477" i="3"/>
  <c r="D477" i="3"/>
  <c r="L476" i="3"/>
  <c r="AG476" i="3" s="1"/>
  <c r="I476" i="3"/>
  <c r="W476" i="3"/>
  <c r="D476" i="3"/>
  <c r="AF476" i="3" s="1"/>
  <c r="L475" i="3"/>
  <c r="AG475" i="3" s="1"/>
  <c r="I475" i="3"/>
  <c r="W475" i="3"/>
  <c r="D475" i="3"/>
  <c r="L474" i="3"/>
  <c r="AG474" i="3" s="1"/>
  <c r="I474" i="3"/>
  <c r="W474" i="3"/>
  <c r="D474" i="3"/>
  <c r="L473" i="3"/>
  <c r="AG473" i="3" s="1"/>
  <c r="I473" i="3"/>
  <c r="W473" i="3"/>
  <c r="D473" i="3"/>
  <c r="L472" i="3"/>
  <c r="AG472" i="3" s="1"/>
  <c r="I472" i="3"/>
  <c r="W472" i="3"/>
  <c r="D472" i="3"/>
  <c r="L471" i="3"/>
  <c r="AG471" i="3" s="1"/>
  <c r="I471" i="3"/>
  <c r="W471" i="3"/>
  <c r="D471" i="3"/>
  <c r="L470" i="3"/>
  <c r="AG470" i="3" s="1"/>
  <c r="I470" i="3"/>
  <c r="W470" i="3"/>
  <c r="D470" i="3"/>
  <c r="AF470" i="3" s="1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04" i="3"/>
  <c r="D303" i="3"/>
  <c r="AC289" i="3"/>
  <c r="AC212" i="3"/>
  <c r="AC310" i="3"/>
  <c r="AC309" i="3"/>
  <c r="AC308" i="3"/>
  <c r="AC307" i="3"/>
  <c r="AC302" i="3"/>
  <c r="AC301" i="3"/>
  <c r="AC300" i="3"/>
  <c r="AC299" i="3"/>
  <c r="AC297" i="3"/>
  <c r="AC296" i="3"/>
  <c r="AC239" i="3"/>
  <c r="AC238" i="3"/>
  <c r="AC290" i="3"/>
  <c r="AC314" i="3"/>
  <c r="AC237" i="3"/>
  <c r="AC291" i="3"/>
  <c r="AC313" i="3"/>
  <c r="AC236" i="3"/>
  <c r="AC282" i="3"/>
  <c r="AC312" i="3"/>
  <c r="AC235" i="3"/>
  <c r="AC280" i="3"/>
  <c r="AC311" i="3"/>
  <c r="AC233" i="3"/>
  <c r="AC279" i="3"/>
  <c r="AC306" i="3"/>
  <c r="AC228" i="3"/>
  <c r="AC288" i="3"/>
  <c r="AC298" i="3"/>
  <c r="AC213" i="3"/>
  <c r="AC277" i="3"/>
  <c r="AC295" i="3"/>
  <c r="AC211" i="3"/>
  <c r="AC283" i="3"/>
  <c r="AC200" i="3"/>
  <c r="AC294" i="3"/>
  <c r="AC151" i="3"/>
  <c r="AC278" i="3"/>
  <c r="AC293" i="3"/>
  <c r="AC210" i="3"/>
  <c r="AC285" i="3"/>
  <c r="AC202" i="3"/>
  <c r="AC292" i="3"/>
  <c r="AC161" i="3"/>
  <c r="AC201" i="3"/>
  <c r="AC217" i="3"/>
  <c r="AC159" i="3"/>
  <c r="AC204" i="3"/>
  <c r="AC240" i="3"/>
  <c r="AC160" i="3"/>
  <c r="AC275" i="3"/>
  <c r="AC199" i="3"/>
  <c r="AC222" i="3"/>
  <c r="AC150" i="3"/>
  <c r="AC276" i="3"/>
  <c r="AC218" i="3"/>
  <c r="AC203" i="3"/>
  <c r="AC152" i="3"/>
  <c r="AC148" i="3"/>
  <c r="AC274" i="3"/>
  <c r="AC198" i="3"/>
  <c r="AC225" i="3"/>
  <c r="AC149" i="3"/>
  <c r="AC273" i="3"/>
  <c r="AC197" i="3"/>
  <c r="AC223" i="3"/>
  <c r="AC147" i="3"/>
  <c r="AC196" i="3"/>
  <c r="AC224" i="3"/>
  <c r="AC146" i="3"/>
  <c r="AC338" i="3"/>
  <c r="AC268" i="3"/>
  <c r="AC191" i="3"/>
  <c r="AC214" i="3"/>
  <c r="AC141" i="3"/>
  <c r="AC342" i="3"/>
  <c r="AC272" i="3"/>
  <c r="AC195" i="3"/>
  <c r="AC221" i="3"/>
  <c r="AC145" i="3"/>
  <c r="AC341" i="3"/>
  <c r="AC271" i="3"/>
  <c r="AC194" i="3"/>
  <c r="AC216" i="3"/>
  <c r="AC144" i="3"/>
  <c r="AC340" i="3"/>
  <c r="AC270" i="3"/>
  <c r="AC193" i="3"/>
  <c r="AC215" i="3"/>
  <c r="AC143" i="3"/>
  <c r="AC339" i="3"/>
  <c r="AC269" i="3"/>
  <c r="AC192" i="3"/>
  <c r="AC220" i="3"/>
  <c r="AC142" i="3"/>
  <c r="AC190" i="3"/>
  <c r="AC156" i="3"/>
  <c r="AC94" i="3"/>
  <c r="AC335" i="3"/>
  <c r="AC265" i="3"/>
  <c r="AC185" i="3"/>
  <c r="AC155" i="3"/>
  <c r="AC92" i="3"/>
  <c r="AC334" i="3"/>
  <c r="AC264" i="3"/>
  <c r="AC184" i="3"/>
  <c r="AC154" i="3"/>
  <c r="AC93" i="3"/>
  <c r="AC333" i="3"/>
  <c r="AC263" i="3"/>
  <c r="AC183" i="3"/>
  <c r="AC153" i="3"/>
  <c r="AC86" i="3"/>
  <c r="AC331" i="3"/>
  <c r="AC261" i="3"/>
  <c r="AC181" i="3"/>
  <c r="AC114" i="3"/>
  <c r="AC87" i="3"/>
  <c r="AC330" i="3"/>
  <c r="AC260" i="3"/>
  <c r="AC180" i="3"/>
  <c r="AC140" i="3"/>
  <c r="AC96" i="3"/>
  <c r="AC79" i="3"/>
  <c r="AC337" i="3"/>
  <c r="AC267" i="3"/>
  <c r="AC139" i="3"/>
  <c r="AC226" i="3"/>
  <c r="AC189" i="3"/>
  <c r="AC95" i="3"/>
  <c r="AC78" i="3"/>
  <c r="AC329" i="3"/>
  <c r="AC259" i="3"/>
  <c r="AC179" i="3"/>
  <c r="AC138" i="3"/>
  <c r="AC91" i="3"/>
  <c r="AC77" i="3"/>
  <c r="AC328" i="3"/>
  <c r="AC258" i="3"/>
  <c r="AC178" i="3"/>
  <c r="AC137" i="3"/>
  <c r="AC90" i="3"/>
  <c r="AC76" i="3"/>
  <c r="AC89" i="3"/>
  <c r="AC75" i="3"/>
  <c r="AC327" i="3"/>
  <c r="AC257" i="3"/>
  <c r="AC177" i="3"/>
  <c r="AC136" i="3"/>
  <c r="AC88" i="3"/>
  <c r="AC74" i="3"/>
  <c r="AC287" i="3"/>
  <c r="AC188" i="3"/>
  <c r="AC135" i="3"/>
  <c r="AC85" i="3"/>
  <c r="AC61" i="3"/>
  <c r="AC326" i="3"/>
  <c r="AC256" i="3"/>
  <c r="AC176" i="3"/>
  <c r="AC134" i="3"/>
  <c r="AC84" i="3"/>
  <c r="AC63" i="3"/>
  <c r="AC175" i="3"/>
  <c r="AC133" i="3"/>
  <c r="AC83" i="3"/>
  <c r="AC60" i="3"/>
  <c r="AC325" i="3"/>
  <c r="AC255" i="3"/>
  <c r="AC174" i="3"/>
  <c r="AC132" i="3"/>
  <c r="AC82" i="3"/>
  <c r="AC66" i="3"/>
  <c r="AC286" i="3"/>
  <c r="AC187" i="3"/>
  <c r="AC131" i="3"/>
  <c r="AC97" i="3"/>
  <c r="AC73" i="3"/>
  <c r="AC58" i="3"/>
  <c r="AC336" i="3"/>
  <c r="AC266" i="3"/>
  <c r="AC227" i="3"/>
  <c r="AC186" i="3"/>
  <c r="AC130" i="3"/>
  <c r="AC111" i="3"/>
  <c r="AC72" i="3"/>
  <c r="AC56" i="3"/>
  <c r="AC324" i="3"/>
  <c r="AC254" i="3"/>
  <c r="AC173" i="3"/>
  <c r="AC129" i="3"/>
  <c r="AC110" i="3"/>
  <c r="AC71" i="3"/>
  <c r="AC64" i="3"/>
  <c r="AC323" i="3"/>
  <c r="AC253" i="3"/>
  <c r="AC172" i="3"/>
  <c r="AC128" i="3"/>
  <c r="AC109" i="3"/>
  <c r="AC70" i="3"/>
  <c r="AC65" i="3"/>
  <c r="AC322" i="3"/>
  <c r="AC252" i="3"/>
  <c r="AC171" i="3"/>
  <c r="AC127" i="3"/>
  <c r="AC108" i="3"/>
  <c r="AC69" i="3"/>
  <c r="AC62" i="3"/>
  <c r="AC126" i="3"/>
  <c r="AC107" i="3"/>
  <c r="AC59" i="3"/>
  <c r="AC55" i="3"/>
  <c r="AC332" i="3"/>
  <c r="AC262" i="3"/>
  <c r="AC182" i="3"/>
  <c r="AC125" i="3"/>
  <c r="AC115" i="3"/>
  <c r="AC80" i="3"/>
  <c r="AC54" i="3"/>
  <c r="AC40" i="3"/>
  <c r="AC53" i="3"/>
  <c r="AC44" i="3"/>
  <c r="AC52" i="3"/>
  <c r="AC41" i="3"/>
  <c r="AC51" i="3"/>
  <c r="AC39" i="3"/>
  <c r="AC321" i="3"/>
  <c r="AC251" i="3"/>
  <c r="AC170" i="3"/>
  <c r="AC124" i="3"/>
  <c r="AC106" i="3"/>
  <c r="AC50" i="3"/>
  <c r="AC38" i="3"/>
  <c r="AC320" i="3"/>
  <c r="AC250" i="3"/>
  <c r="AC169" i="3"/>
  <c r="AC123" i="3"/>
  <c r="AC105" i="3"/>
  <c r="AC49" i="3"/>
  <c r="AC37" i="3"/>
  <c r="AC209" i="3"/>
  <c r="AC281" i="3"/>
  <c r="AC305" i="3"/>
  <c r="AC234" i="3"/>
  <c r="AC45" i="3"/>
  <c r="AC28" i="3"/>
  <c r="AC27" i="3"/>
  <c r="F9" i="6" l="1"/>
  <c r="T9" i="6"/>
  <c r="L9" i="6"/>
  <c r="C9" i="6"/>
  <c r="V9" i="6"/>
  <c r="E9" i="12"/>
  <c r="C9" i="12"/>
  <c r="Q9" i="12" s="1"/>
  <c r="F9" i="12"/>
  <c r="D9" i="12"/>
  <c r="B9" i="6"/>
  <c r="A10" i="6" s="1"/>
  <c r="J10" i="6" s="1"/>
  <c r="D9" i="6"/>
  <c r="U9" i="6"/>
  <c r="M9" i="6"/>
  <c r="G9" i="6"/>
  <c r="E9" i="6"/>
  <c r="H9" i="6"/>
  <c r="B9" i="12"/>
  <c r="A10" i="12" s="1"/>
  <c r="K9" i="6"/>
  <c r="W284" i="3"/>
  <c r="AC284" i="3"/>
  <c r="D305" i="3"/>
  <c r="AF471" i="3"/>
  <c r="AF475" i="3"/>
  <c r="AF479" i="3"/>
  <c r="AF481" i="3"/>
  <c r="AF487" i="3"/>
  <c r="AF491" i="3"/>
  <c r="AF495" i="3"/>
  <c r="AF497" i="3"/>
  <c r="AF501" i="3"/>
  <c r="AF503" i="3"/>
  <c r="AF505" i="3"/>
  <c r="AF507" i="3"/>
  <c r="AF509" i="3"/>
  <c r="AF513" i="3"/>
  <c r="AF515" i="3"/>
  <c r="AF517" i="3"/>
  <c r="AF519" i="3"/>
  <c r="AF523" i="3"/>
  <c r="AF527" i="3"/>
  <c r="AF529" i="3"/>
  <c r="AF531" i="3"/>
  <c r="AF533" i="3"/>
  <c r="AF535" i="3"/>
  <c r="AF537" i="3"/>
  <c r="AF539" i="3"/>
  <c r="AF543" i="3"/>
  <c r="AF545" i="3"/>
  <c r="AF547" i="3"/>
  <c r="AF549" i="3"/>
  <c r="AF551" i="3"/>
  <c r="AF553" i="3"/>
  <c r="AF555" i="3"/>
  <c r="AF563" i="3"/>
  <c r="AF565" i="3"/>
  <c r="AF567" i="3"/>
  <c r="AF571" i="3"/>
  <c r="AF573" i="3"/>
  <c r="AF575" i="3"/>
  <c r="AF581" i="3"/>
  <c r="AF583" i="3"/>
  <c r="AF587" i="3"/>
  <c r="AF593" i="3"/>
  <c r="AF595" i="3"/>
  <c r="AE534" i="3"/>
  <c r="AF534" i="3"/>
  <c r="AE478" i="3"/>
  <c r="AF478" i="3"/>
  <c r="AE490" i="3"/>
  <c r="AF490" i="3"/>
  <c r="AE518" i="3"/>
  <c r="AF518" i="3"/>
  <c r="AE542" i="3"/>
  <c r="AF542" i="3"/>
  <c r="AE474" i="3"/>
  <c r="AF474" i="3"/>
  <c r="AE552" i="3"/>
  <c r="AF552" i="3"/>
  <c r="AE472" i="3"/>
  <c r="AF472" i="3"/>
  <c r="AE500" i="3"/>
  <c r="AF500" i="3"/>
  <c r="AE510" i="3"/>
  <c r="AF510" i="3"/>
  <c r="AE516" i="3"/>
  <c r="AF516" i="3"/>
  <c r="AE554" i="3"/>
  <c r="AF554" i="3"/>
  <c r="AE473" i="3"/>
  <c r="AF473" i="3"/>
  <c r="AE477" i="3"/>
  <c r="AF477" i="3"/>
  <c r="AE483" i="3"/>
  <c r="AF483" i="3"/>
  <c r="AE485" i="3"/>
  <c r="AF485" i="3"/>
  <c r="AE489" i="3"/>
  <c r="AF489" i="3"/>
  <c r="AE493" i="3"/>
  <c r="AF493" i="3"/>
  <c r="AE499" i="3"/>
  <c r="AF499" i="3"/>
  <c r="AE511" i="3"/>
  <c r="AF511" i="3"/>
  <c r="AE521" i="3"/>
  <c r="AF521" i="3"/>
  <c r="AE525" i="3"/>
  <c r="AF525" i="3"/>
  <c r="AE541" i="3"/>
  <c r="AF541" i="3"/>
  <c r="AE557" i="3"/>
  <c r="AF557" i="3"/>
  <c r="AE559" i="3"/>
  <c r="AF559" i="3"/>
  <c r="AE561" i="3"/>
  <c r="AF561" i="3"/>
  <c r="AE569" i="3"/>
  <c r="AF569" i="3"/>
  <c r="AE577" i="3"/>
  <c r="AF577" i="3"/>
  <c r="AE579" i="3"/>
  <c r="AF579" i="3"/>
  <c r="AE585" i="3"/>
  <c r="AF585" i="3"/>
  <c r="AE589" i="3"/>
  <c r="AF589" i="3"/>
  <c r="AE591" i="3"/>
  <c r="AF591" i="3"/>
  <c r="U89" i="6"/>
  <c r="V104" i="6"/>
  <c r="B107" i="6"/>
  <c r="S104" i="6"/>
  <c r="O101" i="6"/>
  <c r="U87" i="6"/>
  <c r="J89" i="6"/>
  <c r="O91" i="6"/>
  <c r="J90" i="6"/>
  <c r="T91" i="6"/>
  <c r="U97" i="6"/>
  <c r="Q88" i="6"/>
  <c r="J107" i="6"/>
  <c r="O102" i="6"/>
  <c r="N98" i="6"/>
  <c r="B95" i="6"/>
  <c r="B89" i="6"/>
  <c r="F88" i="6"/>
  <c r="C93" i="6"/>
  <c r="L91" i="6"/>
  <c r="O103" i="6"/>
  <c r="C90" i="6"/>
  <c r="S105" i="6"/>
  <c r="V99" i="6"/>
  <c r="R91" i="6"/>
  <c r="M107" i="6"/>
  <c r="U103" i="6"/>
  <c r="R95" i="6"/>
  <c r="N87" i="6"/>
  <c r="M92" i="6"/>
  <c r="K94" i="6"/>
  <c r="L106" i="6"/>
  <c r="L101" i="6"/>
  <c r="H93" i="6"/>
  <c r="N106" i="6"/>
  <c r="T107" i="6"/>
  <c r="V108" i="6"/>
  <c r="N105" i="6"/>
  <c r="I99" i="6"/>
  <c r="F91" i="6"/>
  <c r="T104" i="6"/>
  <c r="P105" i="6"/>
  <c r="M108" i="6"/>
  <c r="V87" i="6"/>
  <c r="D97" i="6"/>
  <c r="L108" i="6"/>
  <c r="B105" i="6"/>
  <c r="C98" i="6"/>
  <c r="T89" i="6"/>
  <c r="I102" i="6"/>
  <c r="H99" i="6"/>
  <c r="G96" i="6"/>
  <c r="F93" i="6"/>
  <c r="E90" i="6"/>
  <c r="D87" i="6"/>
  <c r="M101" i="6"/>
  <c r="L98" i="6"/>
  <c r="K95" i="6"/>
  <c r="J92" i="6"/>
  <c r="I89" i="6"/>
  <c r="I103" i="6"/>
  <c r="H100" i="6"/>
  <c r="G97" i="6"/>
  <c r="F94" i="6"/>
  <c r="E91" i="6"/>
  <c r="D88" i="6"/>
  <c r="R101" i="6"/>
  <c r="Q98" i="6"/>
  <c r="P95" i="6"/>
  <c r="O92" i="6"/>
  <c r="N89" i="6"/>
  <c r="S107" i="6"/>
  <c r="R104" i="6"/>
  <c r="Q101" i="6"/>
  <c r="P98" i="6"/>
  <c r="O95" i="6"/>
  <c r="N92" i="6"/>
  <c r="M89" i="6"/>
  <c r="L97" i="6"/>
  <c r="T101" i="6"/>
  <c r="J99" i="6"/>
  <c r="P104" i="6"/>
  <c r="P107" i="6"/>
  <c r="N101" i="6"/>
  <c r="R100" i="6"/>
  <c r="N102" i="6"/>
  <c r="I87" i="6"/>
  <c r="S88" i="6"/>
  <c r="T94" i="6"/>
  <c r="M104" i="6"/>
  <c r="Q105" i="6"/>
  <c r="Q100" i="6"/>
  <c r="P96" i="6"/>
  <c r="E103" i="6"/>
  <c r="C92" i="6"/>
  <c r="H94" i="6"/>
  <c r="E99" i="6"/>
  <c r="N97" i="6"/>
  <c r="N100" i="6"/>
  <c r="N90" i="6"/>
  <c r="S108" i="6"/>
  <c r="J105" i="6"/>
  <c r="V98" i="6"/>
  <c r="S90" i="6"/>
  <c r="D107" i="6"/>
  <c r="S102" i="6"/>
  <c r="R94" i="6"/>
  <c r="I108" i="6"/>
  <c r="M88" i="6"/>
  <c r="J91" i="6"/>
  <c r="C106" i="6"/>
  <c r="L100" i="6"/>
  <c r="I92" i="6"/>
  <c r="H105" i="6"/>
  <c r="D106" i="6"/>
  <c r="N108" i="6"/>
  <c r="D105" i="6"/>
  <c r="G98" i="6"/>
  <c r="F90" i="6"/>
  <c r="R102" i="6"/>
  <c r="I104" i="6"/>
  <c r="G107" i="6"/>
  <c r="U108" i="6"/>
  <c r="E96" i="6"/>
  <c r="C108" i="6"/>
  <c r="N104" i="6"/>
  <c r="C97" i="6"/>
  <c r="U88" i="6"/>
  <c r="V101" i="6"/>
  <c r="U98" i="6"/>
  <c r="T95" i="6"/>
  <c r="S92" i="6"/>
  <c r="R89" i="6"/>
  <c r="F104" i="6"/>
  <c r="E101" i="6"/>
  <c r="D98" i="6"/>
  <c r="C95" i="6"/>
  <c r="B92" i="6"/>
  <c r="V88" i="6"/>
  <c r="V102" i="6"/>
  <c r="U99" i="6"/>
  <c r="T96" i="6"/>
  <c r="S93" i="6"/>
  <c r="R90" i="6"/>
  <c r="Q87" i="6"/>
  <c r="J101" i="6"/>
  <c r="I98" i="6"/>
  <c r="H95" i="6"/>
  <c r="G92" i="6"/>
  <c r="F89" i="6"/>
  <c r="K107" i="6"/>
  <c r="J104" i="6"/>
  <c r="I101" i="6"/>
  <c r="H98" i="6"/>
  <c r="G95" i="6"/>
  <c r="F92" i="6"/>
  <c r="E89" i="6"/>
  <c r="K108" i="6"/>
  <c r="P93" i="6"/>
  <c r="I91" i="6"/>
  <c r="Q99" i="6"/>
  <c r="O107" i="6"/>
  <c r="K92" i="6"/>
  <c r="N88" i="6"/>
  <c r="B101" i="6"/>
  <c r="V100" i="6"/>
  <c r="F106" i="6"/>
  <c r="F105" i="6"/>
  <c r="Q107" i="6"/>
  <c r="J106" i="6"/>
  <c r="F101" i="6"/>
  <c r="I97" i="6"/>
  <c r="B90" i="6"/>
  <c r="L94" i="6"/>
  <c r="S106" i="6"/>
  <c r="N107" i="6"/>
  <c r="V103" i="6"/>
  <c r="U95" i="6"/>
  <c r="R87" i="6"/>
  <c r="R105" i="6"/>
  <c r="R99" i="6"/>
  <c r="Q91" i="6"/>
  <c r="K104" i="6"/>
  <c r="M106" i="6"/>
  <c r="G108" i="6"/>
  <c r="Q104" i="6"/>
  <c r="K97" i="6"/>
  <c r="H89" i="6"/>
  <c r="P97" i="6"/>
  <c r="M100" i="6"/>
  <c r="H107" i="6"/>
  <c r="J103" i="6"/>
  <c r="F95" i="6"/>
  <c r="E87" i="6"/>
  <c r="O93" i="6"/>
  <c r="M96" i="6"/>
  <c r="G101" i="6"/>
  <c r="C105" i="6"/>
  <c r="B91" i="6"/>
  <c r="R106" i="6"/>
  <c r="C102" i="6"/>
  <c r="B94" i="6"/>
  <c r="T103" i="6"/>
  <c r="S100" i="6"/>
  <c r="R97" i="6"/>
  <c r="Q94" i="6"/>
  <c r="P91" i="6"/>
  <c r="O88" i="6"/>
  <c r="C103" i="6"/>
  <c r="B100" i="6"/>
  <c r="V96" i="6"/>
  <c r="U93" i="6"/>
  <c r="T90" i="6"/>
  <c r="S87" i="6"/>
  <c r="S101" i="6"/>
  <c r="R98" i="6"/>
  <c r="Q95" i="6"/>
  <c r="P92" i="6"/>
  <c r="O89" i="6"/>
  <c r="H103" i="6"/>
  <c r="G100" i="6"/>
  <c r="F97" i="6"/>
  <c r="E94" i="6"/>
  <c r="D91" i="6"/>
  <c r="C88" i="6"/>
  <c r="H106" i="6"/>
  <c r="G103" i="6"/>
  <c r="F100" i="6"/>
  <c r="E97" i="6"/>
  <c r="D94" i="6"/>
  <c r="C91" i="6"/>
  <c r="B88" i="6"/>
  <c r="S89" i="6"/>
  <c r="I88" i="6"/>
  <c r="E108" i="6"/>
  <c r="V105" i="6"/>
  <c r="V95" i="6"/>
  <c r="L95" i="6"/>
  <c r="Q97" i="6"/>
  <c r="L96" i="6"/>
  <c r="V97" i="6"/>
  <c r="C107" i="6"/>
  <c r="B104" i="6"/>
  <c r="B108" i="6"/>
  <c r="Q92" i="6"/>
  <c r="G90" i="6"/>
  <c r="E88" i="6"/>
  <c r="F107" i="6"/>
  <c r="D95" i="6"/>
  <c r="G91" i="6"/>
  <c r="O100" i="6"/>
  <c r="K91" i="6"/>
  <c r="L105" i="6"/>
  <c r="E107" i="6"/>
  <c r="B103" i="6"/>
  <c r="S94" i="6"/>
  <c r="R108" i="6"/>
  <c r="I105" i="6"/>
  <c r="S98" i="6"/>
  <c r="O90" i="6"/>
  <c r="P101" i="6"/>
  <c r="G105" i="6"/>
  <c r="R107" i="6"/>
  <c r="H104" i="6"/>
  <c r="I96" i="6"/>
  <c r="H88" i="6"/>
  <c r="O94" i="6"/>
  <c r="M95" i="6"/>
  <c r="T106" i="6"/>
  <c r="J102" i="6"/>
  <c r="G94" i="6"/>
  <c r="Q108" i="6"/>
  <c r="M87" i="6"/>
  <c r="L93" i="6"/>
  <c r="F98" i="6"/>
  <c r="D104" i="6"/>
  <c r="C89" i="6"/>
  <c r="I106" i="6"/>
  <c r="D101" i="6"/>
  <c r="U92" i="6"/>
  <c r="L103" i="6"/>
  <c r="K100" i="6"/>
  <c r="J97" i="6"/>
  <c r="I94" i="6"/>
  <c r="H91" i="6"/>
  <c r="G88" i="6"/>
  <c r="P102" i="6"/>
  <c r="O99" i="6"/>
  <c r="N96" i="6"/>
  <c r="M93" i="6"/>
  <c r="L90" i="6"/>
  <c r="K87" i="6"/>
  <c r="K101" i="6"/>
  <c r="J98" i="6"/>
  <c r="I95" i="6"/>
  <c r="H92" i="6"/>
  <c r="G89" i="6"/>
  <c r="U102" i="6"/>
  <c r="T99" i="6"/>
  <c r="S96" i="6"/>
  <c r="R93" i="6"/>
  <c r="Q90" i="6"/>
  <c r="P87" i="6"/>
  <c r="U105" i="6"/>
  <c r="T102" i="6"/>
  <c r="S99" i="6"/>
  <c r="R96" i="6"/>
  <c r="Q93" i="6"/>
  <c r="P90" i="6"/>
  <c r="O87" i="6"/>
  <c r="O106" i="6"/>
  <c r="O105" i="6"/>
  <c r="H97" i="6"/>
  <c r="C104" i="6"/>
  <c r="S103" i="6"/>
  <c r="M99" i="6"/>
  <c r="U94" i="6"/>
  <c r="R88" i="6"/>
  <c r="U96" i="6"/>
  <c r="O108" i="6"/>
  <c r="E104" i="6"/>
  <c r="D93" i="6"/>
  <c r="E98" i="6"/>
  <c r="J100" i="6"/>
  <c r="F102" i="6"/>
  <c r="P103" i="6"/>
  <c r="M94" i="6"/>
  <c r="K88" i="6"/>
  <c r="P106" i="6"/>
  <c r="J88" i="6"/>
  <c r="F103" i="6"/>
  <c r="Q106" i="6"/>
  <c r="B102" i="6"/>
  <c r="T93" i="6"/>
  <c r="J108" i="6"/>
  <c r="U104" i="6"/>
  <c r="S97" i="6"/>
  <c r="P89" i="6"/>
  <c r="O98" i="6"/>
  <c r="N103" i="6"/>
  <c r="I107" i="6"/>
  <c r="M103" i="6"/>
  <c r="J95" i="6"/>
  <c r="F87" i="6"/>
  <c r="N91" i="6"/>
  <c r="L92" i="6"/>
  <c r="K106" i="6"/>
  <c r="H101" i="6"/>
  <c r="G93" i="6"/>
  <c r="L107" i="6"/>
  <c r="H108" i="6"/>
  <c r="K90" i="6"/>
  <c r="E95" i="6"/>
  <c r="G102" i="6"/>
  <c r="B87" i="6"/>
  <c r="T105" i="6"/>
  <c r="D100" i="6"/>
  <c r="V91" i="6"/>
  <c r="D103" i="6"/>
  <c r="C100" i="6"/>
  <c r="B97" i="6"/>
  <c r="V93" i="6"/>
  <c r="U90" i="6"/>
  <c r="T87" i="6"/>
  <c r="H102" i="6"/>
  <c r="G99" i="6"/>
  <c r="F96" i="6"/>
  <c r="E93" i="6"/>
  <c r="D90" i="6"/>
  <c r="C87" i="6"/>
  <c r="C101" i="6"/>
  <c r="B98" i="6"/>
  <c r="V94" i="6"/>
  <c r="U91" i="6"/>
  <c r="T88" i="6"/>
  <c r="M102" i="6"/>
  <c r="L99" i="6"/>
  <c r="K96" i="6"/>
  <c r="J93" i="6"/>
  <c r="I90" i="6"/>
  <c r="H87" i="6"/>
  <c r="M105" i="6"/>
  <c r="L102" i="6"/>
  <c r="K99" i="6"/>
  <c r="J96" i="6"/>
  <c r="I93" i="6"/>
  <c r="H90" i="6"/>
  <c r="G87" i="6"/>
  <c r="T97" i="6"/>
  <c r="P108" i="6"/>
  <c r="R103" i="6"/>
  <c r="D89" i="6"/>
  <c r="C94" i="6"/>
  <c r="M98" i="6"/>
  <c r="P94" i="6"/>
  <c r="K93" i="6"/>
  <c r="S91" i="6"/>
  <c r="D108" i="6"/>
  <c r="T100" i="6"/>
  <c r="K98" i="6"/>
  <c r="H96" i="6"/>
  <c r="O104" i="6"/>
  <c r="G104" i="6"/>
  <c r="K103" i="6"/>
  <c r="D96" i="6"/>
  <c r="M97" i="6"/>
  <c r="F99" i="6"/>
  <c r="G106" i="6"/>
  <c r="U100" i="6"/>
  <c r="T92" i="6"/>
  <c r="V107" i="6"/>
  <c r="L104" i="6"/>
  <c r="Q96" i="6"/>
  <c r="P88" i="6"/>
  <c r="N95" i="6"/>
  <c r="N99" i="6"/>
  <c r="U106" i="6"/>
  <c r="K102" i="6"/>
  <c r="J94" i="6"/>
  <c r="U107" i="6"/>
  <c r="L89" i="6"/>
  <c r="J87" i="6"/>
  <c r="B106" i="6"/>
  <c r="I100" i="6"/>
  <c r="E92" i="6"/>
  <c r="E106" i="6"/>
  <c r="V106" i="6"/>
  <c r="K89" i="6"/>
  <c r="D92" i="6"/>
  <c r="E100" i="6"/>
  <c r="T108" i="6"/>
  <c r="K105" i="6"/>
  <c r="B99" i="6"/>
  <c r="V90" i="6"/>
  <c r="Q102" i="6"/>
  <c r="P99" i="6"/>
  <c r="O96" i="6"/>
  <c r="N93" i="6"/>
  <c r="M90" i="6"/>
  <c r="L87" i="6"/>
  <c r="U101" i="6"/>
  <c r="T98" i="6"/>
  <c r="S95" i="6"/>
  <c r="R92" i="6"/>
  <c r="Q89" i="6"/>
  <c r="Q103" i="6"/>
  <c r="P100" i="6"/>
  <c r="O97" i="6"/>
  <c r="N94" i="6"/>
  <c r="M91" i="6"/>
  <c r="L88" i="6"/>
  <c r="E102" i="6"/>
  <c r="D99" i="6"/>
  <c r="C96" i="6"/>
  <c r="B93" i="6"/>
  <c r="V89" i="6"/>
  <c r="F108" i="6"/>
  <c r="E105" i="6"/>
  <c r="D102" i="6"/>
  <c r="C99" i="6"/>
  <c r="B96" i="6"/>
  <c r="V92" i="6"/>
  <c r="J66" i="6"/>
  <c r="J67" i="6"/>
  <c r="J27" i="6"/>
  <c r="J36" i="6"/>
  <c r="J45" i="6"/>
  <c r="J54" i="6"/>
  <c r="J16" i="6"/>
  <c r="J33" i="6"/>
  <c r="J50" i="6"/>
  <c r="J52" i="6"/>
  <c r="J21" i="6"/>
  <c r="J39" i="6"/>
  <c r="J26" i="6"/>
  <c r="J11" i="6"/>
  <c r="J47" i="6"/>
  <c r="J65" i="6"/>
  <c r="J37" i="6"/>
  <c r="J25" i="6"/>
  <c r="J35" i="6"/>
  <c r="J44" i="6"/>
  <c r="J53" i="6"/>
  <c r="J62" i="6"/>
  <c r="J24" i="6"/>
  <c r="J41" i="6"/>
  <c r="J58" i="6"/>
  <c r="J43" i="6"/>
  <c r="J61" i="6"/>
  <c r="J15" i="6"/>
  <c r="J32" i="6"/>
  <c r="J49" i="6"/>
  <c r="J12" i="6"/>
  <c r="J30" i="6"/>
  <c r="J56" i="6"/>
  <c r="J63" i="6"/>
  <c r="J20" i="6"/>
  <c r="J38" i="6"/>
  <c r="J34" i="6"/>
  <c r="J28" i="6"/>
  <c r="J46" i="6"/>
  <c r="J42" i="6"/>
  <c r="J51" i="6"/>
  <c r="J60" i="6"/>
  <c r="J14" i="6"/>
  <c r="J23" i="6"/>
  <c r="J40" i="6"/>
  <c r="J57" i="6"/>
  <c r="J59" i="6"/>
  <c r="J13" i="6"/>
  <c r="J22" i="6"/>
  <c r="J31" i="6"/>
  <c r="J48" i="6"/>
  <c r="J18" i="6"/>
  <c r="J29" i="6"/>
  <c r="J17" i="6"/>
  <c r="J64" i="6"/>
  <c r="J19" i="6"/>
  <c r="J55" i="6"/>
  <c r="J86" i="6"/>
  <c r="J68" i="6"/>
  <c r="J74" i="6"/>
  <c r="J85" i="6"/>
  <c r="J69" i="6"/>
  <c r="J79" i="6"/>
  <c r="J77" i="6"/>
  <c r="J71" i="6"/>
  <c r="J76" i="6"/>
  <c r="J72" i="6"/>
  <c r="J81" i="6"/>
  <c r="J73" i="6"/>
  <c r="J80" i="6"/>
  <c r="J82" i="6"/>
  <c r="J75" i="6"/>
  <c r="J84" i="6"/>
  <c r="J78" i="6"/>
  <c r="J83" i="6"/>
  <c r="J70" i="6"/>
  <c r="I49" i="6"/>
  <c r="H11" i="6"/>
  <c r="H75" i="6"/>
  <c r="H85" i="6"/>
  <c r="H47" i="6"/>
  <c r="H48" i="6"/>
  <c r="H26" i="6"/>
  <c r="H28" i="6"/>
  <c r="H13" i="6"/>
  <c r="H86" i="6"/>
  <c r="H49" i="6"/>
  <c r="H60" i="6"/>
  <c r="H16" i="6"/>
  <c r="H82" i="6"/>
  <c r="H42" i="6"/>
  <c r="H61" i="6"/>
  <c r="H76" i="6"/>
  <c r="H77" i="6"/>
  <c r="H19" i="6"/>
  <c r="H83" i="6"/>
  <c r="H22" i="6"/>
  <c r="H55" i="6"/>
  <c r="H56" i="6"/>
  <c r="H34" i="6"/>
  <c r="H36" i="6"/>
  <c r="H37" i="6"/>
  <c r="H23" i="6"/>
  <c r="H65" i="6"/>
  <c r="H78" i="6"/>
  <c r="H30" i="6"/>
  <c r="H15" i="6"/>
  <c r="H68" i="6"/>
  <c r="H59" i="6"/>
  <c r="H57" i="6"/>
  <c r="H54" i="6"/>
  <c r="H67" i="6"/>
  <c r="H40" i="6"/>
  <c r="H84" i="6"/>
  <c r="H41" i="6"/>
  <c r="H27" i="6"/>
  <c r="H21" i="6"/>
  <c r="H46" i="6"/>
  <c r="H63" i="6"/>
  <c r="H64" i="6"/>
  <c r="H50" i="6"/>
  <c r="H44" i="6"/>
  <c r="H69" i="6"/>
  <c r="H71" i="6"/>
  <c r="H73" i="6"/>
  <c r="H45" i="6"/>
  <c r="H72" i="6"/>
  <c r="H51" i="6"/>
  <c r="H25" i="6"/>
  <c r="H17" i="6"/>
  <c r="H31" i="6"/>
  <c r="H12" i="6"/>
  <c r="H33" i="6"/>
  <c r="H35" i="6"/>
  <c r="H29" i="6"/>
  <c r="H62" i="6"/>
  <c r="H79" i="6"/>
  <c r="H80" i="6"/>
  <c r="H58" i="6"/>
  <c r="H52" i="6"/>
  <c r="H14" i="6"/>
  <c r="H24" i="6"/>
  <c r="H81" i="6"/>
  <c r="H43" i="6"/>
  <c r="H74" i="6"/>
  <c r="H18" i="6"/>
  <c r="H53" i="6"/>
  <c r="H38" i="6"/>
  <c r="H32" i="6"/>
  <c r="H66" i="6"/>
  <c r="H39" i="6"/>
  <c r="H20" i="6"/>
  <c r="H70" i="6"/>
  <c r="G18" i="6"/>
  <c r="G82" i="6"/>
  <c r="G76" i="6"/>
  <c r="G38" i="6"/>
  <c r="G39" i="6"/>
  <c r="G33" i="6"/>
  <c r="G27" i="6"/>
  <c r="G68" i="6"/>
  <c r="G54" i="6"/>
  <c r="G64" i="6"/>
  <c r="G80" i="6"/>
  <c r="G42" i="6"/>
  <c r="G78" i="6"/>
  <c r="G57" i="6"/>
  <c r="G37" i="6"/>
  <c r="G50" i="6"/>
  <c r="G61" i="6"/>
  <c r="G71" i="6"/>
  <c r="G73" i="6"/>
  <c r="G53" i="6"/>
  <c r="G25" i="6"/>
  <c r="G28" i="6"/>
  <c r="G15" i="6"/>
  <c r="G81" i="6"/>
  <c r="G77" i="6"/>
  <c r="G40" i="6"/>
  <c r="G66" i="6"/>
  <c r="G85" i="6"/>
  <c r="G36" i="6"/>
  <c r="G48" i="6"/>
  <c r="G60" i="6"/>
  <c r="G31" i="6"/>
  <c r="G17" i="6"/>
  <c r="G52" i="6"/>
  <c r="G30" i="6"/>
  <c r="G26" i="6"/>
  <c r="G43" i="6"/>
  <c r="G13" i="6"/>
  <c r="G46" i="6"/>
  <c r="G47" i="6"/>
  <c r="G41" i="6"/>
  <c r="G35" i="6"/>
  <c r="G84" i="6"/>
  <c r="G70" i="6"/>
  <c r="G72" i="6"/>
  <c r="G34" i="6"/>
  <c r="G67" i="6"/>
  <c r="G29" i="6"/>
  <c r="G62" i="6"/>
  <c r="G55" i="6"/>
  <c r="G49" i="6"/>
  <c r="G51" i="6"/>
  <c r="G21" i="6"/>
  <c r="G16" i="6"/>
  <c r="G83" i="6"/>
  <c r="G45" i="6"/>
  <c r="G63" i="6"/>
  <c r="G59" i="6"/>
  <c r="G24" i="6"/>
  <c r="G12" i="6"/>
  <c r="G86" i="6"/>
  <c r="G75" i="6"/>
  <c r="G32" i="6"/>
  <c r="G58" i="6"/>
  <c r="G69" i="6"/>
  <c r="G79" i="6"/>
  <c r="G20" i="6"/>
  <c r="G65" i="6"/>
  <c r="G44" i="6"/>
  <c r="G23" i="6"/>
  <c r="G11" i="6"/>
  <c r="G22" i="6"/>
  <c r="G74" i="6"/>
  <c r="G14" i="6"/>
  <c r="G19" i="6"/>
  <c r="G56" i="6"/>
  <c r="B11" i="6"/>
  <c r="C14" i="6"/>
  <c r="E20" i="6"/>
  <c r="F23" i="6"/>
  <c r="I32" i="6"/>
  <c r="K38" i="6"/>
  <c r="L41" i="6"/>
  <c r="F12" i="6"/>
  <c r="I21" i="6"/>
  <c r="K27" i="6"/>
  <c r="L30" i="6"/>
  <c r="M33" i="6"/>
  <c r="K16" i="6"/>
  <c r="L19" i="6"/>
  <c r="M22" i="6"/>
  <c r="L21" i="6"/>
  <c r="E31" i="6"/>
  <c r="C36" i="6"/>
  <c r="V40" i="6"/>
  <c r="T44" i="6"/>
  <c r="U47" i="6"/>
  <c r="V50" i="6"/>
  <c r="B54" i="6"/>
  <c r="C57" i="6"/>
  <c r="E63" i="6"/>
  <c r="F66" i="6"/>
  <c r="I75" i="6"/>
  <c r="K81" i="6"/>
  <c r="L84" i="6"/>
  <c r="K15" i="6"/>
  <c r="I20" i="6"/>
  <c r="B30" i="6"/>
  <c r="U34" i="6"/>
  <c r="E44" i="6"/>
  <c r="F47" i="6"/>
  <c r="I56" i="6"/>
  <c r="K62" i="6"/>
  <c r="L65" i="6"/>
  <c r="M68" i="6"/>
  <c r="P77" i="6"/>
  <c r="Q80" i="6"/>
  <c r="R83" i="6"/>
  <c r="S86" i="6"/>
  <c r="E15" i="6"/>
  <c r="I28" i="6"/>
  <c r="F54" i="6"/>
  <c r="L70" i="6"/>
  <c r="L74" i="6"/>
  <c r="N78" i="6"/>
  <c r="P82" i="6"/>
  <c r="P86" i="6"/>
  <c r="C26" i="6"/>
  <c r="F48" i="6"/>
  <c r="L64" i="6"/>
  <c r="R80" i="6"/>
  <c r="T53" i="6"/>
  <c r="V61" i="6"/>
  <c r="E70" i="6"/>
  <c r="I86" i="6"/>
  <c r="V14" i="6"/>
  <c r="K51" i="6"/>
  <c r="B60" i="6"/>
  <c r="F68" i="6"/>
  <c r="I19" i="6"/>
  <c r="B26" i="6"/>
  <c r="V38" i="6"/>
  <c r="U64" i="6"/>
  <c r="B69" i="6"/>
  <c r="B73" i="6"/>
  <c r="D77" i="6"/>
  <c r="F81" i="6"/>
  <c r="F85" i="6"/>
  <c r="V60" i="6"/>
  <c r="C69" i="6"/>
  <c r="E77" i="6"/>
  <c r="I85" i="6"/>
  <c r="E13" i="6"/>
  <c r="K41" i="6"/>
  <c r="I50" i="6"/>
  <c r="K58" i="6"/>
  <c r="M66" i="6"/>
  <c r="S82" i="6"/>
  <c r="K12" i="6"/>
  <c r="B56" i="6"/>
  <c r="S79" i="6"/>
  <c r="E64" i="6"/>
  <c r="T74" i="6"/>
  <c r="N85" i="6"/>
  <c r="B42" i="6"/>
  <c r="D83" i="6"/>
  <c r="B53" i="6"/>
  <c r="K74" i="6"/>
  <c r="L85" i="6"/>
  <c r="E24" i="6"/>
  <c r="I46" i="6"/>
  <c r="T67" i="6"/>
  <c r="K14" i="6"/>
  <c r="L17" i="6"/>
  <c r="M20" i="6"/>
  <c r="T41" i="6"/>
  <c r="T30" i="6"/>
  <c r="U33" i="6"/>
  <c r="V36" i="6"/>
  <c r="B40" i="6"/>
  <c r="C43" i="6"/>
  <c r="T19" i="6"/>
  <c r="U22" i="6"/>
  <c r="V25" i="6"/>
  <c r="B29" i="6"/>
  <c r="C32" i="6"/>
  <c r="E38" i="6"/>
  <c r="F41" i="6"/>
  <c r="I12" i="6"/>
  <c r="B22" i="6"/>
  <c r="U26" i="6"/>
  <c r="I51" i="6"/>
  <c r="K57" i="6"/>
  <c r="L60" i="6"/>
  <c r="M63" i="6"/>
  <c r="Q75" i="6"/>
  <c r="R78" i="6"/>
  <c r="S81" i="6"/>
  <c r="T84" i="6"/>
  <c r="F11" i="6"/>
  <c r="T20" i="6"/>
  <c r="L40" i="6"/>
  <c r="M44" i="6"/>
  <c r="T65" i="6"/>
  <c r="U68" i="6"/>
  <c r="V71" i="6"/>
  <c r="B75" i="6"/>
  <c r="C78" i="6"/>
  <c r="D81" i="6"/>
  <c r="E84" i="6"/>
  <c r="E16" i="6"/>
  <c r="C42" i="6"/>
  <c r="T62" i="6"/>
  <c r="T66" i="6"/>
  <c r="V70" i="6"/>
  <c r="C75" i="6"/>
  <c r="C79" i="6"/>
  <c r="E83" i="6"/>
  <c r="T13" i="6"/>
  <c r="T39" i="6"/>
  <c r="I57" i="6"/>
  <c r="M65" i="6"/>
  <c r="Q81" i="6"/>
  <c r="U54" i="6"/>
  <c r="B63" i="6"/>
  <c r="U31" i="6"/>
  <c r="C61" i="6"/>
  <c r="E69" i="6"/>
  <c r="I77" i="6"/>
  <c r="K85" i="6"/>
  <c r="F49" i="6"/>
  <c r="F53" i="6"/>
  <c r="L69" i="6"/>
  <c r="N77" i="6"/>
  <c r="P81" i="6"/>
  <c r="R85" i="6"/>
  <c r="I33" i="6"/>
  <c r="U61" i="6"/>
  <c r="F78" i="6"/>
  <c r="U13" i="6"/>
  <c r="K20" i="6"/>
  <c r="T26" i="6"/>
  <c r="E34" i="6"/>
  <c r="F43" i="6"/>
  <c r="L59" i="6"/>
  <c r="P75" i="6"/>
  <c r="T83" i="6"/>
  <c r="I39" i="6"/>
  <c r="T48" i="6"/>
  <c r="L56" i="6"/>
  <c r="T80" i="6"/>
  <c r="M26" i="6"/>
  <c r="T43" i="6"/>
  <c r="I76" i="6"/>
  <c r="V85" i="6"/>
  <c r="T17" i="6"/>
  <c r="U20" i="6"/>
  <c r="V23" i="6"/>
  <c r="B27" i="6"/>
  <c r="C30" i="6"/>
  <c r="E36" i="6"/>
  <c r="F39" i="6"/>
  <c r="V12" i="6"/>
  <c r="B16" i="6"/>
  <c r="C19" i="6"/>
  <c r="E25" i="6"/>
  <c r="F28" i="6"/>
  <c r="I37" i="6"/>
  <c r="E14" i="6"/>
  <c r="F17" i="6"/>
  <c r="I26" i="6"/>
  <c r="K32" i="6"/>
  <c r="L35" i="6"/>
  <c r="M38" i="6"/>
  <c r="T12" i="6"/>
  <c r="L32" i="6"/>
  <c r="E42" i="6"/>
  <c r="T60" i="6"/>
  <c r="U63" i="6"/>
  <c r="V66" i="6"/>
  <c r="B70" i="6"/>
  <c r="C73" i="6"/>
  <c r="D76" i="6"/>
  <c r="E79" i="6"/>
  <c r="F82" i="6"/>
  <c r="M21" i="6"/>
  <c r="K26" i="6"/>
  <c r="I31" i="6"/>
  <c r="B41" i="6"/>
  <c r="U44" i="6"/>
  <c r="V47" i="6"/>
  <c r="B51" i="6"/>
  <c r="C54" i="6"/>
  <c r="E60" i="6"/>
  <c r="F63" i="6"/>
  <c r="I72" i="6"/>
  <c r="K78" i="6"/>
  <c r="L81" i="6"/>
  <c r="M84" i="6"/>
  <c r="U16" i="6"/>
  <c r="K23" i="6"/>
  <c r="T29" i="6"/>
  <c r="U42" i="6"/>
  <c r="C47" i="6"/>
  <c r="E51" i="6"/>
  <c r="I63" i="6"/>
  <c r="K67" i="6"/>
  <c r="K71" i="6"/>
  <c r="M75" i="6"/>
  <c r="O79" i="6"/>
  <c r="O83" i="6"/>
  <c r="L15" i="6"/>
  <c r="F29" i="6"/>
  <c r="L66" i="6"/>
  <c r="R82" i="6"/>
  <c r="T55" i="6"/>
  <c r="C64" i="6"/>
  <c r="E72" i="6"/>
  <c r="L16" i="6"/>
  <c r="B23" i="6"/>
  <c r="K33" i="6"/>
  <c r="I45" i="6"/>
  <c r="K53" i="6"/>
  <c r="F70" i="6"/>
  <c r="L86" i="6"/>
  <c r="M27" i="6"/>
  <c r="C34" i="6"/>
  <c r="T61" i="6"/>
  <c r="V65" i="6"/>
  <c r="V69" i="6"/>
  <c r="C74" i="6"/>
  <c r="E78" i="6"/>
  <c r="E82" i="6"/>
  <c r="U21" i="6"/>
  <c r="T54" i="6"/>
  <c r="V62" i="6"/>
  <c r="C71" i="6"/>
  <c r="F21" i="6"/>
  <c r="L28" i="6"/>
  <c r="E35" i="6"/>
  <c r="I52" i="6"/>
  <c r="K60" i="6"/>
  <c r="Q76" i="6"/>
  <c r="S84" i="6"/>
  <c r="U27" i="6"/>
  <c r="T40" i="6"/>
  <c r="U49" i="6"/>
  <c r="M57" i="6"/>
  <c r="U81" i="6"/>
  <c r="T28" i="6"/>
  <c r="B45" i="6"/>
  <c r="C56" i="6"/>
  <c r="L77" i="6"/>
  <c r="B48" i="6"/>
  <c r="C28" i="6"/>
  <c r="I66" i="6"/>
  <c r="E12" i="6"/>
  <c r="I16" i="6"/>
  <c r="T25" i="6"/>
  <c r="F31" i="6"/>
  <c r="M36" i="6"/>
  <c r="U17" i="6"/>
  <c r="E30" i="6"/>
  <c r="I34" i="6"/>
  <c r="M13" i="6"/>
  <c r="M35" i="6"/>
  <c r="C49" i="6"/>
  <c r="K73" i="6"/>
  <c r="O77" i="6"/>
  <c r="V82" i="6"/>
  <c r="L18" i="6"/>
  <c r="V26" i="6"/>
  <c r="F42" i="6"/>
  <c r="E52" i="6"/>
  <c r="L57" i="6"/>
  <c r="B67" i="6"/>
  <c r="F71" i="6"/>
  <c r="M76" i="6"/>
  <c r="T81" i="6"/>
  <c r="C86" i="6"/>
  <c r="M18" i="6"/>
  <c r="I27" i="6"/>
  <c r="E53" i="6"/>
  <c r="U65" i="6"/>
  <c r="V72" i="6"/>
  <c r="D80" i="6"/>
  <c r="Q85" i="6"/>
  <c r="M19" i="6"/>
  <c r="L36" i="6"/>
  <c r="I53" i="6"/>
  <c r="M67" i="6"/>
  <c r="P78" i="6"/>
  <c r="T51" i="6"/>
  <c r="C66" i="6"/>
  <c r="F77" i="6"/>
  <c r="K55" i="6"/>
  <c r="E67" i="6"/>
  <c r="I81" i="6"/>
  <c r="I15" i="6"/>
  <c r="C44" i="6"/>
  <c r="F51" i="6"/>
  <c r="I58" i="6"/>
  <c r="T63" i="6"/>
  <c r="B71" i="6"/>
  <c r="O76" i="6"/>
  <c r="P83" i="6"/>
  <c r="U57" i="6"/>
  <c r="I25" i="6"/>
  <c r="M37" i="6"/>
  <c r="M64" i="6"/>
  <c r="Q78" i="6"/>
  <c r="L58" i="6"/>
  <c r="U83" i="6"/>
  <c r="I22" i="6"/>
  <c r="B49" i="6"/>
  <c r="C83" i="6"/>
  <c r="B52" i="6"/>
  <c r="L80" i="6"/>
  <c r="T32" i="6"/>
  <c r="C50" i="6"/>
  <c r="F65" i="6"/>
  <c r="M78" i="6"/>
  <c r="K13" i="6"/>
  <c r="F27" i="6"/>
  <c r="L53" i="6"/>
  <c r="U74" i="6"/>
  <c r="M16" i="6"/>
  <c r="C48" i="6"/>
  <c r="M80" i="6"/>
  <c r="L12" i="6"/>
  <c r="L45" i="6"/>
  <c r="M56" i="6"/>
  <c r="V77" i="6"/>
  <c r="V53" i="6"/>
  <c r="L75" i="6"/>
  <c r="M86" i="6"/>
  <c r="L51" i="6"/>
  <c r="F62" i="6"/>
  <c r="U72" i="6"/>
  <c r="V83" i="6"/>
  <c r="U32" i="6"/>
  <c r="E61" i="6"/>
  <c r="U82" i="6"/>
  <c r="E28" i="6"/>
  <c r="T14" i="6"/>
  <c r="V41" i="6"/>
  <c r="B46" i="6"/>
  <c r="M55" i="6"/>
  <c r="C65" i="6"/>
  <c r="F22" i="6"/>
  <c r="K37" i="6"/>
  <c r="E68" i="6"/>
  <c r="S78" i="6"/>
  <c r="B12" i="6"/>
  <c r="M43" i="6"/>
  <c r="F56" i="6"/>
  <c r="V68" i="6"/>
  <c r="O81" i="6"/>
  <c r="E45" i="6"/>
  <c r="I17" i="6"/>
  <c r="I47" i="6"/>
  <c r="F38" i="6"/>
  <c r="U66" i="6"/>
  <c r="P79" i="6"/>
  <c r="E75" i="6"/>
  <c r="K56" i="6"/>
  <c r="R81" i="6"/>
  <c r="T50" i="6"/>
  <c r="S75" i="6"/>
  <c r="F60" i="6"/>
  <c r="K17" i="6"/>
  <c r="B57" i="6"/>
  <c r="I70" i="6"/>
  <c r="M82" i="6"/>
  <c r="I73" i="6"/>
  <c r="B14" i="6"/>
  <c r="C23" i="6"/>
  <c r="O84" i="6"/>
  <c r="I71" i="6"/>
  <c r="B15" i="6"/>
  <c r="B47" i="6"/>
  <c r="I24" i="6"/>
  <c r="T33" i="6"/>
  <c r="V17" i="6"/>
  <c r="L27" i="6"/>
  <c r="B37" i="6"/>
  <c r="U15" i="6"/>
  <c r="M24" i="6"/>
  <c r="B33" i="6"/>
  <c r="U55" i="6"/>
  <c r="K65" i="6"/>
  <c r="V74" i="6"/>
  <c r="O85" i="6"/>
  <c r="V37" i="6"/>
  <c r="L49" i="6"/>
  <c r="B59" i="6"/>
  <c r="F79" i="6"/>
  <c r="N76" i="6"/>
  <c r="V30" i="6"/>
  <c r="S85" i="6"/>
  <c r="F73" i="6"/>
  <c r="C63" i="6"/>
  <c r="U29" i="6"/>
  <c r="I60" i="6"/>
  <c r="M74" i="6"/>
  <c r="L37" i="6"/>
  <c r="V64" i="6"/>
  <c r="T85" i="6"/>
  <c r="R76" i="6"/>
  <c r="U70" i="6"/>
  <c r="K43" i="6"/>
  <c r="L26" i="6"/>
  <c r="V75" i="6"/>
  <c r="E40" i="6"/>
  <c r="U24" i="6"/>
  <c r="M53" i="6"/>
  <c r="T16" i="6"/>
  <c r="L20" i="6"/>
  <c r="M12" i="6"/>
  <c r="C22" i="6"/>
  <c r="U36" i="6"/>
  <c r="K19" i="6"/>
  <c r="V28" i="6"/>
  <c r="E33" i="6"/>
  <c r="L38" i="6"/>
  <c r="L11" i="6"/>
  <c r="B21" i="6"/>
  <c r="F25" i="6"/>
  <c r="M30" i="6"/>
  <c r="T35" i="6"/>
  <c r="C40" i="6"/>
  <c r="F14" i="6"/>
  <c r="K29" i="6"/>
  <c r="U37" i="6"/>
  <c r="K49" i="6"/>
  <c r="V58" i="6"/>
  <c r="L68" i="6"/>
  <c r="B78" i="6"/>
  <c r="I83" i="6"/>
  <c r="E19" i="6"/>
  <c r="T42" i="6"/>
  <c r="I48" i="6"/>
  <c r="M52" i="6"/>
  <c r="T57" i="6"/>
  <c r="C62" i="6"/>
  <c r="U76" i="6"/>
  <c r="K86" i="6"/>
  <c r="M39" i="6"/>
  <c r="U67" i="6"/>
  <c r="M73" i="6"/>
  <c r="N80" i="6"/>
  <c r="F86" i="6"/>
  <c r="E21" i="6"/>
  <c r="E43" i="6"/>
  <c r="Q79" i="6"/>
  <c r="F13" i="6"/>
  <c r="V56" i="6"/>
  <c r="F16" i="6"/>
  <c r="B25" i="6"/>
  <c r="K36" i="6"/>
  <c r="E46" i="6"/>
  <c r="K64" i="6"/>
  <c r="L71" i="6"/>
  <c r="O78" i="6"/>
  <c r="T58" i="6"/>
  <c r="E73" i="6"/>
  <c r="C17" i="6"/>
  <c r="C39" i="6"/>
  <c r="I54" i="6"/>
  <c r="R79" i="6"/>
  <c r="M29" i="6"/>
  <c r="M59" i="6"/>
  <c r="V84" i="6"/>
  <c r="L50" i="6"/>
  <c r="K84" i="6"/>
  <c r="N86" i="6"/>
  <c r="M51" i="6"/>
  <c r="B80" i="6"/>
  <c r="K39" i="6"/>
  <c r="C29" i="6"/>
  <c r="B79" i="6"/>
  <c r="B36" i="6"/>
  <c r="M49" i="6"/>
  <c r="B82" i="6"/>
  <c r="I14" i="6"/>
  <c r="V46" i="6"/>
  <c r="K79" i="6"/>
  <c r="V27" i="6"/>
  <c r="E66" i="6"/>
  <c r="V76" i="6"/>
  <c r="C41" i="6"/>
  <c r="D85" i="6"/>
  <c r="M85" i="6"/>
  <c r="L33" i="6"/>
  <c r="B43" i="6"/>
  <c r="F20" i="6"/>
  <c r="M25" i="6"/>
  <c r="C35" i="6"/>
  <c r="T23" i="6"/>
  <c r="F50" i="6"/>
  <c r="U79" i="6"/>
  <c r="D84" i="6"/>
  <c r="K54" i="6"/>
  <c r="V63" i="6"/>
  <c r="L73" i="6"/>
  <c r="B83" i="6"/>
  <c r="C21" i="6"/>
  <c r="E49" i="6"/>
  <c r="B76" i="6"/>
  <c r="K59" i="6"/>
  <c r="R84" i="6"/>
  <c r="V57" i="6"/>
  <c r="E27" i="6"/>
  <c r="C59" i="6"/>
  <c r="E29" i="6"/>
  <c r="T59" i="6"/>
  <c r="M72" i="6"/>
  <c r="Q86" i="6"/>
  <c r="F30" i="6"/>
  <c r="B64" i="6"/>
  <c r="B31" i="6"/>
  <c r="F45" i="6"/>
  <c r="M61" i="6"/>
  <c r="V86" i="6"/>
  <c r="F57" i="6"/>
  <c r="V48" i="6"/>
  <c r="I35" i="6"/>
  <c r="N84" i="6"/>
  <c r="F40" i="6"/>
  <c r="C52" i="6"/>
  <c r="U73" i="6"/>
  <c r="U18" i="6"/>
  <c r="C82" i="6"/>
  <c r="E32" i="6"/>
  <c r="C58" i="6"/>
  <c r="L79" i="6"/>
  <c r="B28" i="6"/>
  <c r="K44" i="6"/>
  <c r="L55" i="6"/>
  <c r="B77" i="6"/>
  <c r="L47" i="6"/>
  <c r="I69" i="6"/>
  <c r="B19" i="6"/>
  <c r="M28" i="6"/>
  <c r="C38" i="6"/>
  <c r="C11" i="6"/>
  <c r="U25" i="6"/>
  <c r="K35" i="6"/>
  <c r="E22" i="6"/>
  <c r="I42" i="6"/>
  <c r="L29" i="6"/>
  <c r="I64" i="6"/>
  <c r="T73" i="6"/>
  <c r="F24" i="6"/>
  <c r="B44" i="6"/>
  <c r="K69" i="6"/>
  <c r="D82" i="6"/>
  <c r="F46" i="6"/>
  <c r="U58" i="6"/>
  <c r="I84" i="6"/>
  <c r="I41" i="6"/>
  <c r="L67" i="6"/>
  <c r="E80" i="6"/>
  <c r="F76" i="6"/>
  <c r="V21" i="6"/>
  <c r="U51" i="6"/>
  <c r="L13" i="6"/>
  <c r="T15" i="6"/>
  <c r="U19" i="6"/>
  <c r="E58" i="6"/>
  <c r="B84" i="6"/>
  <c r="F18" i="6"/>
  <c r="F64" i="6"/>
  <c r="M42" i="6"/>
  <c r="D86" i="6"/>
  <c r="M83" i="6"/>
  <c r="L34" i="6"/>
  <c r="F59" i="6"/>
  <c r="U45" i="6"/>
  <c r="U28" i="6"/>
  <c r="K11" i="6"/>
  <c r="V20" i="6"/>
  <c r="B13" i="6"/>
  <c r="F33" i="6"/>
  <c r="C25" i="6"/>
  <c r="P80" i="6"/>
  <c r="T31" i="6"/>
  <c r="M60" i="6"/>
  <c r="C70" i="6"/>
  <c r="U84" i="6"/>
  <c r="B34" i="6"/>
  <c r="C77" i="6"/>
  <c r="K61" i="6"/>
  <c r="T86" i="6"/>
  <c r="V59" i="6"/>
  <c r="T18" i="6"/>
  <c r="V67" i="6"/>
  <c r="O80" i="6"/>
  <c r="B66" i="6"/>
  <c r="V22" i="6"/>
  <c r="L61" i="6"/>
  <c r="V35" i="6"/>
  <c r="S77" i="6"/>
  <c r="C60" i="6"/>
  <c r="B55" i="6"/>
  <c r="K76" i="6"/>
  <c r="F19" i="6"/>
  <c r="C15" i="6"/>
  <c r="K30" i="6"/>
  <c r="V39" i="6"/>
  <c r="L22" i="6"/>
  <c r="F36" i="6"/>
  <c r="M14" i="6"/>
  <c r="C24" i="6"/>
  <c r="U38" i="6"/>
  <c r="E47" i="6"/>
  <c r="B62" i="6"/>
  <c r="T76" i="6"/>
  <c r="E39" i="6"/>
  <c r="K70" i="6"/>
  <c r="E37" i="6"/>
  <c r="M77" i="6"/>
  <c r="L62" i="6"/>
  <c r="F75" i="6"/>
  <c r="V42" i="6"/>
  <c r="U62" i="6"/>
  <c r="Q82" i="6"/>
  <c r="U35" i="6"/>
  <c r="U53" i="6"/>
  <c r="E18" i="6"/>
  <c r="K80" i="6"/>
  <c r="F26" i="6"/>
  <c r="U75" i="6"/>
  <c r="E57" i="6"/>
  <c r="M46" i="6"/>
  <c r="E56" i="6"/>
  <c r="E86" i="6"/>
  <c r="T72" i="6"/>
  <c r="M34" i="6"/>
  <c r="L25" i="6"/>
  <c r="B35" i="6"/>
  <c r="I40" i="6"/>
  <c r="I13" i="6"/>
  <c r="M17" i="6"/>
  <c r="T22" i="6"/>
  <c r="C27" i="6"/>
  <c r="U41" i="6"/>
  <c r="K24" i="6"/>
  <c r="V33" i="6"/>
  <c r="E11" i="6"/>
  <c r="T34" i="6"/>
  <c r="M47" i="6"/>
  <c r="T52" i="6"/>
  <c r="U71" i="6"/>
  <c r="N82" i="6"/>
  <c r="C33" i="6"/>
  <c r="K46" i="6"/>
  <c r="V55" i="6"/>
  <c r="E76" i="6"/>
  <c r="P85" i="6"/>
  <c r="M45" i="6"/>
  <c r="I65" i="6"/>
  <c r="L72" i="6"/>
  <c r="D78" i="6"/>
  <c r="E85" i="6"/>
  <c r="B17" i="6"/>
  <c r="V34" i="6"/>
  <c r="K63" i="6"/>
  <c r="Q77" i="6"/>
  <c r="B65" i="6"/>
  <c r="I38" i="6"/>
  <c r="L54" i="6"/>
  <c r="C12" i="6"/>
  <c r="L23" i="6"/>
  <c r="M70" i="6"/>
  <c r="C76" i="6"/>
  <c r="F83" i="6"/>
  <c r="M23" i="6"/>
  <c r="T56" i="6"/>
  <c r="M15" i="6"/>
  <c r="L24" i="6"/>
  <c r="L63" i="6"/>
  <c r="R77" i="6"/>
  <c r="V54" i="6"/>
  <c r="B20" i="6"/>
  <c r="T47" i="6"/>
  <c r="N81" i="6"/>
  <c r="T77" i="6"/>
  <c r="U48" i="6"/>
  <c r="T24" i="6"/>
  <c r="U46" i="6"/>
  <c r="I68" i="6"/>
  <c r="I44" i="6"/>
  <c r="U40" i="6"/>
  <c r="C85" i="6"/>
  <c r="T36" i="6"/>
  <c r="L82" i="6"/>
  <c r="M58" i="6"/>
  <c r="C80" i="6"/>
  <c r="U12" i="6"/>
  <c r="K22" i="6"/>
  <c r="V31" i="6"/>
  <c r="L14" i="6"/>
  <c r="B24" i="6"/>
  <c r="I29" i="6"/>
  <c r="T38" i="6"/>
  <c r="T11" i="6"/>
  <c r="C16" i="6"/>
  <c r="U30" i="6"/>
  <c r="K40" i="6"/>
  <c r="I23" i="6"/>
  <c r="V29" i="6"/>
  <c r="L44" i="6"/>
  <c r="E55" i="6"/>
  <c r="I59" i="6"/>
  <c r="T68" i="6"/>
  <c r="F74" i="6"/>
  <c r="M79" i="6"/>
  <c r="Q83" i="6"/>
  <c r="C13" i="6"/>
  <c r="U52" i="6"/>
  <c r="O82" i="6"/>
  <c r="C20" i="6"/>
  <c r="L31" i="6"/>
  <c r="M40" i="6"/>
  <c r="I61" i="6"/>
  <c r="B74" i="6"/>
  <c r="E81" i="6"/>
  <c r="F44" i="6"/>
  <c r="I55" i="6"/>
  <c r="M69" i="6"/>
  <c r="S83" i="6"/>
  <c r="K42" i="6"/>
  <c r="U56" i="6"/>
  <c r="C68" i="6"/>
  <c r="I82" i="6"/>
  <c r="V13" i="6"/>
  <c r="E26" i="6"/>
  <c r="B58" i="6"/>
  <c r="F72" i="6"/>
  <c r="K83" i="6"/>
  <c r="V16" i="6"/>
  <c r="F37" i="6"/>
  <c r="K66" i="6"/>
  <c r="C72" i="6"/>
  <c r="D79" i="6"/>
  <c r="Q84" i="6"/>
  <c r="I11" i="6"/>
  <c r="K28" i="6"/>
  <c r="U59" i="6"/>
  <c r="C18" i="6"/>
  <c r="U39" i="6"/>
  <c r="S80" i="6"/>
  <c r="C31" i="6"/>
  <c r="T46" i="6"/>
  <c r="U85" i="6"/>
  <c r="V32" i="6"/>
  <c r="V51" i="6"/>
  <c r="T70" i="6"/>
  <c r="C37" i="6"/>
  <c r="E54" i="6"/>
  <c r="F69" i="6"/>
  <c r="V19" i="6"/>
  <c r="L43" i="6"/>
  <c r="U11" i="6"/>
  <c r="V81" i="6"/>
  <c r="T37" i="6"/>
  <c r="U50" i="6"/>
  <c r="K72" i="6"/>
  <c r="L83" i="6"/>
  <c r="K48" i="6"/>
  <c r="E59" i="6"/>
  <c r="T69" i="6"/>
  <c r="U80" i="6"/>
  <c r="T45" i="6"/>
  <c r="I78" i="6"/>
  <c r="T75" i="6"/>
  <c r="V44" i="6"/>
  <c r="K34" i="6"/>
  <c r="C51" i="6"/>
  <c r="L48" i="6"/>
  <c r="V80" i="6"/>
  <c r="I30" i="6"/>
  <c r="L78" i="6"/>
  <c r="K50" i="6"/>
  <c r="T71" i="6"/>
  <c r="E41" i="6"/>
  <c r="I18" i="6"/>
  <c r="T27" i="6"/>
  <c r="K18" i="6"/>
  <c r="E71" i="6"/>
  <c r="B86" i="6"/>
  <c r="T49" i="6"/>
  <c r="F84" i="6"/>
  <c r="O75" i="6"/>
  <c r="E74" i="6"/>
  <c r="F35" i="6"/>
  <c r="B39" i="6"/>
  <c r="M11" i="6"/>
  <c r="U86" i="6"/>
  <c r="L39" i="6"/>
  <c r="V45" i="6"/>
  <c r="O86" i="6"/>
  <c r="U78" i="6"/>
  <c r="V43" i="6"/>
  <c r="K52" i="6"/>
  <c r="V73" i="6"/>
  <c r="I36" i="6"/>
  <c r="F32" i="6"/>
  <c r="C53" i="6"/>
  <c r="E17" i="6"/>
  <c r="M41" i="6"/>
  <c r="F34" i="6"/>
  <c r="L52" i="6"/>
  <c r="I67" i="6"/>
  <c r="C81" i="6"/>
  <c r="U23" i="6"/>
  <c r="C46" i="6"/>
  <c r="U60" i="6"/>
  <c r="R75" i="6"/>
  <c r="C45" i="6"/>
  <c r="T64" i="6"/>
  <c r="P84" i="6"/>
  <c r="P76" i="6"/>
  <c r="E65" i="6"/>
  <c r="E50" i="6"/>
  <c r="K68" i="6"/>
  <c r="F61" i="6"/>
  <c r="V11" i="6"/>
  <c r="F67" i="6"/>
  <c r="K25" i="6"/>
  <c r="K21" i="6"/>
  <c r="E62" i="6"/>
  <c r="V15" i="6"/>
  <c r="U14" i="6"/>
  <c r="I43" i="6"/>
  <c r="F58" i="6"/>
  <c r="R86" i="6"/>
  <c r="I80" i="6"/>
  <c r="B38" i="6"/>
  <c r="B68" i="6"/>
  <c r="T82" i="6"/>
  <c r="C84" i="6"/>
  <c r="M50" i="6"/>
  <c r="K31" i="6"/>
  <c r="C55" i="6"/>
  <c r="S76" i="6"/>
  <c r="E23" i="6"/>
  <c r="I74" i="6"/>
  <c r="B50" i="6"/>
  <c r="F15" i="6"/>
  <c r="L76" i="6"/>
  <c r="F55" i="6"/>
  <c r="N79" i="6"/>
  <c r="V24" i="6"/>
  <c r="U69" i="6"/>
  <c r="T21" i="6"/>
  <c r="E48" i="6"/>
  <c r="I62" i="6"/>
  <c r="D75" i="6"/>
  <c r="F80" i="6"/>
  <c r="V52" i="6"/>
  <c r="V78" i="6"/>
  <c r="M54" i="6"/>
  <c r="U43" i="6"/>
  <c r="B85" i="6"/>
  <c r="V49" i="6"/>
  <c r="K82" i="6"/>
  <c r="T79" i="6"/>
  <c r="B32" i="6"/>
  <c r="V18" i="6"/>
  <c r="M71" i="6"/>
  <c r="M32" i="6"/>
  <c r="V79" i="6"/>
  <c r="F52" i="6"/>
  <c r="B72" i="6"/>
  <c r="B61" i="6"/>
  <c r="I79" i="6"/>
  <c r="M31" i="6"/>
  <c r="N75" i="6"/>
  <c r="B18" i="6"/>
  <c r="C67" i="6"/>
  <c r="M62" i="6"/>
  <c r="L42" i="6"/>
  <c r="T78" i="6"/>
  <c r="L46" i="6"/>
  <c r="K47" i="6"/>
  <c r="M81" i="6"/>
  <c r="K45" i="6"/>
  <c r="U77" i="6"/>
  <c r="K75" i="6"/>
  <c r="N83" i="6"/>
  <c r="M48" i="6"/>
  <c r="B81" i="6"/>
  <c r="K77" i="6"/>
  <c r="P8" i="7"/>
  <c r="O9" i="7" s="1"/>
  <c r="Q9" i="7" s="1"/>
  <c r="AE160" i="3"/>
  <c r="AE308" i="3"/>
  <c r="AE236" i="3"/>
  <c r="AE37" i="3"/>
  <c r="AE305" i="3"/>
  <c r="AE58" i="3"/>
  <c r="AE161" i="3"/>
  <c r="AE312" i="3"/>
  <c r="W238" i="3"/>
  <c r="AE307" i="3"/>
  <c r="AE39" i="3"/>
  <c r="W239" i="3"/>
  <c r="AE38" i="3"/>
  <c r="AE306" i="3"/>
  <c r="AE309" i="3"/>
  <c r="W240" i="3"/>
  <c r="AE159" i="3"/>
  <c r="AE233" i="3"/>
  <c r="AE44" i="3"/>
  <c r="AE311" i="3"/>
  <c r="AE41" i="3"/>
  <c r="AE313" i="3"/>
  <c r="AE310" i="3"/>
  <c r="AE237" i="3"/>
  <c r="AE314" i="3"/>
  <c r="AE234" i="3"/>
  <c r="AE40" i="3"/>
  <c r="AB342" i="3"/>
  <c r="AE235" i="3"/>
  <c r="Y471" i="3"/>
  <c r="AN471" i="3"/>
  <c r="AP471" i="3"/>
  <c r="AO471" i="3"/>
  <c r="Y511" i="3"/>
  <c r="AN511" i="3"/>
  <c r="AP511" i="3"/>
  <c r="AO511" i="3"/>
  <c r="Y519" i="3"/>
  <c r="AN519" i="3"/>
  <c r="AO519" i="3"/>
  <c r="AP519" i="3"/>
  <c r="Y567" i="3"/>
  <c r="U567" i="3" s="1"/>
  <c r="AP567" i="3"/>
  <c r="AN567" i="3"/>
  <c r="AO567" i="3"/>
  <c r="Y544" i="3"/>
  <c r="AN544" i="3"/>
  <c r="AO544" i="3"/>
  <c r="AP544" i="3"/>
  <c r="Y537" i="3"/>
  <c r="U537" i="3" s="1"/>
  <c r="AP537" i="3"/>
  <c r="AN537" i="3"/>
  <c r="AO537" i="3"/>
  <c r="Y553" i="3"/>
  <c r="AN553" i="3"/>
  <c r="AO553" i="3"/>
  <c r="AP553" i="3"/>
  <c r="Y569" i="3"/>
  <c r="U569" i="3" s="1"/>
  <c r="AP569" i="3"/>
  <c r="AN569" i="3"/>
  <c r="AO569" i="3"/>
  <c r="Y577" i="3"/>
  <c r="U577" i="3" s="1"/>
  <c r="AN577" i="3"/>
  <c r="AO577" i="3"/>
  <c r="AP577" i="3"/>
  <c r="Y585" i="3"/>
  <c r="AN585" i="3"/>
  <c r="AO585" i="3"/>
  <c r="AP585" i="3"/>
  <c r="Y593" i="3"/>
  <c r="U593" i="3" s="1"/>
  <c r="AN593" i="3"/>
  <c r="AO593" i="3"/>
  <c r="AP593" i="3"/>
  <c r="Y474" i="3"/>
  <c r="U474" i="3" s="1"/>
  <c r="AO474" i="3"/>
  <c r="AP474" i="3"/>
  <c r="AN474" i="3"/>
  <c r="Y482" i="3"/>
  <c r="U482" i="3" s="1"/>
  <c r="AO482" i="3"/>
  <c r="AN482" i="3"/>
  <c r="AP482" i="3"/>
  <c r="Y490" i="3"/>
  <c r="U490" i="3" s="1"/>
  <c r="AO490" i="3"/>
  <c r="AN490" i="3"/>
  <c r="AP490" i="3"/>
  <c r="Y498" i="3"/>
  <c r="AO498" i="3"/>
  <c r="AN498" i="3"/>
  <c r="AP498" i="3"/>
  <c r="Y506" i="3"/>
  <c r="AN506" i="3"/>
  <c r="AO506" i="3"/>
  <c r="AP506" i="3"/>
  <c r="Y514" i="3"/>
  <c r="U514" i="3" s="1"/>
  <c r="AP514" i="3"/>
  <c r="AN514" i="3"/>
  <c r="AO514" i="3"/>
  <c r="Y522" i="3"/>
  <c r="AO522" i="3"/>
  <c r="AP522" i="3"/>
  <c r="AN522" i="3"/>
  <c r="Y530" i="3"/>
  <c r="U530" i="3" s="1"/>
  <c r="AP530" i="3"/>
  <c r="AN530" i="3"/>
  <c r="AO530" i="3"/>
  <c r="Y538" i="3"/>
  <c r="AN538" i="3"/>
  <c r="AO538" i="3"/>
  <c r="AP538" i="3"/>
  <c r="Y546" i="3"/>
  <c r="AN546" i="3"/>
  <c r="AO546" i="3"/>
  <c r="AP546" i="3"/>
  <c r="Y554" i="3"/>
  <c r="AN554" i="3"/>
  <c r="AO554" i="3"/>
  <c r="AP554" i="3"/>
  <c r="Y562" i="3"/>
  <c r="AN562" i="3"/>
  <c r="AO562" i="3"/>
  <c r="AP562" i="3"/>
  <c r="Y570" i="3"/>
  <c r="AN570" i="3"/>
  <c r="AO570" i="3"/>
  <c r="AP570" i="3"/>
  <c r="Y578" i="3"/>
  <c r="U578" i="3" s="1"/>
  <c r="AN578" i="3"/>
  <c r="AO578" i="3"/>
  <c r="AP578" i="3"/>
  <c r="Y586" i="3"/>
  <c r="U586" i="3" s="1"/>
  <c r="AN586" i="3"/>
  <c r="AO586" i="3"/>
  <c r="AP586" i="3"/>
  <c r="Y594" i="3"/>
  <c r="AN594" i="3"/>
  <c r="AO594" i="3"/>
  <c r="AP594" i="3"/>
  <c r="Y495" i="3"/>
  <c r="AN495" i="3"/>
  <c r="AP495" i="3"/>
  <c r="AO495" i="3"/>
  <c r="Y503" i="3"/>
  <c r="AN503" i="3"/>
  <c r="AO503" i="3"/>
  <c r="AP503" i="3"/>
  <c r="Y543" i="3"/>
  <c r="AP543" i="3"/>
  <c r="AN543" i="3"/>
  <c r="AO543" i="3"/>
  <c r="Y551" i="3"/>
  <c r="AP551" i="3"/>
  <c r="AN551" i="3"/>
  <c r="AO551" i="3"/>
  <c r="Y575" i="3"/>
  <c r="AP575" i="3"/>
  <c r="AN575" i="3"/>
  <c r="AO575" i="3"/>
  <c r="Y512" i="3"/>
  <c r="U512" i="3" s="1"/>
  <c r="AO512" i="3"/>
  <c r="AN512" i="3"/>
  <c r="AP512" i="3"/>
  <c r="Y552" i="3"/>
  <c r="AN552" i="3"/>
  <c r="AO552" i="3"/>
  <c r="AP552" i="3"/>
  <c r="Y560" i="3"/>
  <c r="AN560" i="3"/>
  <c r="AO560" i="3"/>
  <c r="AP560" i="3"/>
  <c r="Y481" i="3"/>
  <c r="U481" i="3" s="1"/>
  <c r="AN481" i="3"/>
  <c r="AO481" i="3"/>
  <c r="AP481" i="3"/>
  <c r="Y497" i="3"/>
  <c r="U497" i="3" s="1"/>
  <c r="AN497" i="3"/>
  <c r="AO497" i="3"/>
  <c r="AP497" i="3"/>
  <c r="Y505" i="3"/>
  <c r="U505" i="3" s="1"/>
  <c r="AN505" i="3"/>
  <c r="AP505" i="3"/>
  <c r="AO505" i="3"/>
  <c r="Y521" i="3"/>
  <c r="AN521" i="3"/>
  <c r="AP521" i="3"/>
  <c r="AO521" i="3"/>
  <c r="Y475" i="3"/>
  <c r="AN475" i="3"/>
  <c r="AO475" i="3"/>
  <c r="AP475" i="3"/>
  <c r="Y483" i="3"/>
  <c r="AN483" i="3"/>
  <c r="AO483" i="3"/>
  <c r="AP483" i="3"/>
  <c r="Y491" i="3"/>
  <c r="AN491" i="3"/>
  <c r="AO491" i="3"/>
  <c r="AP491" i="3"/>
  <c r="Y499" i="3"/>
  <c r="AN499" i="3"/>
  <c r="AO499" i="3"/>
  <c r="AP499" i="3"/>
  <c r="Y507" i="3"/>
  <c r="AN507" i="3"/>
  <c r="AO507" i="3"/>
  <c r="AP507" i="3"/>
  <c r="Y515" i="3"/>
  <c r="AN515" i="3"/>
  <c r="AO515" i="3"/>
  <c r="AP515" i="3"/>
  <c r="Y523" i="3"/>
  <c r="AN523" i="3"/>
  <c r="AO523" i="3"/>
  <c r="AP523" i="3"/>
  <c r="Y531" i="3"/>
  <c r="U531" i="3" s="1"/>
  <c r="AN531" i="3"/>
  <c r="AO531" i="3"/>
  <c r="AP531" i="3"/>
  <c r="Y539" i="3"/>
  <c r="AN539" i="3"/>
  <c r="AO539" i="3"/>
  <c r="AP539" i="3"/>
  <c r="Y547" i="3"/>
  <c r="U547" i="3" s="1"/>
  <c r="AN547" i="3"/>
  <c r="AO547" i="3"/>
  <c r="AP547" i="3"/>
  <c r="Y555" i="3"/>
  <c r="AP555" i="3"/>
  <c r="AN555" i="3"/>
  <c r="AO555" i="3"/>
  <c r="Y563" i="3"/>
  <c r="AN563" i="3"/>
  <c r="AO563" i="3"/>
  <c r="AP563" i="3"/>
  <c r="Y571" i="3"/>
  <c r="AN571" i="3"/>
  <c r="AO571" i="3"/>
  <c r="AP571" i="3"/>
  <c r="Y579" i="3"/>
  <c r="AN579" i="3"/>
  <c r="AO579" i="3"/>
  <c r="AP579" i="3"/>
  <c r="Y587" i="3"/>
  <c r="AP587" i="3"/>
  <c r="AN587" i="3"/>
  <c r="AO587" i="3"/>
  <c r="Y595" i="3"/>
  <c r="AN595" i="3"/>
  <c r="AO595" i="3"/>
  <c r="AP595" i="3"/>
  <c r="Y496" i="3"/>
  <c r="AN496" i="3"/>
  <c r="AO496" i="3"/>
  <c r="AP496" i="3"/>
  <c r="Y536" i="3"/>
  <c r="U536" i="3" s="1"/>
  <c r="AN536" i="3"/>
  <c r="AO536" i="3"/>
  <c r="AP536" i="3"/>
  <c r="Y473" i="3"/>
  <c r="AN473" i="3"/>
  <c r="AO473" i="3"/>
  <c r="AP473" i="3"/>
  <c r="Y489" i="3"/>
  <c r="AN489" i="3"/>
  <c r="AO489" i="3"/>
  <c r="AP489" i="3"/>
  <c r="Y513" i="3"/>
  <c r="AN513" i="3"/>
  <c r="AO513" i="3"/>
  <c r="AP513" i="3"/>
  <c r="Y529" i="3"/>
  <c r="AN529" i="3"/>
  <c r="AO529" i="3"/>
  <c r="AP529" i="3"/>
  <c r="Y561" i="3"/>
  <c r="AN561" i="3"/>
  <c r="AO561" i="3"/>
  <c r="AP561" i="3"/>
  <c r="Y476" i="3"/>
  <c r="U476" i="3" s="1"/>
  <c r="AN476" i="3"/>
  <c r="AO476" i="3"/>
  <c r="AP476" i="3"/>
  <c r="Y484" i="3"/>
  <c r="AN484" i="3"/>
  <c r="AO484" i="3"/>
  <c r="AP484" i="3"/>
  <c r="Y492" i="3"/>
  <c r="AN492" i="3"/>
  <c r="AO492" i="3"/>
  <c r="AP492" i="3"/>
  <c r="Y500" i="3"/>
  <c r="AN500" i="3"/>
  <c r="AO500" i="3"/>
  <c r="AP500" i="3"/>
  <c r="Y508" i="3"/>
  <c r="AP508" i="3"/>
  <c r="AN508" i="3"/>
  <c r="AO508" i="3"/>
  <c r="Y516" i="3"/>
  <c r="AN516" i="3"/>
  <c r="AO516" i="3"/>
  <c r="AP516" i="3"/>
  <c r="Y524" i="3"/>
  <c r="AN524" i="3"/>
  <c r="AO524" i="3"/>
  <c r="AP524" i="3"/>
  <c r="Y532" i="3"/>
  <c r="AN532" i="3"/>
  <c r="AO532" i="3"/>
  <c r="AP532" i="3"/>
  <c r="Y540" i="3"/>
  <c r="U540" i="3" s="1"/>
  <c r="AN540" i="3"/>
  <c r="AO540" i="3"/>
  <c r="AP540" i="3"/>
  <c r="Y548" i="3"/>
  <c r="U548" i="3" s="1"/>
  <c r="AN548" i="3"/>
  <c r="AO548" i="3"/>
  <c r="AP548" i="3"/>
  <c r="Y556" i="3"/>
  <c r="AN556" i="3"/>
  <c r="AO556" i="3"/>
  <c r="AP556" i="3"/>
  <c r="Y564" i="3"/>
  <c r="AN564" i="3"/>
  <c r="AO564" i="3"/>
  <c r="AP564" i="3"/>
  <c r="Y572" i="3"/>
  <c r="AN572" i="3"/>
  <c r="AO572" i="3"/>
  <c r="AP572" i="3"/>
  <c r="Y580" i="3"/>
  <c r="AN580" i="3"/>
  <c r="AO580" i="3"/>
  <c r="AP580" i="3"/>
  <c r="Y588" i="3"/>
  <c r="U588" i="3" s="1"/>
  <c r="AN588" i="3"/>
  <c r="AO588" i="3"/>
  <c r="AP588" i="3"/>
  <c r="Y596" i="3"/>
  <c r="AN596" i="3"/>
  <c r="AO596" i="3"/>
  <c r="AP596" i="3"/>
  <c r="Y479" i="3"/>
  <c r="AN479" i="3"/>
  <c r="AP479" i="3"/>
  <c r="AO479" i="3"/>
  <c r="Y487" i="3"/>
  <c r="AN487" i="3"/>
  <c r="AP487" i="3"/>
  <c r="AO487" i="3"/>
  <c r="Y527" i="3"/>
  <c r="AN527" i="3"/>
  <c r="AP527" i="3"/>
  <c r="AO527" i="3"/>
  <c r="Y559" i="3"/>
  <c r="U559" i="3" s="1"/>
  <c r="AP559" i="3"/>
  <c r="AN559" i="3"/>
  <c r="AO559" i="3"/>
  <c r="Y480" i="3"/>
  <c r="U480" i="3" s="1"/>
  <c r="AN480" i="3"/>
  <c r="AO480" i="3"/>
  <c r="AP480" i="3"/>
  <c r="Y528" i="3"/>
  <c r="AO528" i="3"/>
  <c r="AN528" i="3"/>
  <c r="AP528" i="3"/>
  <c r="Y568" i="3"/>
  <c r="AN568" i="3"/>
  <c r="AO568" i="3"/>
  <c r="AP568" i="3"/>
  <c r="Y584" i="3"/>
  <c r="AN584" i="3"/>
  <c r="AO584" i="3"/>
  <c r="AP584" i="3"/>
  <c r="Y592" i="3"/>
  <c r="U592" i="3" s="1"/>
  <c r="AN592" i="3"/>
  <c r="AO592" i="3"/>
  <c r="AP592" i="3"/>
  <c r="Y545" i="3"/>
  <c r="U545" i="3" s="1"/>
  <c r="AN545" i="3"/>
  <c r="AO545" i="3"/>
  <c r="AP545" i="3"/>
  <c r="Y477" i="3"/>
  <c r="U477" i="3" s="1"/>
  <c r="AN477" i="3"/>
  <c r="AO477" i="3"/>
  <c r="AP477" i="3"/>
  <c r="Y485" i="3"/>
  <c r="AN485" i="3"/>
  <c r="AO485" i="3"/>
  <c r="AP485" i="3"/>
  <c r="Y493" i="3"/>
  <c r="U493" i="3" s="1"/>
  <c r="AN493" i="3"/>
  <c r="AO493" i="3"/>
  <c r="AP493" i="3"/>
  <c r="Y501" i="3"/>
  <c r="AN501" i="3"/>
  <c r="AO501" i="3"/>
  <c r="AP501" i="3"/>
  <c r="Y509" i="3"/>
  <c r="AN509" i="3"/>
  <c r="AO509" i="3"/>
  <c r="AP509" i="3"/>
  <c r="Y517" i="3"/>
  <c r="AN517" i="3"/>
  <c r="AO517" i="3"/>
  <c r="AP517" i="3"/>
  <c r="Y525" i="3"/>
  <c r="AN525" i="3"/>
  <c r="AO525" i="3"/>
  <c r="AP525" i="3"/>
  <c r="Y533" i="3"/>
  <c r="U533" i="3" s="1"/>
  <c r="AN533" i="3"/>
  <c r="AO533" i="3"/>
  <c r="AP533" i="3"/>
  <c r="Y541" i="3"/>
  <c r="AN541" i="3"/>
  <c r="AO541" i="3"/>
  <c r="AP541" i="3"/>
  <c r="Y549" i="3"/>
  <c r="AN549" i="3"/>
  <c r="AO549" i="3"/>
  <c r="AP549" i="3"/>
  <c r="Y557" i="3"/>
  <c r="U557" i="3" s="1"/>
  <c r="AN557" i="3"/>
  <c r="AO557" i="3"/>
  <c r="AP557" i="3"/>
  <c r="Y565" i="3"/>
  <c r="U565" i="3" s="1"/>
  <c r="AN565" i="3"/>
  <c r="AO565" i="3"/>
  <c r="AP565" i="3"/>
  <c r="Y573" i="3"/>
  <c r="AN573" i="3"/>
  <c r="AO573" i="3"/>
  <c r="AP573" i="3"/>
  <c r="Y581" i="3"/>
  <c r="AN581" i="3"/>
  <c r="AO581" i="3"/>
  <c r="AP581" i="3"/>
  <c r="Y589" i="3"/>
  <c r="AN589" i="3"/>
  <c r="AO589" i="3"/>
  <c r="AP589" i="3"/>
  <c r="Y535" i="3"/>
  <c r="U535" i="3" s="1"/>
  <c r="AP535" i="3"/>
  <c r="AN535" i="3"/>
  <c r="AO535" i="3"/>
  <c r="Y583" i="3"/>
  <c r="AP583" i="3"/>
  <c r="AN583" i="3"/>
  <c r="AO583" i="3"/>
  <c r="Y591" i="3"/>
  <c r="AP591" i="3"/>
  <c r="AN591" i="3"/>
  <c r="AO591" i="3"/>
  <c r="Y472" i="3"/>
  <c r="AN472" i="3"/>
  <c r="AO472" i="3"/>
  <c r="AP472" i="3"/>
  <c r="Y488" i="3"/>
  <c r="U488" i="3" s="1"/>
  <c r="AP488" i="3"/>
  <c r="AN488" i="3"/>
  <c r="AO488" i="3"/>
  <c r="Y504" i="3"/>
  <c r="AP504" i="3"/>
  <c r="AN504" i="3"/>
  <c r="AO504" i="3"/>
  <c r="Y520" i="3"/>
  <c r="AP520" i="3"/>
  <c r="AN520" i="3"/>
  <c r="AO520" i="3"/>
  <c r="Y576" i="3"/>
  <c r="AN576" i="3"/>
  <c r="AO576" i="3"/>
  <c r="AP576" i="3"/>
  <c r="Y470" i="3"/>
  <c r="AP470" i="3"/>
  <c r="AN470" i="3"/>
  <c r="AO470" i="3"/>
  <c r="Y478" i="3"/>
  <c r="U478" i="3" s="1"/>
  <c r="AP478" i="3"/>
  <c r="AN478" i="3"/>
  <c r="AO478" i="3"/>
  <c r="Y486" i="3"/>
  <c r="AP486" i="3"/>
  <c r="AN486" i="3"/>
  <c r="AO486" i="3"/>
  <c r="Y494" i="3"/>
  <c r="AP494" i="3"/>
  <c r="AN494" i="3"/>
  <c r="AO494" i="3"/>
  <c r="Y502" i="3"/>
  <c r="AO502" i="3"/>
  <c r="AP502" i="3"/>
  <c r="AN502" i="3"/>
  <c r="Y510" i="3"/>
  <c r="U510" i="3" s="1"/>
  <c r="AN510" i="3"/>
  <c r="AO510" i="3"/>
  <c r="AP510" i="3"/>
  <c r="Y518" i="3"/>
  <c r="AO518" i="3"/>
  <c r="AN518" i="3"/>
  <c r="AP518" i="3"/>
  <c r="Y526" i="3"/>
  <c r="AN526" i="3"/>
  <c r="AO526" i="3"/>
  <c r="AP526" i="3"/>
  <c r="Y534" i="3"/>
  <c r="AN534" i="3"/>
  <c r="AO534" i="3"/>
  <c r="AP534" i="3"/>
  <c r="Y542" i="3"/>
  <c r="AN542" i="3"/>
  <c r="AO542" i="3"/>
  <c r="AP542" i="3"/>
  <c r="Y550" i="3"/>
  <c r="U550" i="3" s="1"/>
  <c r="AN550" i="3"/>
  <c r="AO550" i="3"/>
  <c r="AP550" i="3"/>
  <c r="Y558" i="3"/>
  <c r="AN558" i="3"/>
  <c r="AO558" i="3"/>
  <c r="AP558" i="3"/>
  <c r="Y566" i="3"/>
  <c r="AN566" i="3"/>
  <c r="AO566" i="3"/>
  <c r="AP566" i="3"/>
  <c r="Y574" i="3"/>
  <c r="AN574" i="3"/>
  <c r="AO574" i="3"/>
  <c r="AP574" i="3"/>
  <c r="Y582" i="3"/>
  <c r="AN582" i="3"/>
  <c r="AO582" i="3"/>
  <c r="AP582" i="3"/>
  <c r="Y590" i="3"/>
  <c r="AN590" i="3"/>
  <c r="AO590" i="3"/>
  <c r="AP590" i="3"/>
  <c r="AI498" i="3"/>
  <c r="AM498" i="3" s="1"/>
  <c r="AQ498" i="3" s="1"/>
  <c r="AJ498" i="3"/>
  <c r="AL498" i="3"/>
  <c r="AK498" i="3"/>
  <c r="AI506" i="3"/>
  <c r="AM506" i="3" s="1"/>
  <c r="AQ506" i="3" s="1"/>
  <c r="AL506" i="3"/>
  <c r="AJ506" i="3"/>
  <c r="AK506" i="3"/>
  <c r="AI554" i="3"/>
  <c r="AM554" i="3" s="1"/>
  <c r="AQ554" i="3" s="1"/>
  <c r="AL554" i="3"/>
  <c r="AJ554" i="3"/>
  <c r="AK554" i="3"/>
  <c r="AI562" i="3"/>
  <c r="AM562" i="3" s="1"/>
  <c r="AQ562" i="3" s="1"/>
  <c r="AJ562" i="3"/>
  <c r="AK562" i="3"/>
  <c r="AL562" i="3"/>
  <c r="AI570" i="3"/>
  <c r="AM570" i="3" s="1"/>
  <c r="AQ570" i="3" s="1"/>
  <c r="AL570" i="3"/>
  <c r="AJ570" i="3"/>
  <c r="AK570" i="3"/>
  <c r="AI578" i="3"/>
  <c r="AM578" i="3" s="1"/>
  <c r="AQ578" i="3" s="1"/>
  <c r="AK578" i="3"/>
  <c r="AJ578" i="3"/>
  <c r="AL578" i="3"/>
  <c r="AI586" i="3"/>
  <c r="AM586" i="3" s="1"/>
  <c r="AQ586" i="3" s="1"/>
  <c r="AL586" i="3"/>
  <c r="AJ586" i="3"/>
  <c r="AK586" i="3"/>
  <c r="AL483" i="3"/>
  <c r="AK483" i="3"/>
  <c r="AJ483" i="3"/>
  <c r="AI483" i="3"/>
  <c r="AM483" i="3" s="1"/>
  <c r="AQ483" i="3" s="1"/>
  <c r="AL491" i="3"/>
  <c r="AK491" i="3"/>
  <c r="AI491" i="3"/>
  <c r="AM491" i="3" s="1"/>
  <c r="AQ491" i="3" s="1"/>
  <c r="AJ491" i="3"/>
  <c r="AL499" i="3"/>
  <c r="AI499" i="3"/>
  <c r="AM499" i="3" s="1"/>
  <c r="AQ499" i="3" s="1"/>
  <c r="AK499" i="3"/>
  <c r="AJ499" i="3"/>
  <c r="AL523" i="3"/>
  <c r="AK523" i="3"/>
  <c r="AJ523" i="3"/>
  <c r="AI523" i="3"/>
  <c r="AM523" i="3" s="1"/>
  <c r="AQ523" i="3" s="1"/>
  <c r="AL531" i="3"/>
  <c r="AI531" i="3"/>
  <c r="AM531" i="3" s="1"/>
  <c r="AQ531" i="3" s="1"/>
  <c r="AJ531" i="3"/>
  <c r="AK531" i="3"/>
  <c r="AL539" i="3"/>
  <c r="AI539" i="3"/>
  <c r="AM539" i="3" s="1"/>
  <c r="AQ539" i="3" s="1"/>
  <c r="AK539" i="3"/>
  <c r="AJ539" i="3"/>
  <c r="AL547" i="3"/>
  <c r="AI547" i="3"/>
  <c r="AM547" i="3" s="1"/>
  <c r="AQ547" i="3" s="1"/>
  <c r="AK547" i="3"/>
  <c r="AJ547" i="3"/>
  <c r="AL555" i="3"/>
  <c r="AK555" i="3"/>
  <c r="AI555" i="3"/>
  <c r="AM555" i="3" s="1"/>
  <c r="AQ555" i="3" s="1"/>
  <c r="AJ555" i="3"/>
  <c r="AL563" i="3"/>
  <c r="AI563" i="3"/>
  <c r="AM563" i="3" s="1"/>
  <c r="AQ563" i="3" s="1"/>
  <c r="AJ563" i="3"/>
  <c r="AK563" i="3"/>
  <c r="AL571" i="3"/>
  <c r="AI571" i="3"/>
  <c r="AM571" i="3" s="1"/>
  <c r="AQ571" i="3" s="1"/>
  <c r="AK571" i="3"/>
  <c r="AJ571" i="3"/>
  <c r="AI579" i="3"/>
  <c r="AM579" i="3" s="1"/>
  <c r="AQ579" i="3" s="1"/>
  <c r="AL579" i="3"/>
  <c r="AK579" i="3"/>
  <c r="AJ579" i="3"/>
  <c r="AL587" i="3"/>
  <c r="AK587" i="3"/>
  <c r="AI587" i="3"/>
  <c r="AM587" i="3" s="1"/>
  <c r="AQ587" i="3" s="1"/>
  <c r="AJ587" i="3"/>
  <c r="AI484" i="3"/>
  <c r="AM484" i="3" s="1"/>
  <c r="AQ484" i="3" s="1"/>
  <c r="AL484" i="3"/>
  <c r="AK484" i="3"/>
  <c r="AJ484" i="3"/>
  <c r="AI524" i="3"/>
  <c r="AM524" i="3" s="1"/>
  <c r="AQ524" i="3" s="1"/>
  <c r="AL524" i="3"/>
  <c r="AK524" i="3"/>
  <c r="AJ524" i="3"/>
  <c r="AI532" i="3"/>
  <c r="AM532" i="3" s="1"/>
  <c r="AQ532" i="3" s="1"/>
  <c r="AL532" i="3"/>
  <c r="AJ532" i="3"/>
  <c r="AK532" i="3"/>
  <c r="AI572" i="3"/>
  <c r="AM572" i="3" s="1"/>
  <c r="AQ572" i="3" s="1"/>
  <c r="AJ572" i="3"/>
  <c r="AL572" i="3"/>
  <c r="AK572" i="3"/>
  <c r="AL580" i="3"/>
  <c r="AI580" i="3"/>
  <c r="AM580" i="3" s="1"/>
  <c r="AQ580" i="3" s="1"/>
  <c r="AK580" i="3"/>
  <c r="AJ580" i="3"/>
  <c r="AI588" i="3"/>
  <c r="AM588" i="3" s="1"/>
  <c r="AQ588" i="3" s="1"/>
  <c r="AK588" i="3"/>
  <c r="AJ588" i="3"/>
  <c r="AL588" i="3"/>
  <c r="AK501" i="3"/>
  <c r="AL501" i="3"/>
  <c r="AI501" i="3"/>
  <c r="AM501" i="3" s="1"/>
  <c r="AQ501" i="3" s="1"/>
  <c r="AJ501" i="3"/>
  <c r="AI517" i="3"/>
  <c r="AM517" i="3" s="1"/>
  <c r="AQ517" i="3" s="1"/>
  <c r="AJ517" i="3"/>
  <c r="AK517" i="3"/>
  <c r="AL517" i="3"/>
  <c r="AL525" i="3"/>
  <c r="AK525" i="3"/>
  <c r="AJ525" i="3"/>
  <c r="AI525" i="3"/>
  <c r="AM525" i="3" s="1"/>
  <c r="AQ525" i="3" s="1"/>
  <c r="AI533" i="3"/>
  <c r="AM533" i="3" s="1"/>
  <c r="AQ533" i="3" s="1"/>
  <c r="AL533" i="3"/>
  <c r="AK533" i="3"/>
  <c r="AJ533" i="3"/>
  <c r="AL541" i="3"/>
  <c r="AI541" i="3"/>
  <c r="AM541" i="3" s="1"/>
  <c r="AQ541" i="3" s="1"/>
  <c r="AJ541" i="3"/>
  <c r="AK541" i="3"/>
  <c r="AI549" i="3"/>
  <c r="AM549" i="3" s="1"/>
  <c r="AQ549" i="3" s="1"/>
  <c r="AL549" i="3"/>
  <c r="AK549" i="3"/>
  <c r="AJ549" i="3"/>
  <c r="AL565" i="3"/>
  <c r="AI565" i="3"/>
  <c r="AM565" i="3" s="1"/>
  <c r="AQ565" i="3" s="1"/>
  <c r="AK565" i="3"/>
  <c r="AJ565" i="3"/>
  <c r="AL581" i="3"/>
  <c r="AJ581" i="3"/>
  <c r="AI581" i="3"/>
  <c r="AM581" i="3" s="1"/>
  <c r="AQ581" i="3" s="1"/>
  <c r="AK581" i="3"/>
  <c r="AI589" i="3"/>
  <c r="AM589" i="3" s="1"/>
  <c r="AQ589" i="3" s="1"/>
  <c r="AL589" i="3"/>
  <c r="AK589" i="3"/>
  <c r="AJ589" i="3"/>
  <c r="AI478" i="3"/>
  <c r="AM478" i="3" s="1"/>
  <c r="AQ478" i="3" s="1"/>
  <c r="AJ478" i="3"/>
  <c r="AL478" i="3"/>
  <c r="AK478" i="3"/>
  <c r="AI494" i="3"/>
  <c r="AM494" i="3" s="1"/>
  <c r="AQ494" i="3" s="1"/>
  <c r="AK494" i="3"/>
  <c r="AJ494" i="3"/>
  <c r="AL494" i="3"/>
  <c r="AL502" i="3"/>
  <c r="AK502" i="3"/>
  <c r="AI502" i="3"/>
  <c r="AM502" i="3" s="1"/>
  <c r="AQ502" i="3" s="1"/>
  <c r="AJ502" i="3"/>
  <c r="AI510" i="3"/>
  <c r="AM510" i="3" s="1"/>
  <c r="AQ510" i="3" s="1"/>
  <c r="AL510" i="3"/>
  <c r="AJ510" i="3"/>
  <c r="AK510" i="3"/>
  <c r="AI518" i="3"/>
  <c r="AM518" i="3" s="1"/>
  <c r="AQ518" i="3" s="1"/>
  <c r="AK518" i="3"/>
  <c r="AJ518" i="3"/>
  <c r="AL518" i="3"/>
  <c r="AI526" i="3"/>
  <c r="AM526" i="3" s="1"/>
  <c r="AQ526" i="3" s="1"/>
  <c r="AL526" i="3"/>
  <c r="AJ526" i="3"/>
  <c r="AK526" i="3"/>
  <c r="AL534" i="3"/>
  <c r="AI534" i="3"/>
  <c r="AM534" i="3" s="1"/>
  <c r="AQ534" i="3" s="1"/>
  <c r="AK534" i="3"/>
  <c r="AJ534" i="3"/>
  <c r="AI542" i="3"/>
  <c r="AM542" i="3" s="1"/>
  <c r="AQ542" i="3" s="1"/>
  <c r="AK542" i="3"/>
  <c r="AJ542" i="3"/>
  <c r="AL542" i="3"/>
  <c r="AI550" i="3"/>
  <c r="AM550" i="3" s="1"/>
  <c r="AQ550" i="3" s="1"/>
  <c r="AK550" i="3"/>
  <c r="AL550" i="3"/>
  <c r="AJ550" i="3"/>
  <c r="AL566" i="3"/>
  <c r="AI566" i="3"/>
  <c r="AM566" i="3" s="1"/>
  <c r="AQ566" i="3" s="1"/>
  <c r="AK566" i="3"/>
  <c r="AJ566" i="3"/>
  <c r="AL479" i="3"/>
  <c r="AI479" i="3"/>
  <c r="AM479" i="3" s="1"/>
  <c r="AQ479" i="3" s="1"/>
  <c r="AK479" i="3"/>
  <c r="AJ479" i="3"/>
  <c r="AI487" i="3"/>
  <c r="AM487" i="3" s="1"/>
  <c r="AQ487" i="3" s="1"/>
  <c r="AK487" i="3"/>
  <c r="AL487" i="3"/>
  <c r="AJ487" i="3"/>
  <c r="AI495" i="3"/>
  <c r="AM495" i="3" s="1"/>
  <c r="AQ495" i="3" s="1"/>
  <c r="AK495" i="3"/>
  <c r="AJ495" i="3"/>
  <c r="AL495" i="3"/>
  <c r="AK503" i="3"/>
  <c r="AL503" i="3"/>
  <c r="AJ503" i="3"/>
  <c r="AI503" i="3"/>
  <c r="AM503" i="3" s="1"/>
  <c r="AQ503" i="3" s="1"/>
  <c r="AK519" i="3"/>
  <c r="AJ519" i="3"/>
  <c r="AI519" i="3"/>
  <c r="AM519" i="3" s="1"/>
  <c r="AQ519" i="3" s="1"/>
  <c r="AL519" i="3"/>
  <c r="AI527" i="3"/>
  <c r="AM527" i="3" s="1"/>
  <c r="AQ527" i="3" s="1"/>
  <c r="AK527" i="3"/>
  <c r="AL527" i="3"/>
  <c r="AJ527" i="3"/>
  <c r="AK535" i="3"/>
  <c r="AI535" i="3"/>
  <c r="AM535" i="3" s="1"/>
  <c r="AQ535" i="3" s="1"/>
  <c r="AL535" i="3"/>
  <c r="AJ535" i="3"/>
  <c r="AL543" i="3"/>
  <c r="AK543" i="3"/>
  <c r="AJ543" i="3"/>
  <c r="AI543" i="3"/>
  <c r="AM543" i="3" s="1"/>
  <c r="AQ543" i="3" s="1"/>
  <c r="AK583" i="3"/>
  <c r="AI583" i="3"/>
  <c r="AM583" i="3" s="1"/>
  <c r="AQ583" i="3" s="1"/>
  <c r="AL583" i="3"/>
  <c r="AJ583" i="3"/>
  <c r="AI591" i="3"/>
  <c r="AM591" i="3" s="1"/>
  <c r="AQ591" i="3" s="1"/>
  <c r="AK591" i="3"/>
  <c r="AL591" i="3"/>
  <c r="AJ591" i="3"/>
  <c r="AL472" i="3"/>
  <c r="AK472" i="3"/>
  <c r="AJ472" i="3"/>
  <c r="AI472" i="3"/>
  <c r="AM472" i="3" s="1"/>
  <c r="AQ472" i="3" s="1"/>
  <c r="AI480" i="3"/>
  <c r="AM480" i="3" s="1"/>
  <c r="AQ480" i="3" s="1"/>
  <c r="AK480" i="3"/>
  <c r="AJ480" i="3"/>
  <c r="AL480" i="3"/>
  <c r="AL488" i="3"/>
  <c r="AK488" i="3"/>
  <c r="AJ488" i="3"/>
  <c r="AI488" i="3"/>
  <c r="AM488" i="3" s="1"/>
  <c r="AQ488" i="3" s="1"/>
  <c r="AI496" i="3"/>
  <c r="AM496" i="3" s="1"/>
  <c r="AQ496" i="3" s="1"/>
  <c r="AK496" i="3"/>
  <c r="AL496" i="3"/>
  <c r="AJ496" i="3"/>
  <c r="AI504" i="3"/>
  <c r="AM504" i="3" s="1"/>
  <c r="AQ504" i="3" s="1"/>
  <c r="AK504" i="3"/>
  <c r="AJ504" i="3"/>
  <c r="AL504" i="3"/>
  <c r="AL512" i="3"/>
  <c r="AK512" i="3"/>
  <c r="AJ512" i="3"/>
  <c r="AI512" i="3"/>
  <c r="AM512" i="3" s="1"/>
  <c r="AQ512" i="3" s="1"/>
  <c r="AI520" i="3"/>
  <c r="AM520" i="3" s="1"/>
  <c r="AQ520" i="3" s="1"/>
  <c r="AK520" i="3"/>
  <c r="AJ520" i="3"/>
  <c r="AL520" i="3"/>
  <c r="AK528" i="3"/>
  <c r="AI528" i="3"/>
  <c r="AM528" i="3" s="1"/>
  <c r="AQ528" i="3" s="1"/>
  <c r="AJ528" i="3"/>
  <c r="AL528" i="3"/>
  <c r="AI536" i="3"/>
  <c r="AM536" i="3" s="1"/>
  <c r="AQ536" i="3" s="1"/>
  <c r="AK536" i="3"/>
  <c r="AJ536" i="3"/>
  <c r="AL536" i="3"/>
  <c r="AL544" i="3"/>
  <c r="AK544" i="3"/>
  <c r="AI544" i="3"/>
  <c r="AM544" i="3" s="1"/>
  <c r="AQ544" i="3" s="1"/>
  <c r="AJ544" i="3"/>
  <c r="AL552" i="3"/>
  <c r="AK552" i="3"/>
  <c r="AJ552" i="3"/>
  <c r="AI552" i="3"/>
  <c r="AM552" i="3" s="1"/>
  <c r="AQ552" i="3" s="1"/>
  <c r="AI560" i="3"/>
  <c r="AM560" i="3" s="1"/>
  <c r="AQ560" i="3" s="1"/>
  <c r="AK560" i="3"/>
  <c r="AJ560" i="3"/>
  <c r="AL560" i="3"/>
  <c r="AI568" i="3"/>
  <c r="AM568" i="3" s="1"/>
  <c r="AQ568" i="3" s="1"/>
  <c r="AK568" i="3"/>
  <c r="AJ568" i="3"/>
  <c r="AL568" i="3"/>
  <c r="AI576" i="3"/>
  <c r="AM576" i="3" s="1"/>
  <c r="AQ576" i="3" s="1"/>
  <c r="AL576" i="3"/>
  <c r="AK576" i="3"/>
  <c r="AJ576" i="3"/>
  <c r="AK584" i="3"/>
  <c r="AJ584" i="3"/>
  <c r="AI584" i="3"/>
  <c r="AM584" i="3" s="1"/>
  <c r="AQ584" i="3" s="1"/>
  <c r="AL584" i="3"/>
  <c r="AI592" i="3"/>
  <c r="AM592" i="3" s="1"/>
  <c r="AQ592" i="3" s="1"/>
  <c r="AK592" i="3"/>
  <c r="AJ592" i="3"/>
  <c r="AL592" i="3"/>
  <c r="AI474" i="3"/>
  <c r="AM474" i="3" s="1"/>
  <c r="AQ474" i="3" s="1"/>
  <c r="AJ474" i="3"/>
  <c r="AK474" i="3"/>
  <c r="AL474" i="3"/>
  <c r="AI482" i="3"/>
  <c r="AM482" i="3" s="1"/>
  <c r="AQ482" i="3" s="1"/>
  <c r="AL482" i="3"/>
  <c r="AK482" i="3"/>
  <c r="AJ482" i="3"/>
  <c r="AI490" i="3"/>
  <c r="AM490" i="3" s="1"/>
  <c r="AQ490" i="3" s="1"/>
  <c r="AJ490" i="3"/>
  <c r="AL490" i="3"/>
  <c r="AK490" i="3"/>
  <c r="AI514" i="3"/>
  <c r="AM514" i="3" s="1"/>
  <c r="AQ514" i="3" s="1"/>
  <c r="AL514" i="3"/>
  <c r="AK514" i="3"/>
  <c r="AJ514" i="3"/>
  <c r="AI522" i="3"/>
  <c r="AM522" i="3" s="1"/>
  <c r="AQ522" i="3" s="1"/>
  <c r="AL522" i="3"/>
  <c r="AJ522" i="3"/>
  <c r="AK522" i="3"/>
  <c r="AI530" i="3"/>
  <c r="AM530" i="3" s="1"/>
  <c r="AQ530" i="3" s="1"/>
  <c r="AJ530" i="3"/>
  <c r="AK530" i="3"/>
  <c r="AL530" i="3"/>
  <c r="AI538" i="3"/>
  <c r="AM538" i="3" s="1"/>
  <c r="AQ538" i="3" s="1"/>
  <c r="AL538" i="3"/>
  <c r="AJ538" i="3"/>
  <c r="AK538" i="3"/>
  <c r="AI546" i="3"/>
  <c r="AM546" i="3" s="1"/>
  <c r="AQ546" i="3" s="1"/>
  <c r="AJ546" i="3"/>
  <c r="AK546" i="3"/>
  <c r="AL546" i="3"/>
  <c r="AI594" i="3"/>
  <c r="AM594" i="3" s="1"/>
  <c r="AQ594" i="3" s="1"/>
  <c r="AL594" i="3"/>
  <c r="AJ594" i="3"/>
  <c r="AK594" i="3"/>
  <c r="AL475" i="3"/>
  <c r="AI475" i="3"/>
  <c r="AM475" i="3" s="1"/>
  <c r="AQ475" i="3" s="1"/>
  <c r="AJ475" i="3"/>
  <c r="AK475" i="3"/>
  <c r="AL507" i="3"/>
  <c r="AI507" i="3"/>
  <c r="AM507" i="3" s="1"/>
  <c r="AQ507" i="3" s="1"/>
  <c r="AJ507" i="3"/>
  <c r="AK507" i="3"/>
  <c r="AI515" i="3"/>
  <c r="AM515" i="3" s="1"/>
  <c r="AQ515" i="3" s="1"/>
  <c r="AL515" i="3"/>
  <c r="AK515" i="3"/>
  <c r="AJ515" i="3"/>
  <c r="AL595" i="3"/>
  <c r="AK595" i="3"/>
  <c r="AJ595" i="3"/>
  <c r="AI595" i="3"/>
  <c r="AM595" i="3" s="1"/>
  <c r="AQ595" i="3" s="1"/>
  <c r="AI476" i="3"/>
  <c r="AM476" i="3" s="1"/>
  <c r="AQ476" i="3" s="1"/>
  <c r="AK476" i="3"/>
  <c r="AJ476" i="3"/>
  <c r="AL476" i="3"/>
  <c r="AI492" i="3"/>
  <c r="AM492" i="3" s="1"/>
  <c r="AQ492" i="3" s="1"/>
  <c r="AL492" i="3"/>
  <c r="AK492" i="3"/>
  <c r="AJ492" i="3"/>
  <c r="AL500" i="3"/>
  <c r="AI500" i="3"/>
  <c r="AM500" i="3" s="1"/>
  <c r="AQ500" i="3" s="1"/>
  <c r="AJ500" i="3"/>
  <c r="AK500" i="3"/>
  <c r="AI508" i="3"/>
  <c r="AM508" i="3" s="1"/>
  <c r="AQ508" i="3" s="1"/>
  <c r="AJ508" i="3"/>
  <c r="AL508" i="3"/>
  <c r="AK508" i="3"/>
  <c r="AI516" i="3"/>
  <c r="AM516" i="3" s="1"/>
  <c r="AQ516" i="3" s="1"/>
  <c r="AL516" i="3"/>
  <c r="AK516" i="3"/>
  <c r="AJ516" i="3"/>
  <c r="AL540" i="3"/>
  <c r="AI540" i="3"/>
  <c r="AM540" i="3" s="1"/>
  <c r="AQ540" i="3" s="1"/>
  <c r="AK540" i="3"/>
  <c r="AJ540" i="3"/>
  <c r="AI548" i="3"/>
  <c r="AM548" i="3" s="1"/>
  <c r="AQ548" i="3" s="1"/>
  <c r="AL548" i="3"/>
  <c r="AK548" i="3"/>
  <c r="AJ548" i="3"/>
  <c r="AL556" i="3"/>
  <c r="AK556" i="3"/>
  <c r="AJ556" i="3"/>
  <c r="AI556" i="3"/>
  <c r="AM556" i="3" s="1"/>
  <c r="AQ556" i="3" s="1"/>
  <c r="AI564" i="3"/>
  <c r="AM564" i="3" s="1"/>
  <c r="AQ564" i="3" s="1"/>
  <c r="AL564" i="3"/>
  <c r="AK564" i="3"/>
  <c r="AJ564" i="3"/>
  <c r="AL596" i="3"/>
  <c r="AK596" i="3"/>
  <c r="AJ596" i="3"/>
  <c r="AI596" i="3"/>
  <c r="AM596" i="3" s="1"/>
  <c r="AQ596" i="3" s="1"/>
  <c r="AI477" i="3"/>
  <c r="AM477" i="3" s="1"/>
  <c r="AQ477" i="3" s="1"/>
  <c r="AL477" i="3"/>
  <c r="AK477" i="3"/>
  <c r="AJ477" i="3"/>
  <c r="AI485" i="3"/>
  <c r="AM485" i="3" s="1"/>
  <c r="AQ485" i="3" s="1"/>
  <c r="AL485" i="3"/>
  <c r="AK485" i="3"/>
  <c r="AJ485" i="3"/>
  <c r="AI493" i="3"/>
  <c r="AM493" i="3" s="1"/>
  <c r="AQ493" i="3" s="1"/>
  <c r="AL493" i="3"/>
  <c r="AK493" i="3"/>
  <c r="AJ493" i="3"/>
  <c r="AI509" i="3"/>
  <c r="AM509" i="3" s="1"/>
  <c r="AQ509" i="3" s="1"/>
  <c r="AK509" i="3"/>
  <c r="AL509" i="3"/>
  <c r="AJ509" i="3"/>
  <c r="AI557" i="3"/>
  <c r="AM557" i="3" s="1"/>
  <c r="AQ557" i="3" s="1"/>
  <c r="AL557" i="3"/>
  <c r="AK557" i="3"/>
  <c r="AJ557" i="3"/>
  <c r="AI573" i="3"/>
  <c r="AM573" i="3" s="1"/>
  <c r="AQ573" i="3" s="1"/>
  <c r="AL573" i="3"/>
  <c r="AJ573" i="3"/>
  <c r="AK573" i="3"/>
  <c r="AL470" i="3"/>
  <c r="AK470" i="3"/>
  <c r="AJ470" i="3"/>
  <c r="AI470" i="3"/>
  <c r="AM470" i="3" s="1"/>
  <c r="AQ470" i="3" s="1"/>
  <c r="AL486" i="3"/>
  <c r="AK486" i="3"/>
  <c r="AJ486" i="3"/>
  <c r="AI486" i="3"/>
  <c r="AM486" i="3" s="1"/>
  <c r="AQ486" i="3" s="1"/>
  <c r="AI558" i="3"/>
  <c r="AM558" i="3" s="1"/>
  <c r="AQ558" i="3" s="1"/>
  <c r="AJ558" i="3"/>
  <c r="AL558" i="3"/>
  <c r="AK558" i="3"/>
  <c r="AL574" i="3"/>
  <c r="AI574" i="3"/>
  <c r="AM574" i="3" s="1"/>
  <c r="AQ574" i="3" s="1"/>
  <c r="AJ574" i="3"/>
  <c r="AK574" i="3"/>
  <c r="AL582" i="3"/>
  <c r="AK582" i="3"/>
  <c r="AI582" i="3"/>
  <c r="AM582" i="3" s="1"/>
  <c r="AQ582" i="3" s="1"/>
  <c r="AJ582" i="3"/>
  <c r="AI590" i="3"/>
  <c r="AM590" i="3" s="1"/>
  <c r="AQ590" i="3" s="1"/>
  <c r="AL590" i="3"/>
  <c r="AK590" i="3"/>
  <c r="AJ590" i="3"/>
  <c r="AL471" i="3"/>
  <c r="AK471" i="3"/>
  <c r="AI471" i="3"/>
  <c r="AM471" i="3" s="1"/>
  <c r="AQ471" i="3" s="1"/>
  <c r="AJ471" i="3"/>
  <c r="AK511" i="3"/>
  <c r="AI511" i="3"/>
  <c r="AM511" i="3" s="1"/>
  <c r="AQ511" i="3" s="1"/>
  <c r="AL511" i="3"/>
  <c r="AJ511" i="3"/>
  <c r="AI551" i="3"/>
  <c r="AM551" i="3" s="1"/>
  <c r="AQ551" i="3" s="1"/>
  <c r="AK551" i="3"/>
  <c r="AL551" i="3"/>
  <c r="AJ551" i="3"/>
  <c r="AK559" i="3"/>
  <c r="AJ559" i="3"/>
  <c r="AL559" i="3"/>
  <c r="AI559" i="3"/>
  <c r="AM559" i="3" s="1"/>
  <c r="AQ559" i="3" s="1"/>
  <c r="AI567" i="3"/>
  <c r="AM567" i="3" s="1"/>
  <c r="AQ567" i="3" s="1"/>
  <c r="AK567" i="3"/>
  <c r="AL567" i="3"/>
  <c r="AJ567" i="3"/>
  <c r="AI575" i="3"/>
  <c r="AM575" i="3" s="1"/>
  <c r="AQ575" i="3" s="1"/>
  <c r="AL575" i="3"/>
  <c r="AK575" i="3"/>
  <c r="AJ575" i="3"/>
  <c r="AI473" i="3"/>
  <c r="AM473" i="3" s="1"/>
  <c r="AQ473" i="3" s="1"/>
  <c r="AL473" i="3"/>
  <c r="AK473" i="3"/>
  <c r="AJ473" i="3"/>
  <c r="AL481" i="3"/>
  <c r="AK481" i="3"/>
  <c r="AJ481" i="3"/>
  <c r="AI481" i="3"/>
  <c r="AM481" i="3" s="1"/>
  <c r="AQ481" i="3" s="1"/>
  <c r="AI489" i="3"/>
  <c r="AM489" i="3" s="1"/>
  <c r="AQ489" i="3" s="1"/>
  <c r="AJ489" i="3"/>
  <c r="AL489" i="3"/>
  <c r="AK489" i="3"/>
  <c r="AL497" i="3"/>
  <c r="AI497" i="3"/>
  <c r="AM497" i="3" s="1"/>
  <c r="AQ497" i="3" s="1"/>
  <c r="AJ497" i="3"/>
  <c r="AK497" i="3"/>
  <c r="AI505" i="3"/>
  <c r="AM505" i="3" s="1"/>
  <c r="AQ505" i="3" s="1"/>
  <c r="AJ505" i="3"/>
  <c r="AK505" i="3"/>
  <c r="AL505" i="3"/>
  <c r="AL513" i="3"/>
  <c r="AK513" i="3"/>
  <c r="AI513" i="3"/>
  <c r="AM513" i="3" s="1"/>
  <c r="AQ513" i="3" s="1"/>
  <c r="AJ513" i="3"/>
  <c r="AI521" i="3"/>
  <c r="AM521" i="3" s="1"/>
  <c r="AQ521" i="3" s="1"/>
  <c r="AJ521" i="3"/>
  <c r="AK521" i="3"/>
  <c r="AL521" i="3"/>
  <c r="AI529" i="3"/>
  <c r="AM529" i="3" s="1"/>
  <c r="AQ529" i="3" s="1"/>
  <c r="AJ529" i="3"/>
  <c r="AK529" i="3"/>
  <c r="AL529" i="3"/>
  <c r="AI537" i="3"/>
  <c r="AM537" i="3" s="1"/>
  <c r="AQ537" i="3" s="1"/>
  <c r="AJ537" i="3"/>
  <c r="AK537" i="3"/>
  <c r="AL537" i="3"/>
  <c r="AL545" i="3"/>
  <c r="AK545" i="3"/>
  <c r="AI545" i="3"/>
  <c r="AM545" i="3" s="1"/>
  <c r="AQ545" i="3" s="1"/>
  <c r="AJ545" i="3"/>
  <c r="AI553" i="3"/>
  <c r="AM553" i="3" s="1"/>
  <c r="AQ553" i="3" s="1"/>
  <c r="AL553" i="3"/>
  <c r="AJ553" i="3"/>
  <c r="AK553" i="3"/>
  <c r="AL561" i="3"/>
  <c r="AJ561" i="3"/>
  <c r="AK561" i="3"/>
  <c r="AI561" i="3"/>
  <c r="AM561" i="3" s="1"/>
  <c r="AQ561" i="3" s="1"/>
  <c r="AI569" i="3"/>
  <c r="AM569" i="3" s="1"/>
  <c r="AQ569" i="3" s="1"/>
  <c r="AK569" i="3"/>
  <c r="AJ569" i="3"/>
  <c r="AL569" i="3"/>
  <c r="AI577" i="3"/>
  <c r="AM577" i="3" s="1"/>
  <c r="AQ577" i="3" s="1"/>
  <c r="AK577" i="3"/>
  <c r="AJ577" i="3"/>
  <c r="AL577" i="3"/>
  <c r="AL585" i="3"/>
  <c r="AJ585" i="3"/>
  <c r="AI585" i="3"/>
  <c r="AM585" i="3" s="1"/>
  <c r="AQ585" i="3" s="1"/>
  <c r="AK585" i="3"/>
  <c r="AL593" i="3"/>
  <c r="AJ593" i="3"/>
  <c r="AI593" i="3"/>
  <c r="AM593" i="3" s="1"/>
  <c r="AQ593" i="3" s="1"/>
  <c r="AK593" i="3"/>
  <c r="AB466" i="3"/>
  <c r="AE565" i="3"/>
  <c r="AB574" i="3"/>
  <c r="AB594" i="3"/>
  <c r="AB441" i="3"/>
  <c r="AB589" i="3"/>
  <c r="AB377" i="3"/>
  <c r="AB577" i="3"/>
  <c r="AB448" i="3"/>
  <c r="AB457" i="3"/>
  <c r="AB392" i="3"/>
  <c r="AB501" i="3"/>
  <c r="AB586" i="3"/>
  <c r="AB595" i="3"/>
  <c r="AB407" i="3"/>
  <c r="AB590" i="3"/>
  <c r="AB431" i="3"/>
  <c r="AB362" i="3"/>
  <c r="AB415" i="3"/>
  <c r="AB562" i="3"/>
  <c r="AB565" i="3"/>
  <c r="AB588" i="3"/>
  <c r="AB364" i="3"/>
  <c r="AB464" i="3"/>
  <c r="AB456" i="3"/>
  <c r="AB440" i="3"/>
  <c r="AB424" i="3"/>
  <c r="AB408" i="3"/>
  <c r="AB376" i="3"/>
  <c r="AB475" i="3"/>
  <c r="AB474" i="3"/>
  <c r="AB504" i="3"/>
  <c r="AB511" i="3"/>
  <c r="AB514" i="3"/>
  <c r="AB513" i="3"/>
  <c r="AB521" i="3"/>
  <c r="AB578" i="3"/>
  <c r="AB490" i="3"/>
  <c r="AB489" i="3"/>
  <c r="AB425" i="3"/>
  <c r="AB432" i="3"/>
  <c r="AB416" i="3"/>
  <c r="AB400" i="3"/>
  <c r="AB384" i="3"/>
  <c r="AB368" i="3"/>
  <c r="AB480" i="3"/>
  <c r="AB479" i="3"/>
  <c r="AB483" i="3"/>
  <c r="AB487" i="3"/>
  <c r="AB485" i="3"/>
  <c r="AB363" i="3"/>
  <c r="AB355" i="3"/>
  <c r="AB347" i="3"/>
  <c r="AB463" i="3"/>
  <c r="AB455" i="3"/>
  <c r="AB447" i="3"/>
  <c r="AB439" i="3"/>
  <c r="AB423" i="3"/>
  <c r="AB399" i="3"/>
  <c r="AB391" i="3"/>
  <c r="AB383" i="3"/>
  <c r="AB375" i="3"/>
  <c r="AB365" i="3"/>
  <c r="AB367" i="3"/>
  <c r="AB472" i="3"/>
  <c r="AB471" i="3"/>
  <c r="AB469" i="3"/>
  <c r="AB470" i="3"/>
  <c r="AB528" i="3"/>
  <c r="AB537" i="3"/>
  <c r="AB569" i="3"/>
  <c r="AB374" i="3"/>
  <c r="AB512" i="3"/>
  <c r="AB357" i="3"/>
  <c r="AB361" i="3"/>
  <c r="AB373" i="3"/>
  <c r="AB382" i="3"/>
  <c r="AB493" i="3"/>
  <c r="AB356" i="3"/>
  <c r="AB348" i="3"/>
  <c r="AB446" i="3"/>
  <c r="AB406" i="3"/>
  <c r="AB534" i="3"/>
  <c r="AB533" i="3"/>
  <c r="AB536" i="3"/>
  <c r="AB563" i="3"/>
  <c r="AB502" i="3"/>
  <c r="AB458" i="3"/>
  <c r="AB530" i="3"/>
  <c r="AB352" i="3"/>
  <c r="AB473" i="3"/>
  <c r="AB482" i="3"/>
  <c r="AB499" i="3"/>
  <c r="AB498" i="3"/>
  <c r="AB495" i="3"/>
  <c r="AB526" i="3"/>
  <c r="AB525" i="3"/>
  <c r="AB583" i="3"/>
  <c r="AB582" i="3"/>
  <c r="AB397" i="3"/>
  <c r="AB538" i="3"/>
  <c r="AB461" i="3"/>
  <c r="AB429" i="3"/>
  <c r="AB505" i="3"/>
  <c r="AB359" i="3"/>
  <c r="AB343" i="3"/>
  <c r="AB467" i="3"/>
  <c r="AB459" i="3"/>
  <c r="AB451" i="3"/>
  <c r="AB449" i="3"/>
  <c r="AB443" i="3"/>
  <c r="AB442" i="3"/>
  <c r="AB435" i="3"/>
  <c r="AB434" i="3"/>
  <c r="AB427" i="3"/>
  <c r="AB426" i="3"/>
  <c r="AB419" i="3"/>
  <c r="AB417" i="3"/>
  <c r="AB411" i="3"/>
  <c r="AB410" i="3"/>
  <c r="AB409" i="3"/>
  <c r="AB403" i="3"/>
  <c r="AB402" i="3"/>
  <c r="AB395" i="3"/>
  <c r="AB394" i="3"/>
  <c r="AB393" i="3"/>
  <c r="AB387" i="3"/>
  <c r="AB379" i="3"/>
  <c r="AB378" i="3"/>
  <c r="AB371" i="3"/>
  <c r="AB370" i="3"/>
  <c r="AB503" i="3"/>
  <c r="AB510" i="3"/>
  <c r="AB523" i="3"/>
  <c r="AB522" i="3"/>
  <c r="AB544" i="3"/>
  <c r="AB557" i="3"/>
  <c r="AB571" i="3"/>
  <c r="AB576" i="3"/>
  <c r="AB478" i="3"/>
  <c r="AB552" i="3"/>
  <c r="AB438" i="3"/>
  <c r="AB414" i="3"/>
  <c r="AB488" i="3"/>
  <c r="AB518" i="3"/>
  <c r="AB509" i="3"/>
  <c r="AB350" i="3"/>
  <c r="AB351" i="3"/>
  <c r="AB358" i="3"/>
  <c r="AB549" i="3"/>
  <c r="AB345" i="3"/>
  <c r="AB481" i="3"/>
  <c r="AB561" i="3"/>
  <c r="AB450" i="3"/>
  <c r="AB418" i="3"/>
  <c r="AB386" i="3"/>
  <c r="AB477" i="3"/>
  <c r="AB508" i="3"/>
  <c r="AB506" i="3"/>
  <c r="AB517" i="3"/>
  <c r="AB520" i="3"/>
  <c r="AB547" i="3"/>
  <c r="AB559" i="3"/>
  <c r="AB575" i="3"/>
  <c r="AB580" i="3"/>
  <c r="AB360" i="3"/>
  <c r="AB553" i="3"/>
  <c r="AB349" i="3"/>
  <c r="AB465" i="3"/>
  <c r="AB433" i="3"/>
  <c r="AB401" i="3"/>
  <c r="AB369" i="3"/>
  <c r="AB486" i="3"/>
  <c r="AB496" i="3"/>
  <c r="AB543" i="3"/>
  <c r="AB551" i="3"/>
  <c r="AB554" i="3"/>
  <c r="AB568" i="3"/>
  <c r="AB593" i="3"/>
  <c r="AB592" i="3"/>
  <c r="AB541" i="3"/>
  <c r="AB454" i="3"/>
  <c r="AB422" i="3"/>
  <c r="AB398" i="3"/>
  <c r="AB497" i="3"/>
  <c r="AB531" i="3"/>
  <c r="AB542" i="3"/>
  <c r="AB437" i="3"/>
  <c r="AB453" i="3"/>
  <c r="AB573" i="3"/>
  <c r="AB354" i="3"/>
  <c r="AB462" i="3"/>
  <c r="AB366" i="3"/>
  <c r="AB515" i="3"/>
  <c r="AB564" i="3"/>
  <c r="AB579" i="3"/>
  <c r="AB445" i="3"/>
  <c r="AB413" i="3"/>
  <c r="AB381" i="3"/>
  <c r="AB484" i="3"/>
  <c r="AB491" i="3"/>
  <c r="AB494" i="3"/>
  <c r="AB507" i="3"/>
  <c r="AB558" i="3"/>
  <c r="AB560" i="3"/>
  <c r="AE567" i="3"/>
  <c r="AB570" i="3"/>
  <c r="AB581" i="3"/>
  <c r="AB585" i="3"/>
  <c r="AB584" i="3"/>
  <c r="AE595" i="3"/>
  <c r="AB385" i="3"/>
  <c r="AB405" i="3"/>
  <c r="AB421" i="3"/>
  <c r="AB566" i="3"/>
  <c r="AB545" i="3"/>
  <c r="AB346" i="3"/>
  <c r="AB430" i="3"/>
  <c r="AB390" i="3"/>
  <c r="AB500" i="3"/>
  <c r="AB555" i="3"/>
  <c r="AB591" i="3"/>
  <c r="AB344" i="3"/>
  <c r="AB468" i="3"/>
  <c r="AB460" i="3"/>
  <c r="AB452" i="3"/>
  <c r="AB444" i="3"/>
  <c r="AB436" i="3"/>
  <c r="AB428" i="3"/>
  <c r="AB420" i="3"/>
  <c r="AB412" i="3"/>
  <c r="AB404" i="3"/>
  <c r="AB396" i="3"/>
  <c r="AB388" i="3"/>
  <c r="AB380" i="3"/>
  <c r="AB372" i="3"/>
  <c r="AB529" i="3"/>
  <c r="AB532" i="3"/>
  <c r="AB540" i="3"/>
  <c r="AB546" i="3"/>
  <c r="AB556" i="3"/>
  <c r="AB353" i="3"/>
  <c r="AB389" i="3"/>
  <c r="AB550" i="3"/>
  <c r="AB492" i="3"/>
  <c r="AB516" i="3"/>
  <c r="AB519" i="3"/>
  <c r="AB539" i="3"/>
  <c r="AB548" i="3"/>
  <c r="AB572" i="3"/>
  <c r="AE587" i="3"/>
  <c r="AB587" i="3"/>
  <c r="AB476" i="3"/>
  <c r="AB524" i="3"/>
  <c r="AB527" i="3"/>
  <c r="AB535" i="3"/>
  <c r="AB567" i="3"/>
  <c r="AE583" i="3"/>
  <c r="AE491" i="3"/>
  <c r="AE527" i="3"/>
  <c r="AE486" i="3"/>
  <c r="AE503" i="3"/>
  <c r="AE523" i="3"/>
  <c r="AE533" i="3"/>
  <c r="AE509" i="3"/>
  <c r="AE526" i="3"/>
  <c r="AE593" i="3"/>
  <c r="AE494" i="3"/>
  <c r="AE507" i="3"/>
  <c r="AE471" i="3"/>
  <c r="AE519" i="3"/>
  <c r="AE550" i="3"/>
  <c r="AE555" i="3"/>
  <c r="AE571" i="3"/>
  <c r="AE575" i="3"/>
  <c r="AE480" i="3"/>
  <c r="AE538" i="3"/>
  <c r="AE546" i="3"/>
  <c r="AE586" i="3"/>
  <c r="AE496" i="3"/>
  <c r="AE536" i="3"/>
  <c r="AE544" i="3"/>
  <c r="AE574" i="3"/>
  <c r="AE481" i="3"/>
  <c r="AE505" i="3"/>
  <c r="AE513" i="3"/>
  <c r="AE578" i="3"/>
  <c r="AE590" i="3"/>
  <c r="AE530" i="3"/>
  <c r="AE497" i="3"/>
  <c r="AE502" i="3"/>
  <c r="AE553" i="3"/>
  <c r="AE479" i="3"/>
  <c r="AE515" i="3"/>
  <c r="AE482" i="3"/>
  <c r="AE495" i="3"/>
  <c r="AE506" i="3"/>
  <c r="AE514" i="3"/>
  <c r="AE529" i="3"/>
  <c r="E596" i="3"/>
  <c r="AE596" i="3" s="1"/>
  <c r="AE470" i="3"/>
  <c r="AE475" i="3"/>
  <c r="AE498" i="3"/>
  <c r="AE531" i="3"/>
  <c r="AE539" i="3"/>
  <c r="AE547" i="3"/>
  <c r="AE563" i="3"/>
  <c r="AE566" i="3"/>
  <c r="AE570" i="3"/>
  <c r="AE588" i="3"/>
  <c r="AE504" i="3"/>
  <c r="AE581" i="3"/>
  <c r="AE484" i="3"/>
  <c r="AE501" i="3"/>
  <c r="AE508" i="3"/>
  <c r="AE532" i="3"/>
  <c r="AE535" i="3"/>
  <c r="AE540" i="3"/>
  <c r="AE543" i="3"/>
  <c r="AE548" i="3"/>
  <c r="AE549" i="3"/>
  <c r="AE572" i="3"/>
  <c r="AE476" i="3"/>
  <c r="AE488" i="3"/>
  <c r="AE558" i="3"/>
  <c r="AE487" i="3"/>
  <c r="AE520" i="3"/>
  <c r="AE522" i="3"/>
  <c r="AE537" i="3"/>
  <c r="AE545" i="3"/>
  <c r="AE492" i="3"/>
  <c r="AE517" i="3"/>
  <c r="AE524" i="3"/>
  <c r="AE573" i="3"/>
  <c r="AE512" i="3"/>
  <c r="AE551" i="3"/>
  <c r="AE582" i="3"/>
  <c r="AE528" i="3"/>
  <c r="AE580" i="3"/>
  <c r="AE594" i="3"/>
  <c r="AE562" i="3"/>
  <c r="AE556" i="3"/>
  <c r="AE560" i="3"/>
  <c r="AE564" i="3"/>
  <c r="AE568" i="3"/>
  <c r="AE576" i="3"/>
  <c r="AE584" i="3"/>
  <c r="AE592" i="3"/>
  <c r="T9" i="12" l="1"/>
  <c r="U9" i="12" s="1"/>
  <c r="W9" i="12" s="1"/>
  <c r="X9" i="12" s="1"/>
  <c r="D306" i="3"/>
  <c r="E10" i="12"/>
  <c r="F10" i="12"/>
  <c r="C10" i="12"/>
  <c r="Q10" i="12" s="1"/>
  <c r="B10" i="12"/>
  <c r="D10" i="12"/>
  <c r="V9" i="12"/>
  <c r="D16" i="6"/>
  <c r="D31" i="6"/>
  <c r="D72" i="6"/>
  <c r="D64" i="6"/>
  <c r="D56" i="6"/>
  <c r="D13" i="6"/>
  <c r="D24" i="6"/>
  <c r="D42" i="6"/>
  <c r="D35" i="6"/>
  <c r="D50" i="6"/>
  <c r="D34" i="6"/>
  <c r="D61" i="6"/>
  <c r="D43" i="6"/>
  <c r="D41" i="6"/>
  <c r="D74" i="6"/>
  <c r="D49" i="6"/>
  <c r="D11" i="6"/>
  <c r="D57" i="6"/>
  <c r="D60" i="6"/>
  <c r="D37" i="6"/>
  <c r="D47" i="6"/>
  <c r="D20" i="6"/>
  <c r="D65" i="6"/>
  <c r="D27" i="6"/>
  <c r="D58" i="6"/>
  <c r="D28" i="6"/>
  <c r="D52" i="6"/>
  <c r="D17" i="6"/>
  <c r="D62" i="6"/>
  <c r="D40" i="6"/>
  <c r="D38" i="6"/>
  <c r="D59" i="6"/>
  <c r="D22" i="6"/>
  <c r="D48" i="6"/>
  <c r="D18" i="6"/>
  <c r="D55" i="6"/>
  <c r="D53" i="6"/>
  <c r="D14" i="6"/>
  <c r="D12" i="6"/>
  <c r="D25" i="6"/>
  <c r="D68" i="6"/>
  <c r="D15" i="6"/>
  <c r="D71" i="6"/>
  <c r="D21" i="6"/>
  <c r="D39" i="6"/>
  <c r="D54" i="6"/>
  <c r="D46" i="6"/>
  <c r="D67" i="6"/>
  <c r="D23" i="6"/>
  <c r="D33" i="6"/>
  <c r="D19" i="6"/>
  <c r="D63" i="6"/>
  <c r="D70" i="6"/>
  <c r="D51" i="6"/>
  <c r="D32" i="6"/>
  <c r="D30" i="6"/>
  <c r="D73" i="6"/>
  <c r="D45" i="6"/>
  <c r="D29" i="6"/>
  <c r="D26" i="6"/>
  <c r="D36" i="6"/>
  <c r="D69" i="6"/>
  <c r="D44" i="6"/>
  <c r="D66" i="6"/>
  <c r="G10" i="6"/>
  <c r="H10" i="6"/>
  <c r="B10" i="6"/>
  <c r="L10" i="6"/>
  <c r="T10" i="6"/>
  <c r="E10" i="6"/>
  <c r="M10" i="6"/>
  <c r="U10" i="6"/>
  <c r="V10" i="6"/>
  <c r="C10" i="6"/>
  <c r="K10" i="6"/>
  <c r="F10" i="6"/>
  <c r="I10" i="6"/>
  <c r="P9" i="7"/>
  <c r="O10" i="7" s="1"/>
  <c r="Q10" i="7" s="1"/>
  <c r="AA582" i="3"/>
  <c r="U582" i="3"/>
  <c r="AA566" i="3"/>
  <c r="U566" i="3"/>
  <c r="Z534" i="3"/>
  <c r="U534" i="3"/>
  <c r="AA470" i="3"/>
  <c r="U470" i="3"/>
  <c r="AA591" i="3"/>
  <c r="U591" i="3"/>
  <c r="Z581" i="3"/>
  <c r="U581" i="3"/>
  <c r="AA517" i="3"/>
  <c r="U517" i="3"/>
  <c r="Z485" i="3"/>
  <c r="U485" i="3"/>
  <c r="Z584" i="3"/>
  <c r="U584" i="3"/>
  <c r="AA487" i="3"/>
  <c r="U487" i="3"/>
  <c r="AA580" i="3"/>
  <c r="U580" i="3"/>
  <c r="Z564" i="3"/>
  <c r="U564" i="3"/>
  <c r="Z532" i="3"/>
  <c r="U532" i="3"/>
  <c r="Z500" i="3"/>
  <c r="U500" i="3"/>
  <c r="Z561" i="3"/>
  <c r="U561" i="3"/>
  <c r="Z513" i="3"/>
  <c r="U513" i="3"/>
  <c r="Z496" i="3"/>
  <c r="U496" i="3"/>
  <c r="Z587" i="3"/>
  <c r="U587" i="3"/>
  <c r="Z555" i="3"/>
  <c r="U555" i="3"/>
  <c r="AA539" i="3"/>
  <c r="U539" i="3"/>
  <c r="Z523" i="3"/>
  <c r="U523" i="3"/>
  <c r="AA491" i="3"/>
  <c r="U491" i="3"/>
  <c r="Z475" i="3"/>
  <c r="U475" i="3"/>
  <c r="AA575" i="3"/>
  <c r="U575" i="3"/>
  <c r="Z543" i="3"/>
  <c r="U543" i="3"/>
  <c r="AA495" i="3"/>
  <c r="U495" i="3"/>
  <c r="Z570" i="3"/>
  <c r="U570" i="3"/>
  <c r="AA554" i="3"/>
  <c r="U554" i="3"/>
  <c r="AA538" i="3"/>
  <c r="U538" i="3"/>
  <c r="Z522" i="3"/>
  <c r="U522" i="3"/>
  <c r="Z506" i="3"/>
  <c r="U506" i="3"/>
  <c r="AA585" i="3"/>
  <c r="U585" i="3"/>
  <c r="Z511" i="3"/>
  <c r="U511" i="3"/>
  <c r="Z558" i="3"/>
  <c r="U558" i="3"/>
  <c r="AA504" i="3"/>
  <c r="U504" i="3"/>
  <c r="Z583" i="3"/>
  <c r="U583" i="3"/>
  <c r="Z573" i="3"/>
  <c r="U573" i="3"/>
  <c r="Z541" i="3"/>
  <c r="U541" i="3"/>
  <c r="Z509" i="3"/>
  <c r="U509" i="3"/>
  <c r="Z572" i="3"/>
  <c r="U572" i="3"/>
  <c r="AA556" i="3"/>
  <c r="U556" i="3"/>
  <c r="AA524" i="3"/>
  <c r="U524" i="3"/>
  <c r="AA492" i="3"/>
  <c r="U492" i="3"/>
  <c r="AA529" i="3"/>
  <c r="U529" i="3"/>
  <c r="Z579" i="3"/>
  <c r="U579" i="3"/>
  <c r="AA515" i="3"/>
  <c r="U515" i="3"/>
  <c r="AA483" i="3"/>
  <c r="U483" i="3"/>
  <c r="Z521" i="3"/>
  <c r="U521" i="3"/>
  <c r="Z503" i="3"/>
  <c r="U503" i="3"/>
  <c r="Z519" i="3"/>
  <c r="U519" i="3"/>
  <c r="Z518" i="3"/>
  <c r="U518" i="3"/>
  <c r="Z502" i="3"/>
  <c r="U502" i="3"/>
  <c r="AA486" i="3"/>
  <c r="U486" i="3"/>
  <c r="Z520" i="3"/>
  <c r="U520" i="3"/>
  <c r="AA549" i="3"/>
  <c r="U549" i="3"/>
  <c r="AA501" i="3"/>
  <c r="U501" i="3"/>
  <c r="Z528" i="3"/>
  <c r="U528" i="3"/>
  <c r="AA596" i="3"/>
  <c r="U596" i="3"/>
  <c r="Z516" i="3"/>
  <c r="U516" i="3"/>
  <c r="Z484" i="3"/>
  <c r="U484" i="3"/>
  <c r="AA473" i="3"/>
  <c r="U473" i="3"/>
  <c r="AA571" i="3"/>
  <c r="U571" i="3"/>
  <c r="AA507" i="3"/>
  <c r="U507" i="3"/>
  <c r="Z552" i="3"/>
  <c r="U552" i="3"/>
  <c r="Z590" i="3"/>
  <c r="U590" i="3"/>
  <c r="Z574" i="3"/>
  <c r="U574" i="3"/>
  <c r="Z542" i="3"/>
  <c r="U542" i="3"/>
  <c r="AA526" i="3"/>
  <c r="U526" i="3"/>
  <c r="Z494" i="3"/>
  <c r="U494" i="3"/>
  <c r="AA576" i="3"/>
  <c r="U576" i="3"/>
  <c r="Z472" i="3"/>
  <c r="U472" i="3"/>
  <c r="Z589" i="3"/>
  <c r="U589" i="3"/>
  <c r="AA525" i="3"/>
  <c r="U525" i="3"/>
  <c r="Z568" i="3"/>
  <c r="U568" i="3"/>
  <c r="Z527" i="3"/>
  <c r="U527" i="3"/>
  <c r="Z479" i="3"/>
  <c r="U479" i="3"/>
  <c r="AA508" i="3"/>
  <c r="U508" i="3"/>
  <c r="AA489" i="3"/>
  <c r="U489" i="3"/>
  <c r="Z595" i="3"/>
  <c r="U595" i="3"/>
  <c r="Z563" i="3"/>
  <c r="U563" i="3"/>
  <c r="Z499" i="3"/>
  <c r="U499" i="3"/>
  <c r="Z560" i="3"/>
  <c r="U560" i="3"/>
  <c r="Z551" i="3"/>
  <c r="U551" i="3"/>
  <c r="AA594" i="3"/>
  <c r="U594" i="3"/>
  <c r="AA562" i="3"/>
  <c r="U562" i="3"/>
  <c r="AA546" i="3"/>
  <c r="U546" i="3"/>
  <c r="AA498" i="3"/>
  <c r="U498" i="3"/>
  <c r="AA553" i="3"/>
  <c r="U553" i="3"/>
  <c r="Z544" i="3"/>
  <c r="U544" i="3"/>
  <c r="AA471" i="3"/>
  <c r="U471" i="3"/>
  <c r="AB341" i="3"/>
  <c r="AB339" i="3"/>
  <c r="AB338" i="3"/>
  <c r="AB336" i="3"/>
  <c r="AB332" i="3"/>
  <c r="AB327" i="3"/>
  <c r="AB340" i="3"/>
  <c r="AB322" i="3"/>
  <c r="AB323" i="3"/>
  <c r="AB320" i="3"/>
  <c r="AB324" i="3"/>
  <c r="AB321" i="3"/>
  <c r="AB329" i="3"/>
  <c r="AB335" i="3"/>
  <c r="AB334" i="3"/>
  <c r="AB337" i="3"/>
  <c r="AB331" i="3"/>
  <c r="AB333" i="3"/>
  <c r="AB326" i="3"/>
  <c r="AB330" i="3"/>
  <c r="AB328" i="3"/>
  <c r="AB325" i="3"/>
  <c r="Z482" i="3"/>
  <c r="AA519" i="3"/>
  <c r="AA592" i="3"/>
  <c r="AA544" i="3"/>
  <c r="AA503" i="3"/>
  <c r="Z529" i="3"/>
  <c r="AA558" i="3"/>
  <c r="Z480" i="3"/>
  <c r="AA478" i="3"/>
  <c r="Z578" i="3"/>
  <c r="AA557" i="3"/>
  <c r="AA540" i="3"/>
  <c r="AA493" i="3"/>
  <c r="Z476" i="3"/>
  <c r="Z562" i="3"/>
  <c r="AA547" i="3"/>
  <c r="Z557" i="3"/>
  <c r="Z493" i="3"/>
  <c r="AA482" i="3"/>
  <c r="Z592" i="3"/>
  <c r="AA480" i="3"/>
  <c r="Z478" i="3"/>
  <c r="Z540" i="3"/>
  <c r="AA476" i="3"/>
  <c r="Z547" i="3"/>
  <c r="AA578" i="3"/>
  <c r="AA541" i="3"/>
  <c r="AA477" i="3"/>
  <c r="Z530" i="3"/>
  <c r="AA593" i="3"/>
  <c r="AA521" i="3"/>
  <c r="AA568" i="3"/>
  <c r="AA551" i="3"/>
  <c r="AA588" i="3"/>
  <c r="Z524" i="3"/>
  <c r="AA595" i="3"/>
  <c r="AA531" i="3"/>
  <c r="Z546" i="3"/>
  <c r="AA512" i="3"/>
  <c r="Z471" i="3"/>
  <c r="AA479" i="3"/>
  <c r="Z510" i="3"/>
  <c r="Z477" i="3"/>
  <c r="AA530" i="3"/>
  <c r="Z593" i="3"/>
  <c r="Z588" i="3"/>
  <c r="Z531" i="3"/>
  <c r="Z512" i="3"/>
  <c r="AA510" i="3"/>
  <c r="AA589" i="3"/>
  <c r="Z525" i="3"/>
  <c r="AA499" i="3"/>
  <c r="Z514" i="3"/>
  <c r="AA577" i="3"/>
  <c r="AA497" i="3"/>
  <c r="AA536" i="3"/>
  <c r="AA527" i="3"/>
  <c r="AA572" i="3"/>
  <c r="Z508" i="3"/>
  <c r="AA579" i="3"/>
  <c r="Z515" i="3"/>
  <c r="Z576" i="3"/>
  <c r="AA472" i="3"/>
  <c r="AA574" i="3"/>
  <c r="AA542" i="3"/>
  <c r="AA514" i="3"/>
  <c r="Z577" i="3"/>
  <c r="Z497" i="3"/>
  <c r="Z536" i="3"/>
  <c r="AA573" i="3"/>
  <c r="AA509" i="3"/>
  <c r="Z594" i="3"/>
  <c r="Z498" i="3"/>
  <c r="Z553" i="3"/>
  <c r="Z489" i="3"/>
  <c r="Z504" i="3"/>
  <c r="AA590" i="3"/>
  <c r="Z556" i="3"/>
  <c r="Z492" i="3"/>
  <c r="AA563" i="3"/>
  <c r="Z483" i="3"/>
  <c r="AA560" i="3"/>
  <c r="AA583" i="3"/>
  <c r="AA494" i="3"/>
  <c r="Z526" i="3"/>
  <c r="Z490" i="3"/>
  <c r="Z539" i="3"/>
  <c r="AA545" i="3"/>
  <c r="Z533" i="3"/>
  <c r="AA485" i="3"/>
  <c r="AA520" i="3"/>
  <c r="AA513" i="3"/>
  <c r="AA584" i="3"/>
  <c r="AA567" i="3"/>
  <c r="AA518" i="3"/>
  <c r="AA565" i="3"/>
  <c r="AA505" i="3"/>
  <c r="AA484" i="3"/>
  <c r="Z491" i="3"/>
  <c r="AA522" i="3"/>
  <c r="AA537" i="3"/>
  <c r="AA552" i="3"/>
  <c r="AA564" i="3"/>
  <c r="Z474" i="3"/>
  <c r="Z549" i="3"/>
  <c r="Z501" i="3"/>
  <c r="AA475" i="3"/>
  <c r="AA543" i="3"/>
  <c r="AA523" i="3"/>
  <c r="AA534" i="3"/>
  <c r="AA516" i="3"/>
  <c r="Z486" i="3"/>
  <c r="Z585" i="3"/>
  <c r="AA502" i="3"/>
  <c r="Z495" i="3"/>
  <c r="AA581" i="3"/>
  <c r="AA506" i="3"/>
  <c r="AA528" i="3"/>
  <c r="AA535" i="3"/>
  <c r="Z596" i="3"/>
  <c r="Z548" i="3"/>
  <c r="AA500" i="3"/>
  <c r="AA587" i="3"/>
  <c r="Z517" i="3"/>
  <c r="AA570" i="3"/>
  <c r="AA481" i="3"/>
  <c r="Z591" i="3"/>
  <c r="Z580" i="3"/>
  <c r="Z554" i="3"/>
  <c r="AA511" i="3"/>
  <c r="Z571" i="3"/>
  <c r="AA569" i="3"/>
  <c r="Z473" i="3"/>
  <c r="Z575" i="3"/>
  <c r="AA550" i="3"/>
  <c r="AA532" i="3"/>
  <c r="Z545" i="3"/>
  <c r="Z481" i="3"/>
  <c r="Z535" i="3"/>
  <c r="Z550" i="3"/>
  <c r="AA490" i="3"/>
  <c r="Z565" i="3"/>
  <c r="AA533" i="3"/>
  <c r="Z569" i="3"/>
  <c r="Z537" i="3"/>
  <c r="Z505" i="3"/>
  <c r="AA548" i="3"/>
  <c r="AA474" i="3"/>
  <c r="Z567" i="3"/>
  <c r="AA555" i="3"/>
  <c r="AA561" i="3"/>
  <c r="AA488" i="3"/>
  <c r="AA559" i="3"/>
  <c r="Z487" i="3"/>
  <c r="Z507" i="3"/>
  <c r="Z586" i="3"/>
  <c r="Z538" i="3"/>
  <c r="AA496" i="3"/>
  <c r="Z566" i="3"/>
  <c r="Z470" i="3"/>
  <c r="Z582" i="3"/>
  <c r="Z488" i="3"/>
  <c r="Z559" i="3"/>
  <c r="AA586" i="3"/>
  <c r="D307" i="3" l="1"/>
  <c r="T10" i="12"/>
  <c r="U10" i="12" s="1"/>
  <c r="A11" i="12"/>
  <c r="D10" i="6"/>
  <c r="P10" i="7"/>
  <c r="O11" i="7" s="1"/>
  <c r="Q11" i="7" s="1"/>
  <c r="AC317" i="3"/>
  <c r="AC246" i="3"/>
  <c r="AC168" i="3"/>
  <c r="AC122" i="3"/>
  <c r="AC104" i="3"/>
  <c r="AC48" i="3"/>
  <c r="AC36" i="3"/>
  <c r="AC121" i="3"/>
  <c r="AC103" i="3"/>
  <c r="AC47" i="3"/>
  <c r="AC33" i="3"/>
  <c r="AC319" i="3"/>
  <c r="AC249" i="3"/>
  <c r="AC167" i="3"/>
  <c r="AC120" i="3"/>
  <c r="AC102" i="3"/>
  <c r="AC46" i="3"/>
  <c r="AC30" i="3"/>
  <c r="AC23" i="3"/>
  <c r="AC248" i="3"/>
  <c r="AC166" i="3"/>
  <c r="AC119" i="3"/>
  <c r="AC101" i="3"/>
  <c r="AC35" i="3"/>
  <c r="AC22" i="3"/>
  <c r="AC26" i="3"/>
  <c r="AC19" i="3"/>
  <c r="AC25" i="3"/>
  <c r="AC18" i="3"/>
  <c r="AC24" i="3"/>
  <c r="AC17" i="3"/>
  <c r="AC316" i="3"/>
  <c r="AC245" i="3"/>
  <c r="AC165" i="3"/>
  <c r="AC118" i="3"/>
  <c r="AC100" i="3"/>
  <c r="AC12" i="3"/>
  <c r="AC8" i="3"/>
  <c r="AC16" i="3"/>
  <c r="AC318" i="3"/>
  <c r="AC247" i="3"/>
  <c r="AC164" i="3"/>
  <c r="AC117" i="3"/>
  <c r="AC99" i="3"/>
  <c r="AC15" i="3"/>
  <c r="AC5" i="3"/>
  <c r="AC14" i="3"/>
  <c r="AC4" i="3"/>
  <c r="AC13" i="3"/>
  <c r="AC3" i="3"/>
  <c r="AC315" i="3"/>
  <c r="AC244" i="3"/>
  <c r="AC163" i="3"/>
  <c r="AC116" i="3"/>
  <c r="AC98" i="3"/>
  <c r="AC11" i="3"/>
  <c r="L3" i="3"/>
  <c r="AG3" i="3" s="1"/>
  <c r="L4" i="3"/>
  <c r="AG4" i="3" s="1"/>
  <c r="L5" i="3"/>
  <c r="AG5" i="3" s="1"/>
  <c r="L6" i="3"/>
  <c r="AG6" i="3" s="1"/>
  <c r="L7" i="3"/>
  <c r="AG7" i="3" s="1"/>
  <c r="L8" i="3"/>
  <c r="AG8" i="3" s="1"/>
  <c r="L9" i="3"/>
  <c r="AG9" i="3" s="1"/>
  <c r="L10" i="3"/>
  <c r="AG10" i="3" s="1"/>
  <c r="L11" i="3"/>
  <c r="AG11" i="3" s="1"/>
  <c r="L12" i="3"/>
  <c r="AG12" i="3" s="1"/>
  <c r="L13" i="3"/>
  <c r="AG13" i="3" s="1"/>
  <c r="L14" i="3"/>
  <c r="AG14" i="3" s="1"/>
  <c r="L15" i="3"/>
  <c r="AG15" i="3" s="1"/>
  <c r="L16" i="3"/>
  <c r="AG16" i="3" s="1"/>
  <c r="L17" i="3"/>
  <c r="AG17" i="3" s="1"/>
  <c r="L18" i="3"/>
  <c r="AG18" i="3" s="1"/>
  <c r="L19" i="3"/>
  <c r="AG19" i="3" s="1"/>
  <c r="L20" i="3"/>
  <c r="AG20" i="3" s="1"/>
  <c r="L21" i="3"/>
  <c r="AG21" i="3" s="1"/>
  <c r="L22" i="3"/>
  <c r="AG22" i="3" s="1"/>
  <c r="L23" i="3"/>
  <c r="AG23" i="3" s="1"/>
  <c r="L24" i="3"/>
  <c r="AG24" i="3" s="1"/>
  <c r="L25" i="3"/>
  <c r="AG25" i="3" s="1"/>
  <c r="L26" i="3"/>
  <c r="AG26" i="3" s="1"/>
  <c r="L27" i="3"/>
  <c r="AG27" i="3" s="1"/>
  <c r="L28" i="3"/>
  <c r="AG28" i="3" s="1"/>
  <c r="L29" i="3"/>
  <c r="AG29" i="3" s="1"/>
  <c r="L30" i="3"/>
  <c r="AG30" i="3" s="1"/>
  <c r="L31" i="3"/>
  <c r="AG31" i="3" s="1"/>
  <c r="L32" i="3"/>
  <c r="AG32" i="3" s="1"/>
  <c r="L33" i="3"/>
  <c r="AG33" i="3" s="1"/>
  <c r="L34" i="3"/>
  <c r="AG34" i="3" s="1"/>
  <c r="L35" i="3"/>
  <c r="AG35" i="3" s="1"/>
  <c r="L36" i="3"/>
  <c r="AG36" i="3" s="1"/>
  <c r="L37" i="3"/>
  <c r="AG37" i="3" s="1"/>
  <c r="L38" i="3"/>
  <c r="AG38" i="3" s="1"/>
  <c r="L39" i="3"/>
  <c r="AG39" i="3" s="1"/>
  <c r="L40" i="3"/>
  <c r="AG40" i="3" s="1"/>
  <c r="L41" i="3"/>
  <c r="AG41" i="3" s="1"/>
  <c r="L42" i="3"/>
  <c r="AG42" i="3" s="1"/>
  <c r="L43" i="3"/>
  <c r="AG43" i="3" s="1"/>
  <c r="L44" i="3"/>
  <c r="AG44" i="3" s="1"/>
  <c r="L45" i="3"/>
  <c r="AG45" i="3" s="1"/>
  <c r="L46" i="3"/>
  <c r="AG46" i="3" s="1"/>
  <c r="L47" i="3"/>
  <c r="AG47" i="3" s="1"/>
  <c r="L48" i="3"/>
  <c r="AG48" i="3" s="1"/>
  <c r="L49" i="3"/>
  <c r="AG49" i="3" s="1"/>
  <c r="L50" i="3"/>
  <c r="AG50" i="3" s="1"/>
  <c r="L51" i="3"/>
  <c r="AG51" i="3" s="1"/>
  <c r="L52" i="3"/>
  <c r="AG52" i="3" s="1"/>
  <c r="L53" i="3"/>
  <c r="AG53" i="3" s="1"/>
  <c r="L54" i="3"/>
  <c r="AG54" i="3" s="1"/>
  <c r="L55" i="3"/>
  <c r="AG55" i="3" s="1"/>
  <c r="L56" i="3"/>
  <c r="AG56" i="3" s="1"/>
  <c r="L57" i="3"/>
  <c r="AG57" i="3" s="1"/>
  <c r="L58" i="3"/>
  <c r="AG58" i="3" s="1"/>
  <c r="L59" i="3"/>
  <c r="AG59" i="3" s="1"/>
  <c r="L60" i="3"/>
  <c r="AG60" i="3" s="1"/>
  <c r="L61" i="3"/>
  <c r="AG61" i="3" s="1"/>
  <c r="L62" i="3"/>
  <c r="AG62" i="3" s="1"/>
  <c r="L63" i="3"/>
  <c r="AG63" i="3" s="1"/>
  <c r="L64" i="3"/>
  <c r="AG64" i="3" s="1"/>
  <c r="L65" i="3"/>
  <c r="AG65" i="3" s="1"/>
  <c r="L66" i="3"/>
  <c r="AG66" i="3" s="1"/>
  <c r="L67" i="3"/>
  <c r="AG67" i="3" s="1"/>
  <c r="L68" i="3"/>
  <c r="AG68" i="3" s="1"/>
  <c r="L69" i="3"/>
  <c r="AG69" i="3" s="1"/>
  <c r="L70" i="3"/>
  <c r="AG70" i="3" s="1"/>
  <c r="L71" i="3"/>
  <c r="AG71" i="3" s="1"/>
  <c r="L72" i="3"/>
  <c r="AG72" i="3" s="1"/>
  <c r="L73" i="3"/>
  <c r="AG73" i="3" s="1"/>
  <c r="L74" i="3"/>
  <c r="AG74" i="3" s="1"/>
  <c r="L75" i="3"/>
  <c r="AG75" i="3" s="1"/>
  <c r="L76" i="3"/>
  <c r="AG76" i="3" s="1"/>
  <c r="L77" i="3"/>
  <c r="AG77" i="3" s="1"/>
  <c r="L78" i="3"/>
  <c r="AG78" i="3" s="1"/>
  <c r="L79" i="3"/>
  <c r="AG79" i="3" s="1"/>
  <c r="L80" i="3"/>
  <c r="AG80" i="3" s="1"/>
  <c r="L81" i="3"/>
  <c r="AG81" i="3" s="1"/>
  <c r="L82" i="3"/>
  <c r="AG82" i="3" s="1"/>
  <c r="L83" i="3"/>
  <c r="AG83" i="3" s="1"/>
  <c r="L84" i="3"/>
  <c r="AG84" i="3" s="1"/>
  <c r="L85" i="3"/>
  <c r="AG85" i="3" s="1"/>
  <c r="L86" i="3"/>
  <c r="AG86" i="3" s="1"/>
  <c r="L87" i="3"/>
  <c r="AG87" i="3" s="1"/>
  <c r="L88" i="3"/>
  <c r="AG88" i="3" s="1"/>
  <c r="L89" i="3"/>
  <c r="AG89" i="3" s="1"/>
  <c r="L90" i="3"/>
  <c r="AG90" i="3" s="1"/>
  <c r="L91" i="3"/>
  <c r="AG91" i="3" s="1"/>
  <c r="L92" i="3"/>
  <c r="AG92" i="3" s="1"/>
  <c r="L93" i="3"/>
  <c r="AG93" i="3" s="1"/>
  <c r="L94" i="3"/>
  <c r="AG94" i="3" s="1"/>
  <c r="L95" i="3"/>
  <c r="AG95" i="3" s="1"/>
  <c r="L96" i="3"/>
  <c r="AG96" i="3" s="1"/>
  <c r="L97" i="3"/>
  <c r="AG97" i="3" s="1"/>
  <c r="L98" i="3"/>
  <c r="AG98" i="3" s="1"/>
  <c r="L99" i="3"/>
  <c r="AG99" i="3" s="1"/>
  <c r="L100" i="3"/>
  <c r="AG100" i="3" s="1"/>
  <c r="L101" i="3"/>
  <c r="AG101" i="3" s="1"/>
  <c r="L102" i="3"/>
  <c r="AG102" i="3" s="1"/>
  <c r="L103" i="3"/>
  <c r="AG103" i="3" s="1"/>
  <c r="L104" i="3"/>
  <c r="AG104" i="3" s="1"/>
  <c r="L105" i="3"/>
  <c r="AG105" i="3" s="1"/>
  <c r="L106" i="3"/>
  <c r="AG106" i="3" s="1"/>
  <c r="L107" i="3"/>
  <c r="AG107" i="3" s="1"/>
  <c r="L108" i="3"/>
  <c r="AG108" i="3" s="1"/>
  <c r="L109" i="3"/>
  <c r="AG109" i="3" s="1"/>
  <c r="L110" i="3"/>
  <c r="AG110" i="3" s="1"/>
  <c r="L111" i="3"/>
  <c r="AG111" i="3" s="1"/>
  <c r="L112" i="3"/>
  <c r="AG112" i="3" s="1"/>
  <c r="L113" i="3"/>
  <c r="AG113" i="3" s="1"/>
  <c r="L114" i="3"/>
  <c r="AG114" i="3" s="1"/>
  <c r="L115" i="3"/>
  <c r="AG115" i="3" s="1"/>
  <c r="L116" i="3"/>
  <c r="AG116" i="3" s="1"/>
  <c r="L117" i="3"/>
  <c r="AG117" i="3" s="1"/>
  <c r="L118" i="3"/>
  <c r="AG118" i="3" s="1"/>
  <c r="L119" i="3"/>
  <c r="AG119" i="3" s="1"/>
  <c r="L120" i="3"/>
  <c r="AG120" i="3" s="1"/>
  <c r="L121" i="3"/>
  <c r="AG121" i="3" s="1"/>
  <c r="L122" i="3"/>
  <c r="AG122" i="3" s="1"/>
  <c r="L123" i="3"/>
  <c r="AG123" i="3" s="1"/>
  <c r="L124" i="3"/>
  <c r="AG124" i="3" s="1"/>
  <c r="L125" i="3"/>
  <c r="AG125" i="3" s="1"/>
  <c r="L126" i="3"/>
  <c r="AG126" i="3" s="1"/>
  <c r="L127" i="3"/>
  <c r="AG127" i="3" s="1"/>
  <c r="L128" i="3"/>
  <c r="AG128" i="3" s="1"/>
  <c r="L129" i="3"/>
  <c r="AG129" i="3" s="1"/>
  <c r="L130" i="3"/>
  <c r="AG130" i="3" s="1"/>
  <c r="L131" i="3"/>
  <c r="AG131" i="3" s="1"/>
  <c r="L132" i="3"/>
  <c r="AG132" i="3" s="1"/>
  <c r="L133" i="3"/>
  <c r="AG133" i="3" s="1"/>
  <c r="L134" i="3"/>
  <c r="AG134" i="3" s="1"/>
  <c r="L135" i="3"/>
  <c r="AG135" i="3" s="1"/>
  <c r="L136" i="3"/>
  <c r="AG136" i="3" s="1"/>
  <c r="L137" i="3"/>
  <c r="AG137" i="3" s="1"/>
  <c r="L138" i="3"/>
  <c r="AG138" i="3" s="1"/>
  <c r="L139" i="3"/>
  <c r="AG139" i="3" s="1"/>
  <c r="L140" i="3"/>
  <c r="AG140" i="3" s="1"/>
  <c r="L141" i="3"/>
  <c r="AG141" i="3" s="1"/>
  <c r="L142" i="3"/>
  <c r="AG142" i="3" s="1"/>
  <c r="L143" i="3"/>
  <c r="AG143" i="3" s="1"/>
  <c r="L144" i="3"/>
  <c r="AG144" i="3" s="1"/>
  <c r="L145" i="3"/>
  <c r="AG145" i="3" s="1"/>
  <c r="L146" i="3"/>
  <c r="AG146" i="3" s="1"/>
  <c r="L147" i="3"/>
  <c r="AG147" i="3" s="1"/>
  <c r="L148" i="3"/>
  <c r="AG148" i="3" s="1"/>
  <c r="L149" i="3"/>
  <c r="AG149" i="3" s="1"/>
  <c r="L150" i="3"/>
  <c r="AG150" i="3" s="1"/>
  <c r="L151" i="3"/>
  <c r="AG151" i="3" s="1"/>
  <c r="L152" i="3"/>
  <c r="AG152" i="3" s="1"/>
  <c r="L153" i="3"/>
  <c r="AG153" i="3" s="1"/>
  <c r="L154" i="3"/>
  <c r="AG154" i="3" s="1"/>
  <c r="L155" i="3"/>
  <c r="AG155" i="3" s="1"/>
  <c r="L156" i="3"/>
  <c r="AG156" i="3" s="1"/>
  <c r="L157" i="3"/>
  <c r="AG157" i="3" s="1"/>
  <c r="L158" i="3"/>
  <c r="AG158" i="3" s="1"/>
  <c r="L159" i="3"/>
  <c r="AG159" i="3" s="1"/>
  <c r="L160" i="3"/>
  <c r="AG160" i="3" s="1"/>
  <c r="L161" i="3"/>
  <c r="AG161" i="3" s="1"/>
  <c r="L162" i="3"/>
  <c r="AG162" i="3" s="1"/>
  <c r="L163" i="3"/>
  <c r="AG163" i="3" s="1"/>
  <c r="L164" i="3"/>
  <c r="AG164" i="3" s="1"/>
  <c r="L165" i="3"/>
  <c r="AG165" i="3" s="1"/>
  <c r="L166" i="3"/>
  <c r="AG166" i="3" s="1"/>
  <c r="L167" i="3"/>
  <c r="AG167" i="3" s="1"/>
  <c r="L168" i="3"/>
  <c r="AG168" i="3" s="1"/>
  <c r="L169" i="3"/>
  <c r="AG169" i="3" s="1"/>
  <c r="L170" i="3"/>
  <c r="AG170" i="3" s="1"/>
  <c r="L171" i="3"/>
  <c r="AG171" i="3" s="1"/>
  <c r="L172" i="3"/>
  <c r="AG172" i="3" s="1"/>
  <c r="L173" i="3"/>
  <c r="AG173" i="3" s="1"/>
  <c r="L174" i="3"/>
  <c r="AG174" i="3" s="1"/>
  <c r="L175" i="3"/>
  <c r="AG175" i="3" s="1"/>
  <c r="L176" i="3"/>
  <c r="AG176" i="3" s="1"/>
  <c r="L177" i="3"/>
  <c r="AG177" i="3" s="1"/>
  <c r="L178" i="3"/>
  <c r="AG178" i="3" s="1"/>
  <c r="L179" i="3"/>
  <c r="AG179" i="3" s="1"/>
  <c r="L180" i="3"/>
  <c r="AG180" i="3" s="1"/>
  <c r="L181" i="3"/>
  <c r="AG181" i="3" s="1"/>
  <c r="L182" i="3"/>
  <c r="AG182" i="3" s="1"/>
  <c r="L183" i="3"/>
  <c r="AG183" i="3" s="1"/>
  <c r="L184" i="3"/>
  <c r="AG184" i="3" s="1"/>
  <c r="L185" i="3"/>
  <c r="AG185" i="3" s="1"/>
  <c r="L186" i="3"/>
  <c r="AG186" i="3" s="1"/>
  <c r="L187" i="3"/>
  <c r="AG187" i="3" s="1"/>
  <c r="L188" i="3"/>
  <c r="AG188" i="3" s="1"/>
  <c r="L189" i="3"/>
  <c r="AG189" i="3" s="1"/>
  <c r="L190" i="3"/>
  <c r="AG190" i="3" s="1"/>
  <c r="L191" i="3"/>
  <c r="AG191" i="3" s="1"/>
  <c r="L192" i="3"/>
  <c r="AG192" i="3" s="1"/>
  <c r="L193" i="3"/>
  <c r="AG193" i="3" s="1"/>
  <c r="L194" i="3"/>
  <c r="AG194" i="3" s="1"/>
  <c r="L195" i="3"/>
  <c r="AG195" i="3" s="1"/>
  <c r="L196" i="3"/>
  <c r="AG196" i="3" s="1"/>
  <c r="L197" i="3"/>
  <c r="AG197" i="3" s="1"/>
  <c r="L198" i="3"/>
  <c r="AG198" i="3" s="1"/>
  <c r="L199" i="3"/>
  <c r="AG199" i="3" s="1"/>
  <c r="L200" i="3"/>
  <c r="AG200" i="3" s="1"/>
  <c r="L201" i="3"/>
  <c r="AG201" i="3" s="1"/>
  <c r="L202" i="3"/>
  <c r="AG202" i="3" s="1"/>
  <c r="L203" i="3"/>
  <c r="AG203" i="3" s="1"/>
  <c r="L204" i="3"/>
  <c r="AG204" i="3" s="1"/>
  <c r="L205" i="3"/>
  <c r="AG205" i="3" s="1"/>
  <c r="L206" i="3"/>
  <c r="AG206" i="3" s="1"/>
  <c r="L207" i="3"/>
  <c r="AG207" i="3" s="1"/>
  <c r="L208" i="3"/>
  <c r="AG208" i="3" s="1"/>
  <c r="L209" i="3"/>
  <c r="AG209" i="3" s="1"/>
  <c r="L210" i="3"/>
  <c r="AG210" i="3" s="1"/>
  <c r="L211" i="3"/>
  <c r="AG211" i="3" s="1"/>
  <c r="L212" i="3"/>
  <c r="AG212" i="3" s="1"/>
  <c r="L213" i="3"/>
  <c r="AG213" i="3" s="1"/>
  <c r="L214" i="3"/>
  <c r="AG214" i="3" s="1"/>
  <c r="L215" i="3"/>
  <c r="AG215" i="3" s="1"/>
  <c r="L216" i="3"/>
  <c r="AG216" i="3" s="1"/>
  <c r="L217" i="3"/>
  <c r="AG217" i="3" s="1"/>
  <c r="L218" i="3"/>
  <c r="AG218" i="3" s="1"/>
  <c r="L219" i="3"/>
  <c r="AG219" i="3" s="1"/>
  <c r="L220" i="3"/>
  <c r="AG220" i="3" s="1"/>
  <c r="L221" i="3"/>
  <c r="AG221" i="3" s="1"/>
  <c r="L222" i="3"/>
  <c r="AG222" i="3" s="1"/>
  <c r="L223" i="3"/>
  <c r="AG223" i="3" s="1"/>
  <c r="L224" i="3"/>
  <c r="AG224" i="3" s="1"/>
  <c r="L225" i="3"/>
  <c r="AG225" i="3" s="1"/>
  <c r="L226" i="3"/>
  <c r="AG226" i="3" s="1"/>
  <c r="L227" i="3"/>
  <c r="AG227" i="3" s="1"/>
  <c r="L228" i="3"/>
  <c r="AG228" i="3" s="1"/>
  <c r="L229" i="3"/>
  <c r="AG229" i="3" s="1"/>
  <c r="L230" i="3"/>
  <c r="AG230" i="3" s="1"/>
  <c r="L231" i="3"/>
  <c r="AG231" i="3" s="1"/>
  <c r="L232" i="3"/>
  <c r="AG232" i="3" s="1"/>
  <c r="L233" i="3"/>
  <c r="AG233" i="3" s="1"/>
  <c r="L234" i="3"/>
  <c r="AG234" i="3" s="1"/>
  <c r="L235" i="3"/>
  <c r="AG235" i="3" s="1"/>
  <c r="L236" i="3"/>
  <c r="AG236" i="3" s="1"/>
  <c r="L237" i="3"/>
  <c r="AG237" i="3" s="1"/>
  <c r="L238" i="3"/>
  <c r="AG238" i="3" s="1"/>
  <c r="L239" i="3"/>
  <c r="AG239" i="3" s="1"/>
  <c r="L240" i="3"/>
  <c r="AG240" i="3" s="1"/>
  <c r="L241" i="3"/>
  <c r="AG241" i="3" s="1"/>
  <c r="L242" i="3"/>
  <c r="AG242" i="3" s="1"/>
  <c r="L243" i="3"/>
  <c r="AG243" i="3" s="1"/>
  <c r="L244" i="3"/>
  <c r="AG244" i="3" s="1"/>
  <c r="L245" i="3"/>
  <c r="AG245" i="3" s="1"/>
  <c r="L246" i="3"/>
  <c r="AG246" i="3" s="1"/>
  <c r="L247" i="3"/>
  <c r="AG247" i="3" s="1"/>
  <c r="L248" i="3"/>
  <c r="AG248" i="3" s="1"/>
  <c r="L249" i="3"/>
  <c r="AG249" i="3" s="1"/>
  <c r="L250" i="3"/>
  <c r="AG250" i="3" s="1"/>
  <c r="L251" i="3"/>
  <c r="AG251" i="3" s="1"/>
  <c r="L252" i="3"/>
  <c r="AG252" i="3" s="1"/>
  <c r="L253" i="3"/>
  <c r="AG253" i="3" s="1"/>
  <c r="L254" i="3"/>
  <c r="AG254" i="3" s="1"/>
  <c r="L255" i="3"/>
  <c r="AG255" i="3" s="1"/>
  <c r="L256" i="3"/>
  <c r="AG256" i="3" s="1"/>
  <c r="L257" i="3"/>
  <c r="AG257" i="3" s="1"/>
  <c r="L258" i="3"/>
  <c r="AG258" i="3" s="1"/>
  <c r="L259" i="3"/>
  <c r="AG259" i="3" s="1"/>
  <c r="L260" i="3"/>
  <c r="AG260" i="3" s="1"/>
  <c r="L261" i="3"/>
  <c r="AG261" i="3" s="1"/>
  <c r="L262" i="3"/>
  <c r="AG262" i="3" s="1"/>
  <c r="L263" i="3"/>
  <c r="AG263" i="3" s="1"/>
  <c r="L264" i="3"/>
  <c r="AG264" i="3" s="1"/>
  <c r="L265" i="3"/>
  <c r="AG265" i="3" s="1"/>
  <c r="L266" i="3"/>
  <c r="AG266" i="3" s="1"/>
  <c r="L267" i="3"/>
  <c r="AG267" i="3" s="1"/>
  <c r="L268" i="3"/>
  <c r="AG268" i="3" s="1"/>
  <c r="L269" i="3"/>
  <c r="AG269" i="3" s="1"/>
  <c r="L270" i="3"/>
  <c r="AG270" i="3" s="1"/>
  <c r="L271" i="3"/>
  <c r="AG271" i="3" s="1"/>
  <c r="L272" i="3"/>
  <c r="AG272" i="3" s="1"/>
  <c r="L273" i="3"/>
  <c r="AG273" i="3" s="1"/>
  <c r="L274" i="3"/>
  <c r="AG274" i="3" s="1"/>
  <c r="L275" i="3"/>
  <c r="AG275" i="3" s="1"/>
  <c r="L276" i="3"/>
  <c r="AG276" i="3" s="1"/>
  <c r="L277" i="3"/>
  <c r="AG277" i="3" s="1"/>
  <c r="L278" i="3"/>
  <c r="AG278" i="3" s="1"/>
  <c r="L279" i="3"/>
  <c r="AG279" i="3" s="1"/>
  <c r="L280" i="3"/>
  <c r="AG280" i="3" s="1"/>
  <c r="L281" i="3"/>
  <c r="AG281" i="3" s="1"/>
  <c r="L282" i="3"/>
  <c r="AG282" i="3" s="1"/>
  <c r="L283" i="3"/>
  <c r="AG283" i="3" s="1"/>
  <c r="L284" i="3"/>
  <c r="AG284" i="3" s="1"/>
  <c r="L285" i="3"/>
  <c r="AG285" i="3" s="1"/>
  <c r="L286" i="3"/>
  <c r="AG286" i="3" s="1"/>
  <c r="L287" i="3"/>
  <c r="AG287" i="3" s="1"/>
  <c r="L288" i="3"/>
  <c r="AG288" i="3" s="1"/>
  <c r="L289" i="3"/>
  <c r="AG289" i="3" s="1"/>
  <c r="L290" i="3"/>
  <c r="AG290" i="3" s="1"/>
  <c r="L291" i="3"/>
  <c r="AG291" i="3" s="1"/>
  <c r="L292" i="3"/>
  <c r="AG292" i="3" s="1"/>
  <c r="L293" i="3"/>
  <c r="AG293" i="3" s="1"/>
  <c r="L294" i="3"/>
  <c r="AG294" i="3" s="1"/>
  <c r="L295" i="3"/>
  <c r="AG295" i="3" s="1"/>
  <c r="L296" i="3"/>
  <c r="AG296" i="3" s="1"/>
  <c r="L297" i="3"/>
  <c r="AG297" i="3" s="1"/>
  <c r="L298" i="3"/>
  <c r="AG298" i="3" s="1"/>
  <c r="L299" i="3"/>
  <c r="AG299" i="3" s="1"/>
  <c r="L300" i="3"/>
  <c r="AG300" i="3" s="1"/>
  <c r="L301" i="3"/>
  <c r="AG301" i="3" s="1"/>
  <c r="L302" i="3"/>
  <c r="AG302" i="3" s="1"/>
  <c r="L303" i="3"/>
  <c r="AG303" i="3" s="1"/>
  <c r="L304" i="3"/>
  <c r="AG304" i="3" s="1"/>
  <c r="L305" i="3"/>
  <c r="AG305" i="3" s="1"/>
  <c r="L306" i="3"/>
  <c r="AG306" i="3" s="1"/>
  <c r="L307" i="3"/>
  <c r="AG307" i="3" s="1"/>
  <c r="L308" i="3"/>
  <c r="AG308" i="3" s="1"/>
  <c r="L309" i="3"/>
  <c r="AG309" i="3" s="1"/>
  <c r="L310" i="3"/>
  <c r="AG310" i="3" s="1"/>
  <c r="L311" i="3"/>
  <c r="AG311" i="3" s="1"/>
  <c r="L312" i="3"/>
  <c r="AG312" i="3" s="1"/>
  <c r="L313" i="3"/>
  <c r="AG313" i="3" s="1"/>
  <c r="L314" i="3"/>
  <c r="AG314" i="3" s="1"/>
  <c r="L315" i="3"/>
  <c r="AG315" i="3" s="1"/>
  <c r="L316" i="3"/>
  <c r="AG316" i="3" s="1"/>
  <c r="L317" i="3"/>
  <c r="AG317" i="3" s="1"/>
  <c r="L318" i="3"/>
  <c r="AG318" i="3" s="1"/>
  <c r="L319" i="3"/>
  <c r="AG319" i="3" s="1"/>
  <c r="L320" i="3"/>
  <c r="AG320" i="3" s="1"/>
  <c r="L321" i="3"/>
  <c r="AG321" i="3" s="1"/>
  <c r="L322" i="3"/>
  <c r="AG322" i="3" s="1"/>
  <c r="L323" i="3"/>
  <c r="AG323" i="3" s="1"/>
  <c r="L324" i="3"/>
  <c r="AG324" i="3" s="1"/>
  <c r="L325" i="3"/>
  <c r="AG325" i="3" s="1"/>
  <c r="L326" i="3"/>
  <c r="AG326" i="3" s="1"/>
  <c r="L327" i="3"/>
  <c r="AG327" i="3" s="1"/>
  <c r="L328" i="3"/>
  <c r="AG328" i="3" s="1"/>
  <c r="L329" i="3"/>
  <c r="AG329" i="3" s="1"/>
  <c r="L330" i="3"/>
  <c r="AG330" i="3" s="1"/>
  <c r="L331" i="3"/>
  <c r="AG331" i="3" s="1"/>
  <c r="L332" i="3"/>
  <c r="AG332" i="3" s="1"/>
  <c r="L333" i="3"/>
  <c r="AG333" i="3" s="1"/>
  <c r="L334" i="3"/>
  <c r="AG334" i="3" s="1"/>
  <c r="L335" i="3"/>
  <c r="AG335" i="3" s="1"/>
  <c r="L336" i="3"/>
  <c r="AG336" i="3" s="1"/>
  <c r="L337" i="3"/>
  <c r="AG337" i="3" s="1"/>
  <c r="L338" i="3"/>
  <c r="AG338" i="3" s="1"/>
  <c r="L339" i="3"/>
  <c r="AG339" i="3" s="1"/>
  <c r="L340" i="3"/>
  <c r="AG340" i="3" s="1"/>
  <c r="L341" i="3"/>
  <c r="AG341" i="3" s="1"/>
  <c r="L342" i="3"/>
  <c r="AG342" i="3" s="1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L368" i="3"/>
  <c r="AG368" i="3" s="1"/>
  <c r="L369" i="3"/>
  <c r="AG369" i="3" s="1"/>
  <c r="L370" i="3"/>
  <c r="AG370" i="3" s="1"/>
  <c r="L371" i="3"/>
  <c r="AG371" i="3" s="1"/>
  <c r="L372" i="3"/>
  <c r="AG372" i="3" s="1"/>
  <c r="L373" i="3"/>
  <c r="AG373" i="3" s="1"/>
  <c r="L374" i="3"/>
  <c r="AG374" i="3" s="1"/>
  <c r="L375" i="3"/>
  <c r="AG375" i="3" s="1"/>
  <c r="L376" i="3"/>
  <c r="AG376" i="3" s="1"/>
  <c r="L377" i="3"/>
  <c r="AG377" i="3" s="1"/>
  <c r="L378" i="3"/>
  <c r="AG378" i="3" s="1"/>
  <c r="L379" i="3"/>
  <c r="AG379" i="3" s="1"/>
  <c r="L380" i="3"/>
  <c r="AG380" i="3" s="1"/>
  <c r="L381" i="3"/>
  <c r="AG381" i="3" s="1"/>
  <c r="L382" i="3"/>
  <c r="AG382" i="3" s="1"/>
  <c r="L383" i="3"/>
  <c r="AG383" i="3" s="1"/>
  <c r="L384" i="3"/>
  <c r="AG384" i="3" s="1"/>
  <c r="L385" i="3"/>
  <c r="AG385" i="3" s="1"/>
  <c r="L386" i="3"/>
  <c r="AG386" i="3" s="1"/>
  <c r="L387" i="3"/>
  <c r="AG387" i="3" s="1"/>
  <c r="L388" i="3"/>
  <c r="AG388" i="3" s="1"/>
  <c r="L389" i="3"/>
  <c r="AG389" i="3" s="1"/>
  <c r="L390" i="3"/>
  <c r="AG390" i="3" s="1"/>
  <c r="L391" i="3"/>
  <c r="AG391" i="3" s="1"/>
  <c r="L392" i="3"/>
  <c r="AG392" i="3" s="1"/>
  <c r="L393" i="3"/>
  <c r="AG393" i="3" s="1"/>
  <c r="L394" i="3"/>
  <c r="AG394" i="3" s="1"/>
  <c r="L395" i="3"/>
  <c r="AG395" i="3" s="1"/>
  <c r="L396" i="3"/>
  <c r="AG396" i="3" s="1"/>
  <c r="L397" i="3"/>
  <c r="AG397" i="3" s="1"/>
  <c r="L398" i="3"/>
  <c r="AG398" i="3" s="1"/>
  <c r="L399" i="3"/>
  <c r="AG399" i="3" s="1"/>
  <c r="L400" i="3"/>
  <c r="AG400" i="3" s="1"/>
  <c r="L401" i="3"/>
  <c r="AG401" i="3" s="1"/>
  <c r="L402" i="3"/>
  <c r="AG402" i="3" s="1"/>
  <c r="L403" i="3"/>
  <c r="AG403" i="3" s="1"/>
  <c r="L404" i="3"/>
  <c r="AG404" i="3" s="1"/>
  <c r="L405" i="3"/>
  <c r="AG405" i="3" s="1"/>
  <c r="L406" i="3"/>
  <c r="AG406" i="3" s="1"/>
  <c r="L407" i="3"/>
  <c r="AG407" i="3" s="1"/>
  <c r="L408" i="3"/>
  <c r="AG408" i="3" s="1"/>
  <c r="L409" i="3"/>
  <c r="AG409" i="3" s="1"/>
  <c r="L410" i="3"/>
  <c r="AG410" i="3" s="1"/>
  <c r="L411" i="3"/>
  <c r="AG411" i="3" s="1"/>
  <c r="L412" i="3"/>
  <c r="AG412" i="3" s="1"/>
  <c r="L413" i="3"/>
  <c r="AG413" i="3" s="1"/>
  <c r="L414" i="3"/>
  <c r="AG414" i="3" s="1"/>
  <c r="L415" i="3"/>
  <c r="AG415" i="3" s="1"/>
  <c r="L416" i="3"/>
  <c r="AG416" i="3" s="1"/>
  <c r="L417" i="3"/>
  <c r="AG417" i="3" s="1"/>
  <c r="L418" i="3"/>
  <c r="AG418" i="3" s="1"/>
  <c r="L419" i="3"/>
  <c r="AG419" i="3" s="1"/>
  <c r="L420" i="3"/>
  <c r="AG420" i="3" s="1"/>
  <c r="L421" i="3"/>
  <c r="AG421" i="3" s="1"/>
  <c r="L422" i="3"/>
  <c r="AG422" i="3" s="1"/>
  <c r="L423" i="3"/>
  <c r="AG423" i="3" s="1"/>
  <c r="L424" i="3"/>
  <c r="AG424" i="3" s="1"/>
  <c r="L425" i="3"/>
  <c r="AG425" i="3" s="1"/>
  <c r="L426" i="3"/>
  <c r="AG426" i="3" s="1"/>
  <c r="L427" i="3"/>
  <c r="AG427" i="3" s="1"/>
  <c r="L428" i="3"/>
  <c r="AG428" i="3" s="1"/>
  <c r="L429" i="3"/>
  <c r="AG429" i="3" s="1"/>
  <c r="L430" i="3"/>
  <c r="AG430" i="3" s="1"/>
  <c r="L431" i="3"/>
  <c r="AG431" i="3" s="1"/>
  <c r="L432" i="3"/>
  <c r="AG432" i="3" s="1"/>
  <c r="L433" i="3"/>
  <c r="AG433" i="3" s="1"/>
  <c r="L434" i="3"/>
  <c r="AG434" i="3" s="1"/>
  <c r="L435" i="3"/>
  <c r="AG435" i="3" s="1"/>
  <c r="L436" i="3"/>
  <c r="AG436" i="3" s="1"/>
  <c r="L437" i="3"/>
  <c r="AG437" i="3" s="1"/>
  <c r="L438" i="3"/>
  <c r="AG438" i="3" s="1"/>
  <c r="L439" i="3"/>
  <c r="AG439" i="3" s="1"/>
  <c r="L440" i="3"/>
  <c r="AG440" i="3" s="1"/>
  <c r="L441" i="3"/>
  <c r="AG441" i="3" s="1"/>
  <c r="L442" i="3"/>
  <c r="AG442" i="3" s="1"/>
  <c r="L443" i="3"/>
  <c r="AG443" i="3" s="1"/>
  <c r="L444" i="3"/>
  <c r="AG444" i="3" s="1"/>
  <c r="L445" i="3"/>
  <c r="AG445" i="3" s="1"/>
  <c r="L446" i="3"/>
  <c r="AG446" i="3" s="1"/>
  <c r="L447" i="3"/>
  <c r="AG447" i="3" s="1"/>
  <c r="L448" i="3"/>
  <c r="AG448" i="3" s="1"/>
  <c r="L449" i="3"/>
  <c r="AG449" i="3" s="1"/>
  <c r="L450" i="3"/>
  <c r="AG450" i="3" s="1"/>
  <c r="L451" i="3"/>
  <c r="AG451" i="3" s="1"/>
  <c r="L452" i="3"/>
  <c r="AG452" i="3" s="1"/>
  <c r="L453" i="3"/>
  <c r="AG453" i="3" s="1"/>
  <c r="L454" i="3"/>
  <c r="AG454" i="3" s="1"/>
  <c r="L455" i="3"/>
  <c r="AG455" i="3" s="1"/>
  <c r="L456" i="3"/>
  <c r="AG456" i="3" s="1"/>
  <c r="L457" i="3"/>
  <c r="AG457" i="3" s="1"/>
  <c r="L458" i="3"/>
  <c r="AG458" i="3" s="1"/>
  <c r="L459" i="3"/>
  <c r="AG459" i="3" s="1"/>
  <c r="L460" i="3"/>
  <c r="AG460" i="3" s="1"/>
  <c r="L461" i="3"/>
  <c r="AG461" i="3" s="1"/>
  <c r="L462" i="3"/>
  <c r="AG462" i="3" s="1"/>
  <c r="L463" i="3"/>
  <c r="AG463" i="3" s="1"/>
  <c r="L464" i="3"/>
  <c r="AG464" i="3" s="1"/>
  <c r="L465" i="3"/>
  <c r="AG465" i="3" s="1"/>
  <c r="L466" i="3"/>
  <c r="AG466" i="3" s="1"/>
  <c r="L467" i="3"/>
  <c r="AG467" i="3" s="1"/>
  <c r="L468" i="3"/>
  <c r="AG468" i="3" s="1"/>
  <c r="L469" i="3"/>
  <c r="AG469" i="3" s="1"/>
  <c r="AG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AF303" i="3" s="1"/>
  <c r="I304" i="3"/>
  <c r="AF304" i="3" s="1"/>
  <c r="I305" i="3"/>
  <c r="AF305" i="3" s="1"/>
  <c r="I306" i="3"/>
  <c r="AF306" i="3" s="1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3" i="3"/>
  <c r="I384" i="3"/>
  <c r="I385" i="3"/>
  <c r="AF385" i="3" s="1"/>
  <c r="I386" i="3"/>
  <c r="AF386" i="3" s="1"/>
  <c r="I387" i="3"/>
  <c r="AF387" i="3" s="1"/>
  <c r="I388" i="3"/>
  <c r="AF388" i="3" s="1"/>
  <c r="I389" i="3"/>
  <c r="AF389" i="3" s="1"/>
  <c r="I390" i="3"/>
  <c r="AF390" i="3" s="1"/>
  <c r="I391" i="3"/>
  <c r="AF391" i="3" s="1"/>
  <c r="I392" i="3"/>
  <c r="AF392" i="3" s="1"/>
  <c r="I393" i="3"/>
  <c r="AF393" i="3" s="1"/>
  <c r="I394" i="3"/>
  <c r="AF394" i="3" s="1"/>
  <c r="I395" i="3"/>
  <c r="AF395" i="3" s="1"/>
  <c r="I396" i="3"/>
  <c r="AF396" i="3" s="1"/>
  <c r="I397" i="3"/>
  <c r="AF397" i="3" s="1"/>
  <c r="I398" i="3"/>
  <c r="AF398" i="3" s="1"/>
  <c r="I399" i="3"/>
  <c r="AF399" i="3" s="1"/>
  <c r="I400" i="3"/>
  <c r="AF400" i="3" s="1"/>
  <c r="I401" i="3"/>
  <c r="AF401" i="3" s="1"/>
  <c r="I402" i="3"/>
  <c r="AF402" i="3" s="1"/>
  <c r="I403" i="3"/>
  <c r="AF403" i="3" s="1"/>
  <c r="I404" i="3"/>
  <c r="AF404" i="3" s="1"/>
  <c r="I405" i="3"/>
  <c r="AF405" i="3" s="1"/>
  <c r="I406" i="3"/>
  <c r="AF406" i="3" s="1"/>
  <c r="I407" i="3"/>
  <c r="AF407" i="3" s="1"/>
  <c r="I408" i="3"/>
  <c r="AF408" i="3" s="1"/>
  <c r="I409" i="3"/>
  <c r="AF409" i="3" s="1"/>
  <c r="I410" i="3"/>
  <c r="AF410" i="3" s="1"/>
  <c r="I411" i="3"/>
  <c r="AF411" i="3" s="1"/>
  <c r="I412" i="3"/>
  <c r="AF412" i="3" s="1"/>
  <c r="I413" i="3"/>
  <c r="AF413" i="3" s="1"/>
  <c r="I414" i="3"/>
  <c r="AF414" i="3" s="1"/>
  <c r="I415" i="3"/>
  <c r="AF415" i="3" s="1"/>
  <c r="I416" i="3"/>
  <c r="AF416" i="3" s="1"/>
  <c r="I417" i="3"/>
  <c r="AF417" i="3" s="1"/>
  <c r="I418" i="3"/>
  <c r="AF418" i="3" s="1"/>
  <c r="I419" i="3"/>
  <c r="AF419" i="3" s="1"/>
  <c r="I420" i="3"/>
  <c r="AF420" i="3" s="1"/>
  <c r="I421" i="3"/>
  <c r="AF421" i="3" s="1"/>
  <c r="I422" i="3"/>
  <c r="AF422" i="3" s="1"/>
  <c r="I423" i="3"/>
  <c r="AF423" i="3" s="1"/>
  <c r="I424" i="3"/>
  <c r="AF424" i="3" s="1"/>
  <c r="I425" i="3"/>
  <c r="AF425" i="3" s="1"/>
  <c r="I426" i="3"/>
  <c r="AF426" i="3" s="1"/>
  <c r="I427" i="3"/>
  <c r="AF427" i="3" s="1"/>
  <c r="I428" i="3"/>
  <c r="AF428" i="3" s="1"/>
  <c r="I429" i="3"/>
  <c r="AF429" i="3" s="1"/>
  <c r="I430" i="3"/>
  <c r="AF430" i="3" s="1"/>
  <c r="I431" i="3"/>
  <c r="AF431" i="3" s="1"/>
  <c r="I432" i="3"/>
  <c r="AF432" i="3" s="1"/>
  <c r="I433" i="3"/>
  <c r="AF433" i="3" s="1"/>
  <c r="I434" i="3"/>
  <c r="AF434" i="3" s="1"/>
  <c r="I435" i="3"/>
  <c r="AF435" i="3" s="1"/>
  <c r="I436" i="3"/>
  <c r="AF436" i="3" s="1"/>
  <c r="I437" i="3"/>
  <c r="AF437" i="3" s="1"/>
  <c r="I438" i="3"/>
  <c r="AF438" i="3" s="1"/>
  <c r="I439" i="3"/>
  <c r="AF439" i="3" s="1"/>
  <c r="I440" i="3"/>
  <c r="AF440" i="3" s="1"/>
  <c r="I441" i="3"/>
  <c r="AF441" i="3" s="1"/>
  <c r="I442" i="3"/>
  <c r="AF442" i="3" s="1"/>
  <c r="I443" i="3"/>
  <c r="AF443" i="3" s="1"/>
  <c r="I444" i="3"/>
  <c r="AF444" i="3" s="1"/>
  <c r="I445" i="3"/>
  <c r="AF445" i="3" s="1"/>
  <c r="I446" i="3"/>
  <c r="AF446" i="3" s="1"/>
  <c r="I447" i="3"/>
  <c r="AF447" i="3" s="1"/>
  <c r="I448" i="3"/>
  <c r="AF448" i="3" s="1"/>
  <c r="I449" i="3"/>
  <c r="AF449" i="3" s="1"/>
  <c r="I450" i="3"/>
  <c r="AF450" i="3" s="1"/>
  <c r="I451" i="3"/>
  <c r="AF451" i="3" s="1"/>
  <c r="I452" i="3"/>
  <c r="AF452" i="3" s="1"/>
  <c r="I453" i="3"/>
  <c r="AF453" i="3" s="1"/>
  <c r="I454" i="3"/>
  <c r="AF454" i="3" s="1"/>
  <c r="I455" i="3"/>
  <c r="AF455" i="3" s="1"/>
  <c r="I456" i="3"/>
  <c r="AF456" i="3" s="1"/>
  <c r="I457" i="3"/>
  <c r="AF457" i="3" s="1"/>
  <c r="I458" i="3"/>
  <c r="AF458" i="3" s="1"/>
  <c r="I459" i="3"/>
  <c r="AF459" i="3" s="1"/>
  <c r="I460" i="3"/>
  <c r="AF460" i="3" s="1"/>
  <c r="I461" i="3"/>
  <c r="AF461" i="3" s="1"/>
  <c r="I462" i="3"/>
  <c r="AF462" i="3" s="1"/>
  <c r="I463" i="3"/>
  <c r="AF463" i="3" s="1"/>
  <c r="I464" i="3"/>
  <c r="AF464" i="3" s="1"/>
  <c r="I465" i="3"/>
  <c r="AF465" i="3" s="1"/>
  <c r="I466" i="3"/>
  <c r="AF466" i="3" s="1"/>
  <c r="I467" i="3"/>
  <c r="AF467" i="3" s="1"/>
  <c r="I468" i="3"/>
  <c r="AF468" i="3" s="1"/>
  <c r="I469" i="3"/>
  <c r="AF469" i="3" s="1"/>
  <c r="I2" i="3"/>
  <c r="D229" i="3"/>
  <c r="AF229" i="3" s="1"/>
  <c r="D230" i="3"/>
  <c r="AF230" i="3" s="1"/>
  <c r="D21" i="3"/>
  <c r="D22" i="3"/>
  <c r="AF22" i="3" s="1"/>
  <c r="D32" i="3"/>
  <c r="AF32" i="3" s="1"/>
  <c r="D33" i="3"/>
  <c r="D57" i="3"/>
  <c r="D58" i="3"/>
  <c r="AF58" i="3" s="1"/>
  <c r="D81" i="3"/>
  <c r="D82" i="3"/>
  <c r="D112" i="3"/>
  <c r="D113" i="3"/>
  <c r="D158" i="3"/>
  <c r="AF158" i="3" s="1"/>
  <c r="D159" i="3"/>
  <c r="D2" i="3"/>
  <c r="AF2" i="3" l="1"/>
  <c r="AF112" i="3"/>
  <c r="AF81" i="3"/>
  <c r="AF57" i="3"/>
  <c r="AF159" i="3"/>
  <c r="AF33" i="3"/>
  <c r="AF113" i="3"/>
  <c r="AF21" i="3"/>
  <c r="AF82" i="3"/>
  <c r="AE2" i="3"/>
  <c r="AC2" i="3"/>
  <c r="D308" i="3"/>
  <c r="AF307" i="3"/>
  <c r="W10" i="12"/>
  <c r="X10" i="12" s="1"/>
  <c r="V10" i="12"/>
  <c r="D11" i="12"/>
  <c r="E11" i="12"/>
  <c r="F11" i="12"/>
  <c r="B11" i="12"/>
  <c r="C11" i="12"/>
  <c r="Q11" i="12" s="1"/>
  <c r="P11" i="7"/>
  <c r="O12" i="7" s="1"/>
  <c r="Q12" i="7" s="1"/>
  <c r="AD2" i="3"/>
  <c r="AE3" i="3"/>
  <c r="AE22" i="3"/>
  <c r="AE4" i="3"/>
  <c r="AE35" i="3"/>
  <c r="AE23" i="3"/>
  <c r="AE36" i="3"/>
  <c r="AE232" i="3"/>
  <c r="AE33" i="3"/>
  <c r="AE5" i="3"/>
  <c r="AE8" i="3"/>
  <c r="AE304" i="3"/>
  <c r="W244" i="3"/>
  <c r="Y462" i="3"/>
  <c r="AP462" i="3"/>
  <c r="AN462" i="3"/>
  <c r="AO462" i="3"/>
  <c r="Y446" i="3"/>
  <c r="AP446" i="3"/>
  <c r="AN446" i="3"/>
  <c r="AO446" i="3"/>
  <c r="Y430" i="3"/>
  <c r="AP430" i="3"/>
  <c r="AN430" i="3"/>
  <c r="AO430" i="3"/>
  <c r="Y422" i="3"/>
  <c r="AP422" i="3"/>
  <c r="AN422" i="3"/>
  <c r="AO422" i="3"/>
  <c r="Y406" i="3"/>
  <c r="AP406" i="3"/>
  <c r="AN406" i="3"/>
  <c r="AO406" i="3"/>
  <c r="Y390" i="3"/>
  <c r="AP390" i="3"/>
  <c r="AN390" i="3"/>
  <c r="AO390" i="3"/>
  <c r="Y230" i="3"/>
  <c r="AP230" i="3"/>
  <c r="AN230" i="3"/>
  <c r="AO230" i="3"/>
  <c r="Y157" i="3"/>
  <c r="AN157" i="3"/>
  <c r="AP157" i="3"/>
  <c r="AO157" i="3"/>
  <c r="Y454" i="3"/>
  <c r="AP454" i="3"/>
  <c r="AN454" i="3"/>
  <c r="AO454" i="3"/>
  <c r="Y438" i="3"/>
  <c r="AP438" i="3"/>
  <c r="AO438" i="3"/>
  <c r="AN438" i="3"/>
  <c r="Y414" i="3"/>
  <c r="AP414" i="3"/>
  <c r="AN414" i="3"/>
  <c r="AO414" i="3"/>
  <c r="Y398" i="3"/>
  <c r="AP398" i="3"/>
  <c r="AN398" i="3"/>
  <c r="AO398" i="3"/>
  <c r="Y158" i="3"/>
  <c r="AP158" i="3"/>
  <c r="AO158" i="3"/>
  <c r="AN158" i="3"/>
  <c r="Y469" i="3"/>
  <c r="AN469" i="3"/>
  <c r="AO469" i="3"/>
  <c r="AP469" i="3"/>
  <c r="Y461" i="3"/>
  <c r="AN461" i="3"/>
  <c r="AO461" i="3"/>
  <c r="AP461" i="3"/>
  <c r="Y453" i="3"/>
  <c r="AN453" i="3"/>
  <c r="AO453" i="3"/>
  <c r="AP453" i="3"/>
  <c r="Y445" i="3"/>
  <c r="AN445" i="3"/>
  <c r="AO445" i="3"/>
  <c r="AP445" i="3"/>
  <c r="Y437" i="3"/>
  <c r="U437" i="3" s="1"/>
  <c r="AN437" i="3"/>
  <c r="AO437" i="3"/>
  <c r="AP437" i="3"/>
  <c r="Y429" i="3"/>
  <c r="AN429" i="3"/>
  <c r="AO429" i="3"/>
  <c r="AP429" i="3"/>
  <c r="Y421" i="3"/>
  <c r="U421" i="3" s="1"/>
  <c r="AN421" i="3"/>
  <c r="AO421" i="3"/>
  <c r="AP421" i="3"/>
  <c r="Y413" i="3"/>
  <c r="AN413" i="3"/>
  <c r="AO413" i="3"/>
  <c r="AP413" i="3"/>
  <c r="Y405" i="3"/>
  <c r="AN405" i="3"/>
  <c r="AO405" i="3"/>
  <c r="AP405" i="3"/>
  <c r="Y397" i="3"/>
  <c r="AN397" i="3"/>
  <c r="AO397" i="3"/>
  <c r="AP397" i="3"/>
  <c r="Y389" i="3"/>
  <c r="AN389" i="3"/>
  <c r="AO389" i="3"/>
  <c r="AP389" i="3"/>
  <c r="Y381" i="3"/>
  <c r="AN381" i="3"/>
  <c r="AP381" i="3"/>
  <c r="AO381" i="3"/>
  <c r="Y373" i="3"/>
  <c r="AN373" i="3"/>
  <c r="AP373" i="3"/>
  <c r="AO373" i="3"/>
  <c r="Y229" i="3"/>
  <c r="AN229" i="3"/>
  <c r="AP229" i="3"/>
  <c r="AO229" i="3"/>
  <c r="Y468" i="3"/>
  <c r="AN468" i="3"/>
  <c r="AO468" i="3"/>
  <c r="AP468" i="3"/>
  <c r="Y460" i="3"/>
  <c r="AN460" i="3"/>
  <c r="AO460" i="3"/>
  <c r="AP460" i="3"/>
  <c r="Y452" i="3"/>
  <c r="AN452" i="3"/>
  <c r="AO452" i="3"/>
  <c r="AP452" i="3"/>
  <c r="Y444" i="3"/>
  <c r="AN444" i="3"/>
  <c r="AP444" i="3"/>
  <c r="AO444" i="3"/>
  <c r="Y436" i="3"/>
  <c r="AN436" i="3"/>
  <c r="AO436" i="3"/>
  <c r="AP436" i="3"/>
  <c r="Y428" i="3"/>
  <c r="AN428" i="3"/>
  <c r="AO428" i="3"/>
  <c r="AP428" i="3"/>
  <c r="Y420" i="3"/>
  <c r="AN420" i="3"/>
  <c r="AO420" i="3"/>
  <c r="AP420" i="3"/>
  <c r="Y412" i="3"/>
  <c r="AN412" i="3"/>
  <c r="AO412" i="3"/>
  <c r="AP412" i="3"/>
  <c r="Y404" i="3"/>
  <c r="AN404" i="3"/>
  <c r="AO404" i="3"/>
  <c r="AP404" i="3"/>
  <c r="Y396" i="3"/>
  <c r="U396" i="3" s="1"/>
  <c r="AN396" i="3"/>
  <c r="AO396" i="3"/>
  <c r="AP396" i="3"/>
  <c r="Y388" i="3"/>
  <c r="AN388" i="3"/>
  <c r="AO388" i="3"/>
  <c r="AP388" i="3"/>
  <c r="Y21" i="3"/>
  <c r="AP21" i="3"/>
  <c r="AN21" i="3"/>
  <c r="AO21" i="3"/>
  <c r="Y20" i="3"/>
  <c r="AN20" i="3"/>
  <c r="AO20" i="3"/>
  <c r="AP20" i="3"/>
  <c r="Y451" i="3"/>
  <c r="AN451" i="3"/>
  <c r="AO451" i="3"/>
  <c r="AP451" i="3"/>
  <c r="Y419" i="3"/>
  <c r="AN419" i="3"/>
  <c r="AO419" i="3"/>
  <c r="AP419" i="3"/>
  <c r="Y387" i="3"/>
  <c r="U387" i="3" s="1"/>
  <c r="AN387" i="3"/>
  <c r="AO387" i="3"/>
  <c r="AP387" i="3"/>
  <c r="Y466" i="3"/>
  <c r="AO466" i="3"/>
  <c r="AP466" i="3"/>
  <c r="AN466" i="3"/>
  <c r="Y458" i="3"/>
  <c r="AO458" i="3"/>
  <c r="AN458" i="3"/>
  <c r="AP458" i="3"/>
  <c r="Y450" i="3"/>
  <c r="AO450" i="3"/>
  <c r="AN450" i="3"/>
  <c r="AP450" i="3"/>
  <c r="Y442" i="3"/>
  <c r="AO442" i="3"/>
  <c r="AP442" i="3"/>
  <c r="AN442" i="3"/>
  <c r="Y434" i="3"/>
  <c r="U434" i="3" s="1"/>
  <c r="AO434" i="3"/>
  <c r="AN434" i="3"/>
  <c r="AP434" i="3"/>
  <c r="Y426" i="3"/>
  <c r="AO426" i="3"/>
  <c r="AN426" i="3"/>
  <c r="AP426" i="3"/>
  <c r="Y418" i="3"/>
  <c r="AO418" i="3"/>
  <c r="AN418" i="3"/>
  <c r="AP418" i="3"/>
  <c r="Y410" i="3"/>
  <c r="AO410" i="3"/>
  <c r="AN410" i="3"/>
  <c r="AP410" i="3"/>
  <c r="Y402" i="3"/>
  <c r="AO402" i="3"/>
  <c r="AP402" i="3"/>
  <c r="AN402" i="3"/>
  <c r="Y394" i="3"/>
  <c r="AO394" i="3"/>
  <c r="AP394" i="3"/>
  <c r="AN394" i="3"/>
  <c r="Y386" i="3"/>
  <c r="AO386" i="3"/>
  <c r="AN386" i="3"/>
  <c r="AP386" i="3"/>
  <c r="Y459" i="3"/>
  <c r="AN459" i="3"/>
  <c r="AO459" i="3"/>
  <c r="AP459" i="3"/>
  <c r="Y427" i="3"/>
  <c r="U427" i="3" s="1"/>
  <c r="AN427" i="3"/>
  <c r="AO427" i="3"/>
  <c r="AP427" i="3"/>
  <c r="Y403" i="3"/>
  <c r="AN403" i="3"/>
  <c r="AO403" i="3"/>
  <c r="AP403" i="3"/>
  <c r="Y465" i="3"/>
  <c r="U465" i="3" s="1"/>
  <c r="AN465" i="3"/>
  <c r="AO465" i="3"/>
  <c r="AP465" i="3"/>
  <c r="Y457" i="3"/>
  <c r="AN457" i="3"/>
  <c r="AO457" i="3"/>
  <c r="AP457" i="3"/>
  <c r="Y449" i="3"/>
  <c r="AN449" i="3"/>
  <c r="AO449" i="3"/>
  <c r="AP449" i="3"/>
  <c r="Y441" i="3"/>
  <c r="AN441" i="3"/>
  <c r="AO441" i="3"/>
  <c r="AP441" i="3"/>
  <c r="Y433" i="3"/>
  <c r="AN433" i="3"/>
  <c r="AO433" i="3"/>
  <c r="AP433" i="3"/>
  <c r="Y425" i="3"/>
  <c r="AN425" i="3"/>
  <c r="AO425" i="3"/>
  <c r="AP425" i="3"/>
  <c r="Y417" i="3"/>
  <c r="AN417" i="3"/>
  <c r="AO417" i="3"/>
  <c r="AP417" i="3"/>
  <c r="Y409" i="3"/>
  <c r="AN409" i="3"/>
  <c r="AO409" i="3"/>
  <c r="AP409" i="3"/>
  <c r="Y401" i="3"/>
  <c r="U401" i="3" s="1"/>
  <c r="AN401" i="3"/>
  <c r="AO401" i="3"/>
  <c r="AP401" i="3"/>
  <c r="Y393" i="3"/>
  <c r="AN393" i="3"/>
  <c r="AO393" i="3"/>
  <c r="AP393" i="3"/>
  <c r="Y385" i="3"/>
  <c r="U385" i="3" s="1"/>
  <c r="AN385" i="3"/>
  <c r="AO385" i="3"/>
  <c r="AP385" i="3"/>
  <c r="Y34" i="3"/>
  <c r="AO34" i="3"/>
  <c r="AP34" i="3"/>
  <c r="AN34" i="3"/>
  <c r="Y10" i="3"/>
  <c r="AN10" i="3"/>
  <c r="AP10" i="3"/>
  <c r="AO10" i="3"/>
  <c r="Y467" i="3"/>
  <c r="U467" i="3" s="1"/>
  <c r="AN467" i="3"/>
  <c r="AO467" i="3"/>
  <c r="AP467" i="3"/>
  <c r="Y443" i="3"/>
  <c r="AN443" i="3"/>
  <c r="AO443" i="3"/>
  <c r="AP443" i="3"/>
  <c r="Y411" i="3"/>
  <c r="AN411" i="3"/>
  <c r="AO411" i="3"/>
  <c r="AP411" i="3"/>
  <c r="Y464" i="3"/>
  <c r="U464" i="3" s="1"/>
  <c r="AN464" i="3"/>
  <c r="AO464" i="3"/>
  <c r="AP464" i="3"/>
  <c r="Y456" i="3"/>
  <c r="AP456" i="3"/>
  <c r="AN456" i="3"/>
  <c r="AO456" i="3"/>
  <c r="Y448" i="3"/>
  <c r="AN448" i="3"/>
  <c r="AO448" i="3"/>
  <c r="AP448" i="3"/>
  <c r="Y440" i="3"/>
  <c r="AN440" i="3"/>
  <c r="AO440" i="3"/>
  <c r="AP440" i="3"/>
  <c r="Y432" i="3"/>
  <c r="AN432" i="3"/>
  <c r="AO432" i="3"/>
  <c r="AP432" i="3"/>
  <c r="Y424" i="3"/>
  <c r="AP424" i="3"/>
  <c r="AN424" i="3"/>
  <c r="AO424" i="3"/>
  <c r="Y416" i="3"/>
  <c r="AN416" i="3"/>
  <c r="AO416" i="3"/>
  <c r="AP416" i="3"/>
  <c r="Y408" i="3"/>
  <c r="AP408" i="3"/>
  <c r="AO408" i="3"/>
  <c r="AN408" i="3"/>
  <c r="Y400" i="3"/>
  <c r="U400" i="3" s="1"/>
  <c r="AO400" i="3"/>
  <c r="AP400" i="3"/>
  <c r="AN400" i="3"/>
  <c r="Y392" i="3"/>
  <c r="AN392" i="3"/>
  <c r="AO392" i="3"/>
  <c r="AP392" i="3"/>
  <c r="Y384" i="3"/>
  <c r="AN384" i="3"/>
  <c r="AO384" i="3"/>
  <c r="AP384" i="3"/>
  <c r="Y112" i="3"/>
  <c r="AO112" i="3"/>
  <c r="AN112" i="3"/>
  <c r="AP112" i="3"/>
  <c r="Y81" i="3"/>
  <c r="AN81" i="3"/>
  <c r="AP81" i="3"/>
  <c r="AO81" i="3"/>
  <c r="Y57" i="3"/>
  <c r="AP57" i="3"/>
  <c r="AO57" i="3"/>
  <c r="AN57" i="3"/>
  <c r="Y435" i="3"/>
  <c r="AN435" i="3"/>
  <c r="AO435" i="3"/>
  <c r="AP435" i="3"/>
  <c r="Y395" i="3"/>
  <c r="AN395" i="3"/>
  <c r="AP395" i="3"/>
  <c r="AO395" i="3"/>
  <c r="Y219" i="3"/>
  <c r="AN219" i="3"/>
  <c r="AO219" i="3"/>
  <c r="AP219" i="3"/>
  <c r="Y463" i="3"/>
  <c r="AN463" i="3"/>
  <c r="AP463" i="3"/>
  <c r="AO463" i="3"/>
  <c r="Y455" i="3"/>
  <c r="AN455" i="3"/>
  <c r="AP455" i="3"/>
  <c r="AO455" i="3"/>
  <c r="Y447" i="3"/>
  <c r="AN447" i="3"/>
  <c r="AP447" i="3"/>
  <c r="AO447" i="3"/>
  <c r="Y439" i="3"/>
  <c r="U439" i="3" s="1"/>
  <c r="AN439" i="3"/>
  <c r="AP439" i="3"/>
  <c r="AO439" i="3"/>
  <c r="Y431" i="3"/>
  <c r="AN431" i="3"/>
  <c r="AP431" i="3"/>
  <c r="AO431" i="3"/>
  <c r="Y423" i="3"/>
  <c r="AN423" i="3"/>
  <c r="AP423" i="3"/>
  <c r="AO423" i="3"/>
  <c r="Y415" i="3"/>
  <c r="AN415" i="3"/>
  <c r="AP415" i="3"/>
  <c r="AO415" i="3"/>
  <c r="Y407" i="3"/>
  <c r="AN407" i="3"/>
  <c r="AP407" i="3"/>
  <c r="AO407" i="3"/>
  <c r="Y399" i="3"/>
  <c r="AN399" i="3"/>
  <c r="AP399" i="3"/>
  <c r="AO399" i="3"/>
  <c r="Y391" i="3"/>
  <c r="AN391" i="3"/>
  <c r="AP391" i="3"/>
  <c r="AO391" i="3"/>
  <c r="Y303" i="3"/>
  <c r="AN303" i="3"/>
  <c r="AO303" i="3"/>
  <c r="AP303" i="3"/>
  <c r="Y32" i="3"/>
  <c r="U32" i="3" s="1"/>
  <c r="AN32" i="3"/>
  <c r="AO32" i="3"/>
  <c r="AP32" i="3"/>
  <c r="AJ266" i="3"/>
  <c r="AL266" i="3"/>
  <c r="AK266" i="3"/>
  <c r="AI454" i="3"/>
  <c r="AM454" i="3" s="1"/>
  <c r="AQ454" i="3" s="1"/>
  <c r="AL454" i="3"/>
  <c r="AJ454" i="3"/>
  <c r="AK454" i="3"/>
  <c r="AJ446" i="3"/>
  <c r="AK446" i="3"/>
  <c r="AL446" i="3"/>
  <c r="AI446" i="3"/>
  <c r="AM446" i="3" s="1"/>
  <c r="AQ446" i="3" s="1"/>
  <c r="AL430" i="3"/>
  <c r="AJ430" i="3"/>
  <c r="AI430" i="3"/>
  <c r="AM430" i="3" s="1"/>
  <c r="AQ430" i="3" s="1"/>
  <c r="AK430" i="3"/>
  <c r="AI422" i="3"/>
  <c r="AM422" i="3" s="1"/>
  <c r="AQ422" i="3" s="1"/>
  <c r="AL422" i="3"/>
  <c r="AJ422" i="3"/>
  <c r="AK422" i="3"/>
  <c r="AL406" i="3"/>
  <c r="AK406" i="3"/>
  <c r="AJ406" i="3"/>
  <c r="AI406" i="3"/>
  <c r="AM406" i="3" s="1"/>
  <c r="AQ406" i="3" s="1"/>
  <c r="AJ382" i="3"/>
  <c r="AK382" i="3"/>
  <c r="AL382" i="3"/>
  <c r="AL358" i="3"/>
  <c r="AJ358" i="3"/>
  <c r="AK358" i="3"/>
  <c r="AL342" i="3"/>
  <c r="AK342" i="3"/>
  <c r="AJ342" i="3"/>
  <c r="AL326" i="3"/>
  <c r="AJ326" i="3"/>
  <c r="AK326" i="3"/>
  <c r="AK310" i="3"/>
  <c r="AL310" i="3"/>
  <c r="AJ310" i="3"/>
  <c r="AL294" i="3"/>
  <c r="AK294" i="3"/>
  <c r="AJ294" i="3"/>
  <c r="AL278" i="3"/>
  <c r="AK278" i="3"/>
  <c r="AJ278" i="3"/>
  <c r="AL262" i="3"/>
  <c r="AJ262" i="3"/>
  <c r="AK262" i="3"/>
  <c r="AK246" i="3"/>
  <c r="AL246" i="3"/>
  <c r="AJ246" i="3"/>
  <c r="AK222" i="3"/>
  <c r="AJ222" i="3"/>
  <c r="AL222" i="3"/>
  <c r="AK206" i="3"/>
  <c r="AL206" i="3"/>
  <c r="AJ206" i="3"/>
  <c r="AK190" i="3"/>
  <c r="AL190" i="3"/>
  <c r="AJ190" i="3"/>
  <c r="AK174" i="3"/>
  <c r="AJ174" i="3"/>
  <c r="AL174" i="3"/>
  <c r="AK150" i="3"/>
  <c r="AL150" i="3"/>
  <c r="AJ150" i="3"/>
  <c r="AK134" i="3"/>
  <c r="AL134" i="3"/>
  <c r="AJ134" i="3"/>
  <c r="AK118" i="3"/>
  <c r="AL118" i="3"/>
  <c r="AJ118" i="3"/>
  <c r="AK111" i="3"/>
  <c r="AJ111" i="3"/>
  <c r="AL111" i="3"/>
  <c r="AK95" i="3"/>
  <c r="AJ95" i="3"/>
  <c r="AL95" i="3"/>
  <c r="AK87" i="3"/>
  <c r="AL87" i="3"/>
  <c r="AJ87" i="3"/>
  <c r="AL79" i="3"/>
  <c r="AK79" i="3"/>
  <c r="AJ79" i="3"/>
  <c r="AL55" i="3"/>
  <c r="AK55" i="3"/>
  <c r="AJ55" i="3"/>
  <c r="AL39" i="3"/>
  <c r="AK39" i="3"/>
  <c r="AJ39" i="3"/>
  <c r="AL23" i="3"/>
  <c r="AK23" i="3"/>
  <c r="AJ23" i="3"/>
  <c r="AI469" i="3"/>
  <c r="AM469" i="3" s="1"/>
  <c r="AQ469" i="3" s="1"/>
  <c r="AK469" i="3"/>
  <c r="AL469" i="3"/>
  <c r="AJ469" i="3"/>
  <c r="AL445" i="3"/>
  <c r="AK445" i="3"/>
  <c r="AJ445" i="3"/>
  <c r="AI445" i="3"/>
  <c r="AM445" i="3" s="1"/>
  <c r="AQ445" i="3" s="1"/>
  <c r="AI437" i="3"/>
  <c r="AM437" i="3" s="1"/>
  <c r="AQ437" i="3" s="1"/>
  <c r="AK437" i="3"/>
  <c r="AL437" i="3"/>
  <c r="AJ437" i="3"/>
  <c r="AI421" i="3"/>
  <c r="AM421" i="3" s="1"/>
  <c r="AQ421" i="3" s="1"/>
  <c r="AL421" i="3"/>
  <c r="AJ421" i="3"/>
  <c r="AK421" i="3"/>
  <c r="AL413" i="3"/>
  <c r="AK413" i="3"/>
  <c r="AI413" i="3"/>
  <c r="AM413" i="3" s="1"/>
  <c r="AQ413" i="3" s="1"/>
  <c r="AJ413" i="3"/>
  <c r="AL397" i="3"/>
  <c r="AI397" i="3"/>
  <c r="AM397" i="3" s="1"/>
  <c r="AQ397" i="3" s="1"/>
  <c r="AK397" i="3"/>
  <c r="AJ397" i="3"/>
  <c r="AI381" i="3"/>
  <c r="AM381" i="3" s="1"/>
  <c r="AQ381" i="3" s="1"/>
  <c r="AL381" i="3"/>
  <c r="AJ381" i="3"/>
  <c r="AK381" i="3"/>
  <c r="AK365" i="3"/>
  <c r="AL365" i="3"/>
  <c r="AJ365" i="3"/>
  <c r="AL349" i="3"/>
  <c r="AK349" i="3"/>
  <c r="AJ349" i="3"/>
  <c r="AK341" i="3"/>
  <c r="AL341" i="3"/>
  <c r="AJ341" i="3"/>
  <c r="AL325" i="3"/>
  <c r="AJ325" i="3"/>
  <c r="AK325" i="3"/>
  <c r="AK309" i="3"/>
  <c r="AL309" i="3"/>
  <c r="AJ309" i="3"/>
  <c r="AL301" i="3"/>
  <c r="AK301" i="3"/>
  <c r="AJ301" i="3"/>
  <c r="AL285" i="3"/>
  <c r="AK285" i="3"/>
  <c r="AJ285" i="3"/>
  <c r="AL261" i="3"/>
  <c r="AJ261" i="3"/>
  <c r="AK261" i="3"/>
  <c r="AL245" i="3"/>
  <c r="AK245" i="3"/>
  <c r="AJ245" i="3"/>
  <c r="AI229" i="3"/>
  <c r="AM229" i="3" s="1"/>
  <c r="AQ229" i="3" s="1"/>
  <c r="AK229" i="3"/>
  <c r="AL229" i="3"/>
  <c r="AJ229" i="3"/>
  <c r="AL213" i="3"/>
  <c r="AJ213" i="3"/>
  <c r="AK213" i="3"/>
  <c r="AL205" i="3"/>
  <c r="AK205" i="3"/>
  <c r="AJ205" i="3"/>
  <c r="AL189" i="3"/>
  <c r="AJ189" i="3"/>
  <c r="AK189" i="3"/>
  <c r="AL181" i="3"/>
  <c r="AK181" i="3"/>
  <c r="AJ181" i="3"/>
  <c r="AK165" i="3"/>
  <c r="AL165" i="3"/>
  <c r="AJ165" i="3"/>
  <c r="AK157" i="3"/>
  <c r="AJ157" i="3"/>
  <c r="AL157" i="3"/>
  <c r="AL141" i="3"/>
  <c r="AJ141" i="3"/>
  <c r="AK141" i="3"/>
  <c r="AK125" i="3"/>
  <c r="AJ125" i="3"/>
  <c r="AL125" i="3"/>
  <c r="AL117" i="3"/>
  <c r="AJ117" i="3"/>
  <c r="AK117" i="3"/>
  <c r="AK110" i="3"/>
  <c r="AJ110" i="3"/>
  <c r="AL110" i="3"/>
  <c r="AK94" i="3"/>
  <c r="AJ94" i="3"/>
  <c r="AL94" i="3"/>
  <c r="AL78" i="3"/>
  <c r="AJ78" i="3"/>
  <c r="AK78" i="3"/>
  <c r="AK62" i="3"/>
  <c r="AL62" i="3"/>
  <c r="AJ62" i="3"/>
  <c r="AL38" i="3"/>
  <c r="AK38" i="3"/>
  <c r="AJ38" i="3"/>
  <c r="AL22" i="3"/>
  <c r="AK22" i="3"/>
  <c r="AJ22" i="3"/>
  <c r="AL6" i="3"/>
  <c r="AJ6" i="3"/>
  <c r="AK6" i="3"/>
  <c r="AL274" i="3"/>
  <c r="AJ274" i="3"/>
  <c r="AK274" i="3"/>
  <c r="AL468" i="3"/>
  <c r="AJ468" i="3"/>
  <c r="AI468" i="3"/>
  <c r="AM468" i="3" s="1"/>
  <c r="AQ468" i="3" s="1"/>
  <c r="AK468" i="3"/>
  <c r="AI444" i="3"/>
  <c r="AM444" i="3" s="1"/>
  <c r="AQ444" i="3" s="1"/>
  <c r="AL444" i="3"/>
  <c r="AK444" i="3"/>
  <c r="AJ444" i="3"/>
  <c r="AL428" i="3"/>
  <c r="AK428" i="3"/>
  <c r="AJ428" i="3"/>
  <c r="AI428" i="3"/>
  <c r="AM428" i="3" s="1"/>
  <c r="AQ428" i="3" s="1"/>
  <c r="AI412" i="3"/>
  <c r="AM412" i="3" s="1"/>
  <c r="AQ412" i="3" s="1"/>
  <c r="AK412" i="3"/>
  <c r="AL412" i="3"/>
  <c r="AJ412" i="3"/>
  <c r="AI396" i="3"/>
  <c r="AM396" i="3" s="1"/>
  <c r="AQ396" i="3" s="1"/>
  <c r="AK396" i="3"/>
  <c r="AJ396" i="3"/>
  <c r="AL396" i="3"/>
  <c r="AJ380" i="3"/>
  <c r="AL380" i="3"/>
  <c r="AK380" i="3"/>
  <c r="AI380" i="3" s="1"/>
  <c r="AK364" i="3"/>
  <c r="AL364" i="3"/>
  <c r="AJ364" i="3"/>
  <c r="AL348" i="3"/>
  <c r="AK348" i="3"/>
  <c r="AJ348" i="3"/>
  <c r="AL332" i="3"/>
  <c r="AK332" i="3"/>
  <c r="AJ332" i="3"/>
  <c r="AL316" i="3"/>
  <c r="AK316" i="3"/>
  <c r="AJ316" i="3"/>
  <c r="AL292" i="3"/>
  <c r="AJ292" i="3"/>
  <c r="AK292" i="3"/>
  <c r="AK268" i="3"/>
  <c r="AJ268" i="3"/>
  <c r="AL268" i="3"/>
  <c r="AL252" i="3"/>
  <c r="AJ252" i="3"/>
  <c r="AK252" i="3"/>
  <c r="AK236" i="3"/>
  <c r="AJ236" i="3"/>
  <c r="AL236" i="3"/>
  <c r="AK220" i="3"/>
  <c r="AL220" i="3"/>
  <c r="AJ220" i="3"/>
  <c r="AJ204" i="3"/>
  <c r="AL204" i="3"/>
  <c r="AK204" i="3"/>
  <c r="AL188" i="3"/>
  <c r="AK188" i="3"/>
  <c r="AJ188" i="3"/>
  <c r="AK172" i="3"/>
  <c r="AJ172" i="3"/>
  <c r="AL172" i="3"/>
  <c r="AK156" i="3"/>
  <c r="AJ156" i="3"/>
  <c r="AL156" i="3"/>
  <c r="AL132" i="3"/>
  <c r="AJ132" i="3"/>
  <c r="AK132" i="3"/>
  <c r="AL116" i="3"/>
  <c r="AJ116" i="3"/>
  <c r="AK116" i="3"/>
  <c r="AL101" i="3"/>
  <c r="AJ101" i="3"/>
  <c r="AK101" i="3"/>
  <c r="AL77" i="3"/>
  <c r="AJ77" i="3"/>
  <c r="AK77" i="3"/>
  <c r="AL61" i="3"/>
  <c r="AK61" i="3"/>
  <c r="AJ61" i="3"/>
  <c r="AK53" i="3"/>
  <c r="AJ53" i="3"/>
  <c r="AL53" i="3"/>
  <c r="AL37" i="3"/>
  <c r="AJ37" i="3"/>
  <c r="AK37" i="3"/>
  <c r="AJ13" i="3"/>
  <c r="AK13" i="3"/>
  <c r="AL13" i="3"/>
  <c r="AL459" i="3"/>
  <c r="AK459" i="3"/>
  <c r="AI459" i="3"/>
  <c r="AM459" i="3" s="1"/>
  <c r="AQ459" i="3" s="1"/>
  <c r="AJ459" i="3"/>
  <c r="AL443" i="3"/>
  <c r="AI443" i="3"/>
  <c r="AM443" i="3" s="1"/>
  <c r="AQ443" i="3" s="1"/>
  <c r="AK443" i="3"/>
  <c r="AJ443" i="3"/>
  <c r="AL427" i="3"/>
  <c r="AK427" i="3"/>
  <c r="AI427" i="3"/>
  <c r="AM427" i="3" s="1"/>
  <c r="AQ427" i="3" s="1"/>
  <c r="AJ427" i="3"/>
  <c r="AL411" i="3"/>
  <c r="AI411" i="3"/>
  <c r="AM411" i="3" s="1"/>
  <c r="AQ411" i="3" s="1"/>
  <c r="AJ411" i="3"/>
  <c r="AK411" i="3"/>
  <c r="AL403" i="3"/>
  <c r="AI403" i="3"/>
  <c r="AM403" i="3" s="1"/>
  <c r="AQ403" i="3" s="1"/>
  <c r="AJ403" i="3"/>
  <c r="AK403" i="3"/>
  <c r="AI387" i="3"/>
  <c r="AM387" i="3" s="1"/>
  <c r="AQ387" i="3" s="1"/>
  <c r="AL387" i="3"/>
  <c r="AK387" i="3"/>
  <c r="AJ387" i="3"/>
  <c r="AL371" i="3"/>
  <c r="AJ371" i="3"/>
  <c r="AK371" i="3"/>
  <c r="AL355" i="3"/>
  <c r="AK355" i="3"/>
  <c r="AJ355" i="3"/>
  <c r="AL339" i="3"/>
  <c r="AK339" i="3"/>
  <c r="AJ339" i="3"/>
  <c r="AL323" i="3"/>
  <c r="AK323" i="3"/>
  <c r="AJ323" i="3"/>
  <c r="AL307" i="3"/>
  <c r="AK307" i="3"/>
  <c r="AJ307" i="3"/>
  <c r="AL291" i="3"/>
  <c r="AK291" i="3"/>
  <c r="AJ291" i="3"/>
  <c r="AL267" i="3"/>
  <c r="AK267" i="3"/>
  <c r="AJ267" i="3"/>
  <c r="AL251" i="3"/>
  <c r="AJ251" i="3"/>
  <c r="AK251" i="3"/>
  <c r="AL235" i="3"/>
  <c r="AK235" i="3"/>
  <c r="AJ235" i="3"/>
  <c r="AL219" i="3"/>
  <c r="AK219" i="3"/>
  <c r="AJ219" i="3"/>
  <c r="AL203" i="3"/>
  <c r="AK203" i="3"/>
  <c r="AJ203" i="3"/>
  <c r="AL187" i="3"/>
  <c r="AK187" i="3"/>
  <c r="AJ187" i="3"/>
  <c r="AL171" i="3"/>
  <c r="AJ171" i="3"/>
  <c r="AK171" i="3"/>
  <c r="AL155" i="3"/>
  <c r="AK155" i="3"/>
  <c r="AJ155" i="3"/>
  <c r="AL139" i="3"/>
  <c r="AJ139" i="3"/>
  <c r="AK139" i="3"/>
  <c r="AL123" i="3"/>
  <c r="AJ123" i="3"/>
  <c r="AK123" i="3"/>
  <c r="AL100" i="3"/>
  <c r="AJ100" i="3"/>
  <c r="AK100" i="3"/>
  <c r="AL84" i="3"/>
  <c r="AK84" i="3"/>
  <c r="AJ84" i="3"/>
  <c r="AL68" i="3"/>
  <c r="AJ68" i="3"/>
  <c r="AK68" i="3"/>
  <c r="AK52" i="3"/>
  <c r="AJ52" i="3"/>
  <c r="AL52" i="3"/>
  <c r="AL36" i="3"/>
  <c r="AJ36" i="3"/>
  <c r="AK36" i="3"/>
  <c r="AL20" i="3"/>
  <c r="AK20" i="3"/>
  <c r="AJ20" i="3"/>
  <c r="AJ12" i="3"/>
  <c r="AK12" i="3"/>
  <c r="AL12" i="3"/>
  <c r="AL250" i="3"/>
  <c r="AJ250" i="3"/>
  <c r="AK250" i="3"/>
  <c r="AJ234" i="3"/>
  <c r="AK234" i="3"/>
  <c r="AL234" i="3"/>
  <c r="AL226" i="3"/>
  <c r="AJ226" i="3"/>
  <c r="AK226" i="3"/>
  <c r="AL210" i="3"/>
  <c r="AK210" i="3"/>
  <c r="AJ210" i="3"/>
  <c r="AK202" i="3"/>
  <c r="AJ202" i="3"/>
  <c r="AL202" i="3"/>
  <c r="AL194" i="3"/>
  <c r="AK194" i="3"/>
  <c r="AJ194" i="3"/>
  <c r="AL186" i="3"/>
  <c r="AJ186" i="3"/>
  <c r="AK186" i="3"/>
  <c r="AL178" i="3"/>
  <c r="AK178" i="3"/>
  <c r="AJ178" i="3"/>
  <c r="AL170" i="3"/>
  <c r="AJ170" i="3"/>
  <c r="AK170" i="3"/>
  <c r="AL154" i="3"/>
  <c r="AJ154" i="3"/>
  <c r="AK154" i="3"/>
  <c r="AK146" i="3"/>
  <c r="AJ146" i="3"/>
  <c r="AL146" i="3"/>
  <c r="AK138" i="3"/>
  <c r="AL138" i="3"/>
  <c r="AJ138" i="3"/>
  <c r="AJ130" i="3"/>
  <c r="AL130" i="3"/>
  <c r="AK130" i="3"/>
  <c r="AL122" i="3"/>
  <c r="AK122" i="3"/>
  <c r="AJ122" i="3"/>
  <c r="AL114" i="3"/>
  <c r="AK114" i="3"/>
  <c r="AJ114" i="3"/>
  <c r="AL107" i="3"/>
  <c r="AK107" i="3"/>
  <c r="AJ107" i="3"/>
  <c r="AL99" i="3"/>
  <c r="AK99" i="3"/>
  <c r="AJ99" i="3"/>
  <c r="AL91" i="3"/>
  <c r="AK91" i="3"/>
  <c r="AJ91" i="3"/>
  <c r="AK83" i="3"/>
  <c r="AJ83" i="3"/>
  <c r="AL83" i="3"/>
  <c r="AL75" i="3"/>
  <c r="AK75" i="3"/>
  <c r="AJ75" i="3"/>
  <c r="AL67" i="3"/>
  <c r="AJ67" i="3"/>
  <c r="AK67" i="3"/>
  <c r="AL59" i="3"/>
  <c r="AJ59" i="3"/>
  <c r="AK59" i="3"/>
  <c r="AL51" i="3"/>
  <c r="AJ51" i="3"/>
  <c r="AK51" i="3"/>
  <c r="AK43" i="3"/>
  <c r="AL43" i="3"/>
  <c r="AJ43" i="3"/>
  <c r="AL35" i="3"/>
  <c r="AJ35" i="3"/>
  <c r="AK35" i="3"/>
  <c r="AL27" i="3"/>
  <c r="AK27" i="3"/>
  <c r="AJ27" i="3"/>
  <c r="AJ19" i="3"/>
  <c r="AL19" i="3"/>
  <c r="AK19" i="3"/>
  <c r="AL11" i="3"/>
  <c r="AK11" i="3"/>
  <c r="AJ11" i="3"/>
  <c r="AK3" i="3"/>
  <c r="AJ3" i="3"/>
  <c r="AL3" i="3"/>
  <c r="AI465" i="3"/>
  <c r="AM465" i="3" s="1"/>
  <c r="AQ465" i="3" s="1"/>
  <c r="AJ465" i="3"/>
  <c r="AK465" i="3"/>
  <c r="AL465" i="3"/>
  <c r="AI457" i="3"/>
  <c r="AM457" i="3" s="1"/>
  <c r="AQ457" i="3" s="1"/>
  <c r="AL457" i="3"/>
  <c r="AJ457" i="3"/>
  <c r="AK457" i="3"/>
  <c r="AI449" i="3"/>
  <c r="AM449" i="3" s="1"/>
  <c r="AQ449" i="3" s="1"/>
  <c r="AL449" i="3"/>
  <c r="AK449" i="3"/>
  <c r="AJ449" i="3"/>
  <c r="AI441" i="3"/>
  <c r="AM441" i="3" s="1"/>
  <c r="AQ441" i="3" s="1"/>
  <c r="AL441" i="3"/>
  <c r="AJ441" i="3"/>
  <c r="AK441" i="3"/>
  <c r="AL433" i="3"/>
  <c r="AI433" i="3"/>
  <c r="AM433" i="3" s="1"/>
  <c r="AQ433" i="3" s="1"/>
  <c r="AJ433" i="3"/>
  <c r="AK433" i="3"/>
  <c r="AI425" i="3"/>
  <c r="AM425" i="3" s="1"/>
  <c r="AQ425" i="3" s="1"/>
  <c r="AJ425" i="3"/>
  <c r="AK425" i="3"/>
  <c r="AL425" i="3"/>
  <c r="AK417" i="3"/>
  <c r="AI417" i="3"/>
  <c r="AM417" i="3" s="1"/>
  <c r="AQ417" i="3" s="1"/>
  <c r="AJ417" i="3"/>
  <c r="AL417" i="3"/>
  <c r="AI409" i="3"/>
  <c r="AM409" i="3" s="1"/>
  <c r="AQ409" i="3" s="1"/>
  <c r="AL409" i="3"/>
  <c r="AK409" i="3"/>
  <c r="AJ409" i="3"/>
  <c r="AI401" i="3"/>
  <c r="AM401" i="3" s="1"/>
  <c r="AQ401" i="3" s="1"/>
  <c r="AL401" i="3"/>
  <c r="AJ401" i="3"/>
  <c r="AK401" i="3"/>
  <c r="AJ393" i="3"/>
  <c r="AK393" i="3"/>
  <c r="AL393" i="3"/>
  <c r="AI393" i="3"/>
  <c r="AM393" i="3" s="1"/>
  <c r="AQ393" i="3" s="1"/>
  <c r="AK385" i="3"/>
  <c r="AI385" i="3"/>
  <c r="AM385" i="3" s="1"/>
  <c r="AQ385" i="3" s="1"/>
  <c r="AL385" i="3"/>
  <c r="AJ385" i="3"/>
  <c r="AL377" i="3"/>
  <c r="AK377" i="3"/>
  <c r="AJ377" i="3"/>
  <c r="AL369" i="3"/>
  <c r="AJ369" i="3"/>
  <c r="AK369" i="3"/>
  <c r="AL361" i="3"/>
  <c r="AJ361" i="3"/>
  <c r="AK361" i="3"/>
  <c r="AK353" i="3"/>
  <c r="AJ353" i="3"/>
  <c r="AL353" i="3"/>
  <c r="AL345" i="3"/>
  <c r="AJ345" i="3"/>
  <c r="AK345" i="3"/>
  <c r="AJ337" i="3"/>
  <c r="AL337" i="3"/>
  <c r="AK337" i="3"/>
  <c r="AL329" i="3"/>
  <c r="AJ329" i="3"/>
  <c r="AK329" i="3"/>
  <c r="AK321" i="3"/>
  <c r="AJ321" i="3"/>
  <c r="AL321" i="3"/>
  <c r="AL313" i="3"/>
  <c r="AK313" i="3"/>
  <c r="AJ313" i="3"/>
  <c r="AL305" i="3"/>
  <c r="AJ305" i="3"/>
  <c r="AK305" i="3"/>
  <c r="AJ297" i="3"/>
  <c r="AK297" i="3"/>
  <c r="AL297" i="3"/>
  <c r="AK289" i="3"/>
  <c r="AL289" i="3"/>
  <c r="AJ289" i="3"/>
  <c r="AJ281" i="3"/>
  <c r="AK281" i="3"/>
  <c r="AL281" i="3"/>
  <c r="AL273" i="3"/>
  <c r="AJ273" i="3"/>
  <c r="AK273" i="3"/>
  <c r="AL265" i="3"/>
  <c r="AJ265" i="3"/>
  <c r="AK265" i="3"/>
  <c r="AL257" i="3"/>
  <c r="AK257" i="3"/>
  <c r="AJ257" i="3"/>
  <c r="AL249" i="3"/>
  <c r="AK249" i="3"/>
  <c r="AJ249" i="3"/>
  <c r="AL241" i="3"/>
  <c r="AJ241" i="3"/>
  <c r="AK241" i="3"/>
  <c r="AL233" i="3"/>
  <c r="AK233" i="3"/>
  <c r="AJ233" i="3"/>
  <c r="AL225" i="3"/>
  <c r="AJ225" i="3"/>
  <c r="AK225" i="3"/>
  <c r="AL217" i="3"/>
  <c r="AJ217" i="3"/>
  <c r="AK217" i="3"/>
  <c r="AK209" i="3"/>
  <c r="AL209" i="3"/>
  <c r="AJ209" i="3"/>
  <c r="AL201" i="3"/>
  <c r="AJ201" i="3"/>
  <c r="AK201" i="3"/>
  <c r="AK193" i="3"/>
  <c r="AL193" i="3"/>
  <c r="AJ193" i="3"/>
  <c r="AJ185" i="3"/>
  <c r="AL185" i="3"/>
  <c r="AK185" i="3"/>
  <c r="AL177" i="3"/>
  <c r="AK177" i="3"/>
  <c r="AJ177" i="3"/>
  <c r="AL169" i="3"/>
  <c r="AK169" i="3"/>
  <c r="AJ169" i="3"/>
  <c r="AL161" i="3"/>
  <c r="AJ161" i="3"/>
  <c r="AK161" i="3"/>
  <c r="AL153" i="3"/>
  <c r="AK153" i="3"/>
  <c r="AJ153" i="3"/>
  <c r="AK145" i="3"/>
  <c r="AL145" i="3"/>
  <c r="AJ145" i="3"/>
  <c r="AK137" i="3"/>
  <c r="AJ137" i="3"/>
  <c r="AL137" i="3"/>
  <c r="AK129" i="3"/>
  <c r="AL129" i="3"/>
  <c r="AJ129" i="3"/>
  <c r="AJ121" i="3"/>
  <c r="AL121" i="3"/>
  <c r="AK121" i="3"/>
  <c r="AL113" i="3"/>
  <c r="AK113" i="3"/>
  <c r="AJ113" i="3"/>
  <c r="AL106" i="3"/>
  <c r="AK106" i="3"/>
  <c r="AJ106" i="3"/>
  <c r="AL98" i="3"/>
  <c r="AK98" i="3"/>
  <c r="AJ98" i="3"/>
  <c r="AJ90" i="3"/>
  <c r="AL90" i="3"/>
  <c r="AK90" i="3"/>
  <c r="AL82" i="3"/>
  <c r="AK82" i="3"/>
  <c r="AJ82" i="3"/>
  <c r="AK74" i="3"/>
  <c r="AJ74" i="3"/>
  <c r="AL74" i="3"/>
  <c r="AL66" i="3"/>
  <c r="AK66" i="3"/>
  <c r="AJ66" i="3"/>
  <c r="AL58" i="3"/>
  <c r="AJ58" i="3"/>
  <c r="AK58" i="3"/>
  <c r="AL50" i="3"/>
  <c r="AK50" i="3"/>
  <c r="AJ50" i="3"/>
  <c r="AK42" i="3"/>
  <c r="AJ42" i="3"/>
  <c r="AL42" i="3"/>
  <c r="AJ34" i="3"/>
  <c r="AL34" i="3"/>
  <c r="AK34" i="3"/>
  <c r="AL26" i="3"/>
  <c r="AK26" i="3"/>
  <c r="AJ26" i="3"/>
  <c r="AJ18" i="3"/>
  <c r="AL18" i="3"/>
  <c r="AK18" i="3"/>
  <c r="AK10" i="3"/>
  <c r="AL10" i="3"/>
  <c r="AJ10" i="3"/>
  <c r="AI10" i="3" s="1"/>
  <c r="AI464" i="3"/>
  <c r="AM464" i="3" s="1"/>
  <c r="AQ464" i="3" s="1"/>
  <c r="AK464" i="3"/>
  <c r="AJ464" i="3"/>
  <c r="AL464" i="3"/>
  <c r="AK456" i="3"/>
  <c r="AJ456" i="3"/>
  <c r="AI456" i="3"/>
  <c r="AM456" i="3" s="1"/>
  <c r="AQ456" i="3" s="1"/>
  <c r="AL456" i="3"/>
  <c r="AK448" i="3"/>
  <c r="AJ448" i="3"/>
  <c r="AL448" i="3"/>
  <c r="AI448" i="3"/>
  <c r="AM448" i="3" s="1"/>
  <c r="AQ448" i="3" s="1"/>
  <c r="AL440" i="3"/>
  <c r="AK440" i="3"/>
  <c r="AJ440" i="3"/>
  <c r="AI440" i="3"/>
  <c r="AM440" i="3" s="1"/>
  <c r="AQ440" i="3" s="1"/>
  <c r="AI432" i="3"/>
  <c r="AM432" i="3" s="1"/>
  <c r="AQ432" i="3" s="1"/>
  <c r="AK432" i="3"/>
  <c r="AJ432" i="3"/>
  <c r="AL432" i="3"/>
  <c r="AL424" i="3"/>
  <c r="AI424" i="3"/>
  <c r="AM424" i="3" s="1"/>
  <c r="AQ424" i="3" s="1"/>
  <c r="AK424" i="3"/>
  <c r="AJ424" i="3"/>
  <c r="AK416" i="3"/>
  <c r="AI416" i="3"/>
  <c r="AM416" i="3" s="1"/>
  <c r="AQ416" i="3" s="1"/>
  <c r="AJ416" i="3"/>
  <c r="AL416" i="3"/>
  <c r="AI408" i="3"/>
  <c r="AM408" i="3" s="1"/>
  <c r="AQ408" i="3" s="1"/>
  <c r="AL408" i="3"/>
  <c r="AK408" i="3"/>
  <c r="AJ408" i="3"/>
  <c r="AI400" i="3"/>
  <c r="AM400" i="3" s="1"/>
  <c r="AQ400" i="3" s="1"/>
  <c r="AK400" i="3"/>
  <c r="AL400" i="3"/>
  <c r="AJ400" i="3"/>
  <c r="AK392" i="3"/>
  <c r="AJ392" i="3"/>
  <c r="AL392" i="3"/>
  <c r="AI392" i="3"/>
  <c r="AM392" i="3" s="1"/>
  <c r="AQ392" i="3" s="1"/>
  <c r="AK384" i="3"/>
  <c r="AL384" i="3"/>
  <c r="AJ384" i="3"/>
  <c r="AI384" i="3"/>
  <c r="AM384" i="3" s="1"/>
  <c r="AQ384" i="3" s="1"/>
  <c r="AL376" i="3"/>
  <c r="AK376" i="3"/>
  <c r="AJ376" i="3"/>
  <c r="AK368" i="3"/>
  <c r="AJ368" i="3"/>
  <c r="AL368" i="3"/>
  <c r="AL360" i="3"/>
  <c r="AK360" i="3"/>
  <c r="AJ360" i="3"/>
  <c r="AK352" i="3"/>
  <c r="AJ352" i="3"/>
  <c r="AL352" i="3"/>
  <c r="AK344" i="3"/>
  <c r="AJ344" i="3"/>
  <c r="AL344" i="3"/>
  <c r="AL336" i="3"/>
  <c r="AK336" i="3"/>
  <c r="AJ336" i="3"/>
  <c r="AK328" i="3"/>
  <c r="AJ328" i="3"/>
  <c r="AL328" i="3"/>
  <c r="AK320" i="3"/>
  <c r="AJ320" i="3"/>
  <c r="AL320" i="3"/>
  <c r="AK312" i="3"/>
  <c r="AJ312" i="3"/>
  <c r="AL312" i="3"/>
  <c r="AL304" i="3"/>
  <c r="AK304" i="3"/>
  <c r="AJ304" i="3"/>
  <c r="AL296" i="3"/>
  <c r="AK296" i="3"/>
  <c r="AJ296" i="3"/>
  <c r="AK288" i="3"/>
  <c r="AL288" i="3"/>
  <c r="AJ288" i="3"/>
  <c r="AK280" i="3"/>
  <c r="AJ280" i="3"/>
  <c r="AL280" i="3"/>
  <c r="AL272" i="3"/>
  <c r="AK272" i="3"/>
  <c r="AJ272" i="3"/>
  <c r="AK264" i="3"/>
  <c r="AJ264" i="3"/>
  <c r="AL264" i="3"/>
  <c r="AK256" i="3"/>
  <c r="AJ256" i="3"/>
  <c r="AL256" i="3"/>
  <c r="AL248" i="3"/>
  <c r="AK248" i="3"/>
  <c r="AJ248" i="3"/>
  <c r="AJ240" i="3"/>
  <c r="AK240" i="3"/>
  <c r="AL240" i="3"/>
  <c r="AL232" i="3"/>
  <c r="AJ232" i="3"/>
  <c r="AK232" i="3"/>
  <c r="AL224" i="3"/>
  <c r="AJ224" i="3"/>
  <c r="AK224" i="3"/>
  <c r="AJ216" i="3"/>
  <c r="AL216" i="3"/>
  <c r="AK216" i="3"/>
  <c r="AK208" i="3"/>
  <c r="AJ208" i="3"/>
  <c r="AL208" i="3"/>
  <c r="AL200" i="3"/>
  <c r="AJ200" i="3"/>
  <c r="AK200" i="3"/>
  <c r="AK192" i="3"/>
  <c r="AJ192" i="3"/>
  <c r="AL192" i="3"/>
  <c r="AK184" i="3"/>
  <c r="AJ184" i="3"/>
  <c r="AL184" i="3"/>
  <c r="AL176" i="3"/>
  <c r="AJ176" i="3"/>
  <c r="AK176" i="3"/>
  <c r="AL168" i="3"/>
  <c r="AK168" i="3"/>
  <c r="AJ168" i="3"/>
  <c r="AL160" i="3"/>
  <c r="AJ160" i="3"/>
  <c r="AK160" i="3"/>
  <c r="AL152" i="3"/>
  <c r="AK152" i="3"/>
  <c r="AJ152" i="3"/>
  <c r="AJ144" i="3"/>
  <c r="AK144" i="3"/>
  <c r="AL144" i="3"/>
  <c r="AK136" i="3"/>
  <c r="AL136" i="3"/>
  <c r="AJ136" i="3"/>
  <c r="AL128" i="3"/>
  <c r="AJ128" i="3"/>
  <c r="AK128" i="3"/>
  <c r="AK120" i="3"/>
  <c r="AJ120" i="3"/>
  <c r="AL120" i="3"/>
  <c r="AI112" i="3"/>
  <c r="AM112" i="3" s="1"/>
  <c r="AQ112" i="3" s="1"/>
  <c r="AK112" i="3"/>
  <c r="AJ112" i="3"/>
  <c r="AL112" i="3"/>
  <c r="AL105" i="3"/>
  <c r="AK105" i="3"/>
  <c r="AJ105" i="3"/>
  <c r="AL97" i="3"/>
  <c r="AK97" i="3"/>
  <c r="AJ97" i="3"/>
  <c r="AL89" i="3"/>
  <c r="AK89" i="3"/>
  <c r="AJ89" i="3"/>
  <c r="AL81" i="3"/>
  <c r="AK81" i="3"/>
  <c r="AJ81" i="3"/>
  <c r="AI81" i="3"/>
  <c r="AM81" i="3" s="1"/>
  <c r="AQ81" i="3" s="1"/>
  <c r="AK73" i="3"/>
  <c r="AJ73" i="3"/>
  <c r="AL73" i="3"/>
  <c r="AL65" i="3"/>
  <c r="AJ65" i="3"/>
  <c r="AK65" i="3"/>
  <c r="AL57" i="3"/>
  <c r="AK57" i="3"/>
  <c r="AI57" i="3"/>
  <c r="AM57" i="3" s="1"/>
  <c r="AQ57" i="3" s="1"/>
  <c r="AJ57" i="3"/>
  <c r="AL49" i="3"/>
  <c r="AK49" i="3"/>
  <c r="AJ49" i="3"/>
  <c r="AK41" i="3"/>
  <c r="AJ41" i="3"/>
  <c r="AL41" i="3"/>
  <c r="AK33" i="3"/>
  <c r="AJ33" i="3"/>
  <c r="AL33" i="3"/>
  <c r="AL25" i="3"/>
  <c r="AJ25" i="3"/>
  <c r="AK25" i="3"/>
  <c r="AL17" i="3"/>
  <c r="AK17" i="3"/>
  <c r="AJ17" i="3"/>
  <c r="AL9" i="3"/>
  <c r="AJ9" i="3"/>
  <c r="AK9" i="3"/>
  <c r="AK2" i="3"/>
  <c r="AL2" i="3"/>
  <c r="AJ2" i="3"/>
  <c r="AL462" i="3"/>
  <c r="AI462" i="3"/>
  <c r="AM462" i="3" s="1"/>
  <c r="AQ462" i="3" s="1"/>
  <c r="AK462" i="3"/>
  <c r="AJ462" i="3"/>
  <c r="AI438" i="3"/>
  <c r="AM438" i="3" s="1"/>
  <c r="AQ438" i="3" s="1"/>
  <c r="AK438" i="3"/>
  <c r="AL438" i="3"/>
  <c r="AJ438" i="3"/>
  <c r="AI414" i="3"/>
  <c r="AM414" i="3" s="1"/>
  <c r="AQ414" i="3" s="1"/>
  <c r="AL414" i="3"/>
  <c r="AJ414" i="3"/>
  <c r="AK414" i="3"/>
  <c r="AL398" i="3"/>
  <c r="AI398" i="3"/>
  <c r="AM398" i="3" s="1"/>
  <c r="AQ398" i="3" s="1"/>
  <c r="AK398" i="3"/>
  <c r="AJ398" i="3"/>
  <c r="AI390" i="3"/>
  <c r="AM390" i="3" s="1"/>
  <c r="AQ390" i="3" s="1"/>
  <c r="AL390" i="3"/>
  <c r="AK390" i="3"/>
  <c r="AJ390" i="3"/>
  <c r="AK374" i="3"/>
  <c r="AL374" i="3"/>
  <c r="AJ374" i="3"/>
  <c r="AL366" i="3"/>
  <c r="AK366" i="3"/>
  <c r="AJ366" i="3"/>
  <c r="AJ350" i="3"/>
  <c r="AL350" i="3"/>
  <c r="AK350" i="3"/>
  <c r="AL334" i="3"/>
  <c r="AK334" i="3"/>
  <c r="AJ334" i="3"/>
  <c r="AL318" i="3"/>
  <c r="AJ318" i="3"/>
  <c r="AK318" i="3"/>
  <c r="AL302" i="3"/>
  <c r="AJ302" i="3"/>
  <c r="AK302" i="3"/>
  <c r="AK286" i="3"/>
  <c r="AJ286" i="3"/>
  <c r="AL286" i="3"/>
  <c r="AL270" i="3"/>
  <c r="AK270" i="3"/>
  <c r="AJ270" i="3"/>
  <c r="AL254" i="3"/>
  <c r="AK254" i="3"/>
  <c r="AJ254" i="3"/>
  <c r="AK238" i="3"/>
  <c r="AL238" i="3"/>
  <c r="AJ238" i="3"/>
  <c r="AK230" i="3"/>
  <c r="AL230" i="3"/>
  <c r="AJ230" i="3"/>
  <c r="AK214" i="3"/>
  <c r="AL214" i="3"/>
  <c r="AJ214" i="3"/>
  <c r="AK198" i="3"/>
  <c r="AL198" i="3"/>
  <c r="AJ198" i="3"/>
  <c r="AK182" i="3"/>
  <c r="AL182" i="3"/>
  <c r="AJ182" i="3"/>
  <c r="AK166" i="3"/>
  <c r="AL166" i="3"/>
  <c r="AJ166" i="3"/>
  <c r="AI158" i="3"/>
  <c r="AM158" i="3" s="1"/>
  <c r="AQ158" i="3" s="1"/>
  <c r="AK158" i="3"/>
  <c r="AJ158" i="3"/>
  <c r="AL158" i="3"/>
  <c r="AK142" i="3"/>
  <c r="AL142" i="3"/>
  <c r="AJ142" i="3"/>
  <c r="AK126" i="3"/>
  <c r="AJ126" i="3"/>
  <c r="AL126" i="3"/>
  <c r="AK103" i="3"/>
  <c r="AL103" i="3"/>
  <c r="AJ103" i="3"/>
  <c r="AL71" i="3"/>
  <c r="AK71" i="3"/>
  <c r="AJ71" i="3"/>
  <c r="AL63" i="3"/>
  <c r="AK63" i="3"/>
  <c r="AJ63" i="3"/>
  <c r="AL47" i="3"/>
  <c r="AK47" i="3"/>
  <c r="AJ47" i="3"/>
  <c r="AL31" i="3"/>
  <c r="AK31" i="3"/>
  <c r="AJ31" i="3"/>
  <c r="AL15" i="3"/>
  <c r="AK15" i="3"/>
  <c r="AJ15" i="3"/>
  <c r="AL7" i="3"/>
  <c r="AK7" i="3"/>
  <c r="AJ7" i="3"/>
  <c r="AL461" i="3"/>
  <c r="AK461" i="3"/>
  <c r="AI461" i="3"/>
  <c r="AM461" i="3" s="1"/>
  <c r="AQ461" i="3" s="1"/>
  <c r="AJ461" i="3"/>
  <c r="AI453" i="3"/>
  <c r="AM453" i="3" s="1"/>
  <c r="AQ453" i="3" s="1"/>
  <c r="AJ453" i="3"/>
  <c r="AK453" i="3"/>
  <c r="AL453" i="3"/>
  <c r="AL429" i="3"/>
  <c r="AK429" i="3"/>
  <c r="AJ429" i="3"/>
  <c r="AI429" i="3"/>
  <c r="AM429" i="3" s="1"/>
  <c r="AQ429" i="3" s="1"/>
  <c r="AI405" i="3"/>
  <c r="AM405" i="3" s="1"/>
  <c r="AQ405" i="3" s="1"/>
  <c r="AK405" i="3"/>
  <c r="AJ405" i="3"/>
  <c r="AL405" i="3"/>
  <c r="AL389" i="3"/>
  <c r="AJ389" i="3"/>
  <c r="AI389" i="3"/>
  <c r="AM389" i="3" s="1"/>
  <c r="AQ389" i="3" s="1"/>
  <c r="AK389" i="3"/>
  <c r="AK373" i="3"/>
  <c r="AL373" i="3"/>
  <c r="AJ373" i="3"/>
  <c r="AL357" i="3"/>
  <c r="AK357" i="3"/>
  <c r="AJ357" i="3"/>
  <c r="AL333" i="3"/>
  <c r="AK333" i="3"/>
  <c r="AJ333" i="3"/>
  <c r="AL317" i="3"/>
  <c r="AJ317" i="3"/>
  <c r="AK317" i="3"/>
  <c r="AL293" i="3"/>
  <c r="AJ293" i="3"/>
  <c r="AK293" i="3"/>
  <c r="AK277" i="3"/>
  <c r="AL277" i="3"/>
  <c r="AJ277" i="3"/>
  <c r="AL269" i="3"/>
  <c r="AK269" i="3"/>
  <c r="AJ269" i="3"/>
  <c r="AL253" i="3"/>
  <c r="AK253" i="3"/>
  <c r="AJ253" i="3"/>
  <c r="AL237" i="3"/>
  <c r="AK237" i="3"/>
  <c r="AJ237" i="3"/>
  <c r="AK221" i="3"/>
  <c r="AL221" i="3"/>
  <c r="AJ221" i="3"/>
  <c r="AL197" i="3"/>
  <c r="AK197" i="3"/>
  <c r="AJ197" i="3"/>
  <c r="AK173" i="3"/>
  <c r="AJ173" i="3"/>
  <c r="AL173" i="3"/>
  <c r="AJ149" i="3"/>
  <c r="AL149" i="3"/>
  <c r="AK149" i="3"/>
  <c r="AL133" i="3"/>
  <c r="AJ133" i="3"/>
  <c r="AK133" i="3"/>
  <c r="AK102" i="3"/>
  <c r="AJ102" i="3"/>
  <c r="AL102" i="3"/>
  <c r="AK86" i="3"/>
  <c r="AL86" i="3"/>
  <c r="AJ86" i="3"/>
  <c r="AL70" i="3"/>
  <c r="AK70" i="3"/>
  <c r="AJ70" i="3"/>
  <c r="AK54" i="3"/>
  <c r="AL54" i="3"/>
  <c r="AJ54" i="3"/>
  <c r="AL46" i="3"/>
  <c r="AJ46" i="3"/>
  <c r="AK46" i="3"/>
  <c r="AL30" i="3"/>
  <c r="AJ30" i="3"/>
  <c r="AK30" i="3"/>
  <c r="AL14" i="3"/>
  <c r="AJ14" i="3"/>
  <c r="AK14" i="3"/>
  <c r="AI460" i="3"/>
  <c r="AM460" i="3" s="1"/>
  <c r="AQ460" i="3" s="1"/>
  <c r="AL460" i="3"/>
  <c r="AK460" i="3"/>
  <c r="AJ460" i="3"/>
  <c r="AL452" i="3"/>
  <c r="AI452" i="3"/>
  <c r="AM452" i="3" s="1"/>
  <c r="AQ452" i="3" s="1"/>
  <c r="AK452" i="3"/>
  <c r="AJ452" i="3"/>
  <c r="AI436" i="3"/>
  <c r="AM436" i="3" s="1"/>
  <c r="AQ436" i="3" s="1"/>
  <c r="AL436" i="3"/>
  <c r="AJ436" i="3"/>
  <c r="AK436" i="3"/>
  <c r="AL420" i="3"/>
  <c r="AI420" i="3"/>
  <c r="AM420" i="3" s="1"/>
  <c r="AQ420" i="3" s="1"/>
  <c r="AJ420" i="3"/>
  <c r="AK420" i="3"/>
  <c r="AI404" i="3"/>
  <c r="AM404" i="3" s="1"/>
  <c r="AQ404" i="3" s="1"/>
  <c r="AJ404" i="3"/>
  <c r="AL404" i="3"/>
  <c r="AK404" i="3"/>
  <c r="AL388" i="3"/>
  <c r="AI388" i="3"/>
  <c r="AM388" i="3" s="1"/>
  <c r="AQ388" i="3" s="1"/>
  <c r="AK388" i="3"/>
  <c r="AJ388" i="3"/>
  <c r="AL372" i="3"/>
  <c r="AK372" i="3"/>
  <c r="AJ372" i="3"/>
  <c r="AL356" i="3"/>
  <c r="AJ356" i="3"/>
  <c r="AK356" i="3"/>
  <c r="AK340" i="3"/>
  <c r="AJ340" i="3"/>
  <c r="AL340" i="3"/>
  <c r="AL324" i="3"/>
  <c r="AK324" i="3"/>
  <c r="AJ324" i="3"/>
  <c r="AL308" i="3"/>
  <c r="AK308" i="3"/>
  <c r="AJ308" i="3"/>
  <c r="AK300" i="3"/>
  <c r="AJ300" i="3"/>
  <c r="AL300" i="3"/>
  <c r="AL284" i="3"/>
  <c r="AJ284" i="3"/>
  <c r="AK284" i="3"/>
  <c r="AL276" i="3"/>
  <c r="AJ276" i="3"/>
  <c r="AK276" i="3"/>
  <c r="AL260" i="3"/>
  <c r="AK260" i="3"/>
  <c r="AJ260" i="3"/>
  <c r="AL244" i="3"/>
  <c r="AK244" i="3"/>
  <c r="AJ244" i="3"/>
  <c r="AK228" i="3"/>
  <c r="AL228" i="3"/>
  <c r="AJ228" i="3"/>
  <c r="AL212" i="3"/>
  <c r="AJ212" i="3"/>
  <c r="AK212" i="3"/>
  <c r="AL196" i="3"/>
  <c r="AK196" i="3"/>
  <c r="AJ196" i="3"/>
  <c r="AL180" i="3"/>
  <c r="AK180" i="3"/>
  <c r="AJ180" i="3"/>
  <c r="AL164" i="3"/>
  <c r="AK164" i="3"/>
  <c r="AJ164" i="3"/>
  <c r="AJ148" i="3"/>
  <c r="AL148" i="3"/>
  <c r="AK148" i="3"/>
  <c r="AL140" i="3"/>
  <c r="AK140" i="3"/>
  <c r="AJ140" i="3"/>
  <c r="AL124" i="3"/>
  <c r="AK124" i="3"/>
  <c r="AJ124" i="3"/>
  <c r="AK109" i="3"/>
  <c r="AL109" i="3"/>
  <c r="AJ109" i="3"/>
  <c r="AK93" i="3"/>
  <c r="AL93" i="3"/>
  <c r="AJ93" i="3"/>
  <c r="AK85" i="3"/>
  <c r="AJ85" i="3"/>
  <c r="AL85" i="3"/>
  <c r="AL69" i="3"/>
  <c r="AK69" i="3"/>
  <c r="AJ69" i="3"/>
  <c r="AL45" i="3"/>
  <c r="AJ45" i="3"/>
  <c r="AK45" i="3"/>
  <c r="AL29" i="3"/>
  <c r="AK29" i="3"/>
  <c r="AJ29" i="3"/>
  <c r="AK21" i="3"/>
  <c r="AI21" i="3"/>
  <c r="AM21" i="3" s="1"/>
  <c r="AQ21" i="3" s="1"/>
  <c r="AJ21" i="3"/>
  <c r="AL21" i="3"/>
  <c r="AL5" i="3"/>
  <c r="AJ5" i="3"/>
  <c r="AK5" i="3"/>
  <c r="AL467" i="3"/>
  <c r="AI467" i="3"/>
  <c r="AM467" i="3" s="1"/>
  <c r="AQ467" i="3" s="1"/>
  <c r="AJ467" i="3"/>
  <c r="AK467" i="3"/>
  <c r="AI451" i="3"/>
  <c r="AM451" i="3" s="1"/>
  <c r="AQ451" i="3" s="1"/>
  <c r="AL451" i="3"/>
  <c r="AK451" i="3"/>
  <c r="AJ451" i="3"/>
  <c r="AL435" i="3"/>
  <c r="AI435" i="3"/>
  <c r="AM435" i="3" s="1"/>
  <c r="AQ435" i="3" s="1"/>
  <c r="AK435" i="3"/>
  <c r="AJ435" i="3"/>
  <c r="AL419" i="3"/>
  <c r="AI419" i="3"/>
  <c r="AM419" i="3" s="1"/>
  <c r="AQ419" i="3" s="1"/>
  <c r="AK419" i="3"/>
  <c r="AJ419" i="3"/>
  <c r="AL395" i="3"/>
  <c r="AI395" i="3"/>
  <c r="AM395" i="3" s="1"/>
  <c r="AQ395" i="3" s="1"/>
  <c r="AK395" i="3"/>
  <c r="AJ395" i="3"/>
  <c r="AL379" i="3"/>
  <c r="AK379" i="3"/>
  <c r="AJ379" i="3"/>
  <c r="AL363" i="3"/>
  <c r="AK363" i="3"/>
  <c r="AJ363" i="3"/>
  <c r="AL347" i="3"/>
  <c r="AK347" i="3"/>
  <c r="AJ347" i="3"/>
  <c r="AL331" i="3"/>
  <c r="AK331" i="3"/>
  <c r="AJ331" i="3"/>
  <c r="AL315" i="3"/>
  <c r="AJ315" i="3"/>
  <c r="AK315" i="3"/>
  <c r="AL299" i="3"/>
  <c r="AK299" i="3"/>
  <c r="AJ299" i="3"/>
  <c r="AL283" i="3"/>
  <c r="AK283" i="3"/>
  <c r="AJ283" i="3"/>
  <c r="AL275" i="3"/>
  <c r="AJ275" i="3"/>
  <c r="AK275" i="3"/>
  <c r="AL259" i="3"/>
  <c r="AK259" i="3"/>
  <c r="AJ259" i="3"/>
  <c r="AL243" i="3"/>
  <c r="AK243" i="3"/>
  <c r="AJ243" i="3"/>
  <c r="AL227" i="3"/>
  <c r="AJ227" i="3"/>
  <c r="AK227" i="3"/>
  <c r="AL211" i="3"/>
  <c r="AK211" i="3"/>
  <c r="AJ211" i="3"/>
  <c r="AL195" i="3"/>
  <c r="AK195" i="3"/>
  <c r="AJ195" i="3"/>
  <c r="AL179" i="3"/>
  <c r="AJ179" i="3"/>
  <c r="AK179" i="3"/>
  <c r="AL163" i="3"/>
  <c r="AJ163" i="3"/>
  <c r="AK163" i="3"/>
  <c r="AL147" i="3"/>
  <c r="AK147" i="3"/>
  <c r="AJ147" i="3"/>
  <c r="AL131" i="3"/>
  <c r="AJ131" i="3"/>
  <c r="AK131" i="3"/>
  <c r="AL115" i="3"/>
  <c r="AJ115" i="3"/>
  <c r="AK115" i="3"/>
  <c r="AL108" i="3"/>
  <c r="AJ108" i="3"/>
  <c r="AK108" i="3"/>
  <c r="AL92" i="3"/>
  <c r="AJ92" i="3"/>
  <c r="AK92" i="3"/>
  <c r="AJ76" i="3"/>
  <c r="AK76" i="3"/>
  <c r="AL76" i="3"/>
  <c r="AJ60" i="3"/>
  <c r="AK60" i="3"/>
  <c r="AL60" i="3"/>
  <c r="AJ44" i="3"/>
  <c r="AK44" i="3"/>
  <c r="AL44" i="3"/>
  <c r="AJ28" i="3"/>
  <c r="AL28" i="3"/>
  <c r="AK28" i="3"/>
  <c r="AL4" i="3"/>
  <c r="AJ4" i="3"/>
  <c r="AK4" i="3"/>
  <c r="AI466" i="3"/>
  <c r="AM466" i="3" s="1"/>
  <c r="AQ466" i="3" s="1"/>
  <c r="AJ466" i="3"/>
  <c r="AK466" i="3"/>
  <c r="AL466" i="3"/>
  <c r="AI458" i="3"/>
  <c r="AM458" i="3" s="1"/>
  <c r="AQ458" i="3" s="1"/>
  <c r="AJ458" i="3"/>
  <c r="AK458" i="3"/>
  <c r="AL458" i="3"/>
  <c r="AI450" i="3"/>
  <c r="AM450" i="3" s="1"/>
  <c r="AQ450" i="3" s="1"/>
  <c r="AL450" i="3"/>
  <c r="AK450" i="3"/>
  <c r="AJ450" i="3"/>
  <c r="AI442" i="3"/>
  <c r="AM442" i="3" s="1"/>
  <c r="AQ442" i="3" s="1"/>
  <c r="AL442" i="3"/>
  <c r="AJ442" i="3"/>
  <c r="AK442" i="3"/>
  <c r="AI434" i="3"/>
  <c r="AM434" i="3" s="1"/>
  <c r="AQ434" i="3" s="1"/>
  <c r="AJ434" i="3"/>
  <c r="AL434" i="3"/>
  <c r="AK434" i="3"/>
  <c r="AI426" i="3"/>
  <c r="AM426" i="3" s="1"/>
  <c r="AQ426" i="3" s="1"/>
  <c r="AL426" i="3"/>
  <c r="AJ426" i="3"/>
  <c r="AK426" i="3"/>
  <c r="AI418" i="3"/>
  <c r="AM418" i="3" s="1"/>
  <c r="AQ418" i="3" s="1"/>
  <c r="AL418" i="3"/>
  <c r="AJ418" i="3"/>
  <c r="AK418" i="3"/>
  <c r="AI410" i="3"/>
  <c r="AM410" i="3" s="1"/>
  <c r="AQ410" i="3" s="1"/>
  <c r="AJ410" i="3"/>
  <c r="AL410" i="3"/>
  <c r="AK410" i="3"/>
  <c r="AI402" i="3"/>
  <c r="AM402" i="3" s="1"/>
  <c r="AQ402" i="3" s="1"/>
  <c r="AL402" i="3"/>
  <c r="AJ402" i="3"/>
  <c r="AK402" i="3"/>
  <c r="AI394" i="3"/>
  <c r="AM394" i="3" s="1"/>
  <c r="AQ394" i="3" s="1"/>
  <c r="AJ394" i="3"/>
  <c r="AK394" i="3"/>
  <c r="AL394" i="3"/>
  <c r="AI386" i="3"/>
  <c r="AM386" i="3" s="1"/>
  <c r="AQ386" i="3" s="1"/>
  <c r="AL386" i="3"/>
  <c r="AK386" i="3"/>
  <c r="AJ386" i="3"/>
  <c r="AL378" i="3"/>
  <c r="AJ378" i="3"/>
  <c r="AI378" i="3" s="1"/>
  <c r="AK378" i="3"/>
  <c r="AJ370" i="3"/>
  <c r="AL370" i="3"/>
  <c r="AK370" i="3"/>
  <c r="AJ362" i="3"/>
  <c r="AL362" i="3"/>
  <c r="AK362" i="3"/>
  <c r="AK354" i="3"/>
  <c r="AJ354" i="3"/>
  <c r="AL354" i="3"/>
  <c r="AL346" i="3"/>
  <c r="AJ346" i="3"/>
  <c r="AK346" i="3"/>
  <c r="AJ338" i="3"/>
  <c r="AL338" i="3"/>
  <c r="AK338" i="3"/>
  <c r="AL330" i="3"/>
  <c r="AJ330" i="3"/>
  <c r="AK330" i="3"/>
  <c r="AJ322" i="3"/>
  <c r="AK322" i="3"/>
  <c r="AL322" i="3"/>
  <c r="AL314" i="3"/>
  <c r="AJ314" i="3"/>
  <c r="AK314" i="3"/>
  <c r="AL306" i="3"/>
  <c r="AJ306" i="3"/>
  <c r="AK306" i="3"/>
  <c r="AJ298" i="3"/>
  <c r="AK298" i="3"/>
  <c r="AL298" i="3"/>
  <c r="AK290" i="3"/>
  <c r="AL290" i="3"/>
  <c r="AJ290" i="3"/>
  <c r="AL282" i="3"/>
  <c r="AJ282" i="3"/>
  <c r="AK282" i="3"/>
  <c r="AL258" i="3"/>
  <c r="AK258" i="3"/>
  <c r="AJ258" i="3"/>
  <c r="AL242" i="3"/>
  <c r="AJ242" i="3"/>
  <c r="AK242" i="3"/>
  <c r="AK218" i="3"/>
  <c r="AJ218" i="3"/>
  <c r="AL218" i="3"/>
  <c r="AL162" i="3"/>
  <c r="AJ162" i="3"/>
  <c r="AK162" i="3"/>
  <c r="AI463" i="3"/>
  <c r="AM463" i="3" s="1"/>
  <c r="AQ463" i="3" s="1"/>
  <c r="AK463" i="3"/>
  <c r="AL463" i="3"/>
  <c r="AJ463" i="3"/>
  <c r="AK455" i="3"/>
  <c r="AI455" i="3"/>
  <c r="AM455" i="3" s="1"/>
  <c r="AQ455" i="3" s="1"/>
  <c r="AL455" i="3"/>
  <c r="AJ455" i="3"/>
  <c r="AK447" i="3"/>
  <c r="AJ447" i="3"/>
  <c r="AL447" i="3"/>
  <c r="AI447" i="3"/>
  <c r="AM447" i="3" s="1"/>
  <c r="AQ447" i="3" s="1"/>
  <c r="AL439" i="3"/>
  <c r="AK439" i="3"/>
  <c r="AI439" i="3"/>
  <c r="AM439" i="3" s="1"/>
  <c r="AQ439" i="3" s="1"/>
  <c r="AJ439" i="3"/>
  <c r="AI431" i="3"/>
  <c r="AM431" i="3" s="1"/>
  <c r="AQ431" i="3" s="1"/>
  <c r="AK431" i="3"/>
  <c r="AL431" i="3"/>
  <c r="AJ431" i="3"/>
  <c r="AI423" i="3"/>
  <c r="AM423" i="3" s="1"/>
  <c r="AQ423" i="3" s="1"/>
  <c r="AK423" i="3"/>
  <c r="AL423" i="3"/>
  <c r="AJ423" i="3"/>
  <c r="AL415" i="3"/>
  <c r="AK415" i="3"/>
  <c r="AJ415" i="3"/>
  <c r="AI415" i="3"/>
  <c r="AM415" i="3" s="1"/>
  <c r="AQ415" i="3" s="1"/>
  <c r="AK407" i="3"/>
  <c r="AI407" i="3"/>
  <c r="AM407" i="3" s="1"/>
  <c r="AQ407" i="3" s="1"/>
  <c r="AJ407" i="3"/>
  <c r="AL407" i="3"/>
  <c r="AK399" i="3"/>
  <c r="AL399" i="3"/>
  <c r="AI399" i="3"/>
  <c r="AM399" i="3" s="1"/>
  <c r="AQ399" i="3" s="1"/>
  <c r="AJ399" i="3"/>
  <c r="AI391" i="3"/>
  <c r="AM391" i="3" s="1"/>
  <c r="AQ391" i="3" s="1"/>
  <c r="AK391" i="3"/>
  <c r="AL391" i="3"/>
  <c r="AJ391" i="3"/>
  <c r="AK383" i="3"/>
  <c r="AJ383" i="3"/>
  <c r="AL383" i="3"/>
  <c r="AK375" i="3"/>
  <c r="AL375" i="3"/>
  <c r="AJ375" i="3"/>
  <c r="AK367" i="3"/>
  <c r="AL367" i="3"/>
  <c r="AJ367" i="3"/>
  <c r="AK359" i="3"/>
  <c r="AL359" i="3"/>
  <c r="AJ359" i="3"/>
  <c r="AL351" i="3"/>
  <c r="AK351" i="3"/>
  <c r="AJ351" i="3"/>
  <c r="AK343" i="3"/>
  <c r="AL343" i="3"/>
  <c r="AJ343" i="3"/>
  <c r="AL335" i="3"/>
  <c r="AK335" i="3"/>
  <c r="AJ335" i="3"/>
  <c r="AK327" i="3"/>
  <c r="AJ327" i="3"/>
  <c r="AL327" i="3"/>
  <c r="AK319" i="3"/>
  <c r="AL319" i="3"/>
  <c r="AJ319" i="3"/>
  <c r="AK311" i="3"/>
  <c r="AJ311" i="3"/>
  <c r="AL311" i="3"/>
  <c r="AL303" i="3"/>
  <c r="AK303" i="3"/>
  <c r="AI303" i="3"/>
  <c r="AM303" i="3" s="1"/>
  <c r="AQ303" i="3" s="1"/>
  <c r="AJ303" i="3"/>
  <c r="AK295" i="3"/>
  <c r="AL295" i="3"/>
  <c r="AJ295" i="3"/>
  <c r="AL287" i="3"/>
  <c r="AK287" i="3"/>
  <c r="AJ287" i="3"/>
  <c r="AK279" i="3"/>
  <c r="AL279" i="3"/>
  <c r="AJ279" i="3"/>
  <c r="AK271" i="3"/>
  <c r="AL271" i="3"/>
  <c r="AJ271" i="3"/>
  <c r="AK263" i="3"/>
  <c r="AL263" i="3"/>
  <c r="AJ263" i="3"/>
  <c r="AK255" i="3"/>
  <c r="AL255" i="3"/>
  <c r="AJ255" i="3"/>
  <c r="AK247" i="3"/>
  <c r="AL247" i="3"/>
  <c r="AJ247" i="3"/>
  <c r="AK239" i="3"/>
  <c r="AJ239" i="3"/>
  <c r="AL239" i="3"/>
  <c r="AL231" i="3"/>
  <c r="AJ231" i="3"/>
  <c r="AK231" i="3"/>
  <c r="AL223" i="3"/>
  <c r="AK223" i="3"/>
  <c r="AJ223" i="3"/>
  <c r="AL215" i="3"/>
  <c r="AK215" i="3"/>
  <c r="AJ215" i="3"/>
  <c r="AK207" i="3"/>
  <c r="AJ207" i="3"/>
  <c r="AL207" i="3"/>
  <c r="AK199" i="3"/>
  <c r="AL199" i="3"/>
  <c r="AJ199" i="3"/>
  <c r="AK191" i="3"/>
  <c r="AL191" i="3"/>
  <c r="AJ191" i="3"/>
  <c r="AJ183" i="3"/>
  <c r="AL183" i="3"/>
  <c r="AK183" i="3"/>
  <c r="AK175" i="3"/>
  <c r="AL175" i="3"/>
  <c r="AJ175" i="3"/>
  <c r="AK167" i="3"/>
  <c r="AJ167" i="3"/>
  <c r="AL167" i="3"/>
  <c r="AL159" i="3"/>
  <c r="AJ159" i="3"/>
  <c r="AK159" i="3"/>
  <c r="AL151" i="3"/>
  <c r="AK151" i="3"/>
  <c r="AJ151" i="3"/>
  <c r="AJ143" i="3"/>
  <c r="AK143" i="3"/>
  <c r="AL143" i="3"/>
  <c r="AK135" i="3"/>
  <c r="AL135" i="3"/>
  <c r="AJ135" i="3"/>
  <c r="AL127" i="3"/>
  <c r="AK127" i="3"/>
  <c r="AJ127" i="3"/>
  <c r="AJ119" i="3"/>
  <c r="AL119" i="3"/>
  <c r="AK119" i="3"/>
  <c r="AL104" i="3"/>
  <c r="AJ104" i="3"/>
  <c r="AK104" i="3"/>
  <c r="AL96" i="3"/>
  <c r="AK96" i="3"/>
  <c r="AJ96" i="3"/>
  <c r="AL88" i="3"/>
  <c r="AJ88" i="3"/>
  <c r="AK88" i="3"/>
  <c r="AL80" i="3"/>
  <c r="AK80" i="3"/>
  <c r="AJ80" i="3"/>
  <c r="AJ72" i="3"/>
  <c r="AL72" i="3"/>
  <c r="AK72" i="3"/>
  <c r="AL64" i="3"/>
  <c r="AK64" i="3"/>
  <c r="AJ64" i="3"/>
  <c r="AL56" i="3"/>
  <c r="AJ56" i="3"/>
  <c r="AK56" i="3"/>
  <c r="AL48" i="3"/>
  <c r="AK48" i="3"/>
  <c r="AJ48" i="3"/>
  <c r="AL40" i="3"/>
  <c r="AK40" i="3"/>
  <c r="AJ40" i="3"/>
  <c r="AK32" i="3"/>
  <c r="AI32" i="3"/>
  <c r="AM32" i="3" s="1"/>
  <c r="AQ32" i="3" s="1"/>
  <c r="AL32" i="3"/>
  <c r="AJ32" i="3"/>
  <c r="AL24" i="3"/>
  <c r="AJ24" i="3"/>
  <c r="AK24" i="3"/>
  <c r="AL16" i="3"/>
  <c r="AJ16" i="3"/>
  <c r="AK16" i="3"/>
  <c r="AL8" i="3"/>
  <c r="AJ8" i="3"/>
  <c r="AK8" i="3"/>
  <c r="AE112" i="3"/>
  <c r="AE303" i="3"/>
  <c r="AE462" i="3"/>
  <c r="AE414" i="3"/>
  <c r="W395" i="3"/>
  <c r="W379" i="3"/>
  <c r="W307" i="3"/>
  <c r="W271" i="3"/>
  <c r="AE458" i="3"/>
  <c r="AE434" i="3"/>
  <c r="AE410" i="3"/>
  <c r="AE394" i="3"/>
  <c r="W391" i="3"/>
  <c r="W375" i="3"/>
  <c r="W327" i="3"/>
  <c r="W295" i="3"/>
  <c r="W275" i="3"/>
  <c r="W251" i="3"/>
  <c r="W211" i="3"/>
  <c r="W139" i="3"/>
  <c r="W123" i="3"/>
  <c r="W108" i="3"/>
  <c r="W92" i="3"/>
  <c r="W76" i="3"/>
  <c r="W52" i="3"/>
  <c r="W44" i="3"/>
  <c r="W28" i="3"/>
  <c r="W20" i="3"/>
  <c r="W467" i="3"/>
  <c r="W435" i="3"/>
  <c r="W419" i="3"/>
  <c r="AE82" i="3"/>
  <c r="AE465" i="3"/>
  <c r="AE449" i="3"/>
  <c r="AE433" i="3"/>
  <c r="AE417" i="3"/>
  <c r="AE401" i="3"/>
  <c r="AE393" i="3"/>
  <c r="AE385" i="3"/>
  <c r="W390" i="3"/>
  <c r="W302" i="3"/>
  <c r="W288" i="3"/>
  <c r="W274" i="3"/>
  <c r="W258" i="3"/>
  <c r="W226" i="3"/>
  <c r="W210" i="3"/>
  <c r="W194" i="3"/>
  <c r="W178" i="3"/>
  <c r="W146" i="3"/>
  <c r="W130" i="3"/>
  <c r="W83" i="3"/>
  <c r="W51" i="3"/>
  <c r="W466" i="3"/>
  <c r="W450" i="3"/>
  <c r="W434" i="3"/>
  <c r="W418" i="3"/>
  <c r="W402" i="3"/>
  <c r="AE81" i="3"/>
  <c r="AE464" i="3"/>
  <c r="AE448" i="3"/>
  <c r="AE432" i="3"/>
  <c r="AE416" i="3"/>
  <c r="AE408" i="3"/>
  <c r="AE392" i="3"/>
  <c r="W397" i="3"/>
  <c r="W381" i="3"/>
  <c r="W301" i="3"/>
  <c r="W233" i="3"/>
  <c r="W217" i="3"/>
  <c r="W201" i="3"/>
  <c r="W185" i="3"/>
  <c r="W153" i="3"/>
  <c r="W106" i="3"/>
  <c r="W90" i="3"/>
  <c r="W74" i="3"/>
  <c r="W50" i="3"/>
  <c r="W10" i="3"/>
  <c r="W457" i="3"/>
  <c r="W433" i="3"/>
  <c r="W409" i="3"/>
  <c r="AE57" i="3"/>
  <c r="AE422" i="3"/>
  <c r="W286" i="3"/>
  <c r="AE466" i="3"/>
  <c r="AE442" i="3"/>
  <c r="AE426" i="3"/>
  <c r="AE402" i="3"/>
  <c r="W399" i="3"/>
  <c r="W383" i="3"/>
  <c r="W335" i="3"/>
  <c r="W311" i="3"/>
  <c r="W289" i="3"/>
  <c r="W267" i="3"/>
  <c r="W235" i="3"/>
  <c r="W219" i="3"/>
  <c r="W187" i="3"/>
  <c r="W155" i="3"/>
  <c r="W68" i="3"/>
  <c r="W451" i="3"/>
  <c r="W427" i="3"/>
  <c r="W403" i="3"/>
  <c r="AE457" i="3"/>
  <c r="AE441" i="3"/>
  <c r="AE425" i="3"/>
  <c r="AE409" i="3"/>
  <c r="W398" i="3"/>
  <c r="W382" i="3"/>
  <c r="W374" i="3"/>
  <c r="W342" i="3"/>
  <c r="W334" i="3"/>
  <c r="W326" i="3"/>
  <c r="W310" i="3"/>
  <c r="W294" i="3"/>
  <c r="W282" i="3"/>
  <c r="W266" i="3"/>
  <c r="W250" i="3"/>
  <c r="W234" i="3"/>
  <c r="W218" i="3"/>
  <c r="W202" i="3"/>
  <c r="W186" i="3"/>
  <c r="W170" i="3"/>
  <c r="W154" i="3"/>
  <c r="W138" i="3"/>
  <c r="W114" i="3"/>
  <c r="W107" i="3"/>
  <c r="W91" i="3"/>
  <c r="W75" i="3"/>
  <c r="W59" i="3"/>
  <c r="W43" i="3"/>
  <c r="W27" i="3"/>
  <c r="W458" i="3"/>
  <c r="W442" i="3"/>
  <c r="W426" i="3"/>
  <c r="W410" i="3"/>
  <c r="AE456" i="3"/>
  <c r="AE440" i="3"/>
  <c r="AE424" i="3"/>
  <c r="AE400" i="3"/>
  <c r="W389" i="3"/>
  <c r="W373" i="3"/>
  <c r="W341" i="3"/>
  <c r="W333" i="3"/>
  <c r="W325" i="3"/>
  <c r="W309" i="3"/>
  <c r="W293" i="3"/>
  <c r="W281" i="3"/>
  <c r="W273" i="3"/>
  <c r="W265" i="3"/>
  <c r="W257" i="3"/>
  <c r="W225" i="3"/>
  <c r="W209" i="3"/>
  <c r="W193" i="3"/>
  <c r="W177" i="3"/>
  <c r="W169" i="3"/>
  <c r="W161" i="3"/>
  <c r="W145" i="3"/>
  <c r="W137" i="3"/>
  <c r="W129" i="3"/>
  <c r="W113" i="3"/>
  <c r="W82" i="3"/>
  <c r="W66" i="3"/>
  <c r="W58" i="3"/>
  <c r="W34" i="3"/>
  <c r="W465" i="3"/>
  <c r="W449" i="3"/>
  <c r="W441" i="3"/>
  <c r="W425" i="3"/>
  <c r="W417" i="3"/>
  <c r="W401" i="3"/>
  <c r="D231" i="3"/>
  <c r="AF231" i="3" s="1"/>
  <c r="AE463" i="3"/>
  <c r="AE455" i="3"/>
  <c r="AE447" i="3"/>
  <c r="AE439" i="3"/>
  <c r="AE431" i="3"/>
  <c r="AE423" i="3"/>
  <c r="AE415" i="3"/>
  <c r="AE407" i="3"/>
  <c r="AE399" i="3"/>
  <c r="AE391" i="3"/>
  <c r="W396" i="3"/>
  <c r="W388" i="3"/>
  <c r="W380" i="3"/>
  <c r="W372" i="3"/>
  <c r="W340" i="3"/>
  <c r="W332" i="3"/>
  <c r="W324" i="3"/>
  <c r="W308" i="3"/>
  <c r="W300" i="3"/>
  <c r="W292" i="3"/>
  <c r="W287" i="3"/>
  <c r="W280" i="3"/>
  <c r="W272" i="3"/>
  <c r="W264" i="3"/>
  <c r="W256" i="3"/>
  <c r="W224" i="3"/>
  <c r="W216" i="3"/>
  <c r="W208" i="3"/>
  <c r="W200" i="3"/>
  <c r="W192" i="3"/>
  <c r="W184" i="3"/>
  <c r="W176" i="3"/>
  <c r="W160" i="3"/>
  <c r="W152" i="3"/>
  <c r="W144" i="3"/>
  <c r="W136" i="3"/>
  <c r="W128" i="3"/>
  <c r="W112" i="3"/>
  <c r="W105" i="3"/>
  <c r="W97" i="3"/>
  <c r="W89" i="3"/>
  <c r="W81" i="3"/>
  <c r="W73" i="3"/>
  <c r="W65" i="3"/>
  <c r="W57" i="3"/>
  <c r="W49" i="3"/>
  <c r="W41" i="3"/>
  <c r="W9" i="3"/>
  <c r="W464" i="3"/>
  <c r="W456" i="3"/>
  <c r="W448" i="3"/>
  <c r="W440" i="3"/>
  <c r="W432" i="3"/>
  <c r="W424" i="3"/>
  <c r="W416" i="3"/>
  <c r="W408" i="3"/>
  <c r="W400" i="3"/>
  <c r="AE446" i="3"/>
  <c r="AE390" i="3"/>
  <c r="W331" i="3"/>
  <c r="W279" i="3"/>
  <c r="W255" i="3"/>
  <c r="W231" i="3"/>
  <c r="W215" i="3"/>
  <c r="W199" i="3"/>
  <c r="W183" i="3"/>
  <c r="W159" i="3"/>
  <c r="W143" i="3"/>
  <c r="W135" i="3"/>
  <c r="W96" i="3"/>
  <c r="W88" i="3"/>
  <c r="W72" i="3"/>
  <c r="W56" i="3"/>
  <c r="W463" i="3"/>
  <c r="W455" i="3"/>
  <c r="W447" i="3"/>
  <c r="W439" i="3"/>
  <c r="W431" i="3"/>
  <c r="W423" i="3"/>
  <c r="W415" i="3"/>
  <c r="W407" i="3"/>
  <c r="D160" i="3"/>
  <c r="AF160" i="3" s="1"/>
  <c r="AE469" i="3"/>
  <c r="AE453" i="3"/>
  <c r="AE437" i="3"/>
  <c r="AE421" i="3"/>
  <c r="AE413" i="3"/>
  <c r="AE397" i="3"/>
  <c r="W386" i="3"/>
  <c r="W330" i="3"/>
  <c r="W314" i="3"/>
  <c r="W298" i="3"/>
  <c r="W278" i="3"/>
  <c r="W262" i="3"/>
  <c r="W214" i="3"/>
  <c r="W190" i="3"/>
  <c r="W150" i="3"/>
  <c r="W134" i="3"/>
  <c r="W126" i="3"/>
  <c r="W111" i="3"/>
  <c r="W87" i="3"/>
  <c r="AE229" i="3"/>
  <c r="AE406" i="3"/>
  <c r="W394" i="3"/>
  <c r="W378" i="3"/>
  <c r="W370" i="3"/>
  <c r="W322" i="3"/>
  <c r="W230" i="3"/>
  <c r="W206" i="3"/>
  <c r="W182" i="3"/>
  <c r="W158" i="3"/>
  <c r="W95" i="3"/>
  <c r="W79" i="3"/>
  <c r="W63" i="3"/>
  <c r="W55" i="3"/>
  <c r="W39" i="3"/>
  <c r="W7" i="3"/>
  <c r="W454" i="3"/>
  <c r="W438" i="3"/>
  <c r="W422" i="3"/>
  <c r="W414" i="3"/>
  <c r="W406" i="3"/>
  <c r="AE158" i="3"/>
  <c r="AE468" i="3"/>
  <c r="AE452" i="3"/>
  <c r="AE436" i="3"/>
  <c r="AE420" i="3"/>
  <c r="AE404" i="3"/>
  <c r="AE396" i="3"/>
  <c r="AE388" i="3"/>
  <c r="W393" i="3"/>
  <c r="W377" i="3"/>
  <c r="W369" i="3"/>
  <c r="W337" i="3"/>
  <c r="W321" i="3"/>
  <c r="W305" i="3"/>
  <c r="W291" i="3"/>
  <c r="W277" i="3"/>
  <c r="W221" i="3"/>
  <c r="W205" i="3"/>
  <c r="W189" i="3"/>
  <c r="W173" i="3"/>
  <c r="W149" i="3"/>
  <c r="W133" i="3"/>
  <c r="W125" i="3"/>
  <c r="W78" i="3"/>
  <c r="W62" i="3"/>
  <c r="W38" i="3"/>
  <c r="W469" i="3"/>
  <c r="W445" i="3"/>
  <c r="AE438" i="3"/>
  <c r="W371" i="3"/>
  <c r="W323" i="3"/>
  <c r="W223" i="3"/>
  <c r="W207" i="3"/>
  <c r="W191" i="3"/>
  <c r="W175" i="3"/>
  <c r="W151" i="3"/>
  <c r="W80" i="3"/>
  <c r="W64" i="3"/>
  <c r="W40" i="3"/>
  <c r="W32" i="3"/>
  <c r="AE461" i="3"/>
  <c r="AE445" i="3"/>
  <c r="AE429" i="3"/>
  <c r="AE405" i="3"/>
  <c r="AE389" i="3"/>
  <c r="W338" i="3"/>
  <c r="W306" i="3"/>
  <c r="W285" i="3"/>
  <c r="W270" i="3"/>
  <c r="W254" i="3"/>
  <c r="W222" i="3"/>
  <c r="W198" i="3"/>
  <c r="W174" i="3"/>
  <c r="W142" i="3"/>
  <c r="W71" i="3"/>
  <c r="W31" i="3"/>
  <c r="W462" i="3"/>
  <c r="W446" i="3"/>
  <c r="W430" i="3"/>
  <c r="AE32" i="3"/>
  <c r="AE460" i="3"/>
  <c r="AE444" i="3"/>
  <c r="AE428" i="3"/>
  <c r="AE412" i="3"/>
  <c r="W385" i="3"/>
  <c r="W313" i="3"/>
  <c r="W297" i="3"/>
  <c r="W269" i="3"/>
  <c r="W261" i="3"/>
  <c r="W253" i="3"/>
  <c r="W237" i="3"/>
  <c r="W229" i="3"/>
  <c r="W213" i="3"/>
  <c r="W197" i="3"/>
  <c r="W181" i="3"/>
  <c r="W165" i="3"/>
  <c r="W157" i="3"/>
  <c r="W141" i="3"/>
  <c r="W110" i="3"/>
  <c r="W94" i="3"/>
  <c r="W86" i="3"/>
  <c r="W70" i="3"/>
  <c r="W54" i="3"/>
  <c r="W461" i="3"/>
  <c r="W453" i="3"/>
  <c r="W437" i="3"/>
  <c r="W429" i="3"/>
  <c r="W421" i="3"/>
  <c r="W413" i="3"/>
  <c r="W405" i="3"/>
  <c r="D23" i="3"/>
  <c r="AF23" i="3" s="1"/>
  <c r="AE467" i="3"/>
  <c r="AE459" i="3"/>
  <c r="AE451" i="3"/>
  <c r="AE443" i="3"/>
  <c r="AE435" i="3"/>
  <c r="AE427" i="3"/>
  <c r="AE419" i="3"/>
  <c r="AE411" i="3"/>
  <c r="AE403" i="3"/>
  <c r="AE395" i="3"/>
  <c r="AE387" i="3"/>
  <c r="W6" i="3"/>
  <c r="W392" i="3"/>
  <c r="W384" i="3"/>
  <c r="W376" i="3"/>
  <c r="W368" i="3"/>
  <c r="W336" i="3"/>
  <c r="W328" i="3"/>
  <c r="W320" i="3"/>
  <c r="W312" i="3"/>
  <c r="W296" i="3"/>
  <c r="W290" i="3"/>
  <c r="W283" i="3"/>
  <c r="W276" i="3"/>
  <c r="W268" i="3"/>
  <c r="W260" i="3"/>
  <c r="W252" i="3"/>
  <c r="W236" i="3"/>
  <c r="W228" i="3"/>
  <c r="W220" i="3"/>
  <c r="W212" i="3"/>
  <c r="W204" i="3"/>
  <c r="W196" i="3"/>
  <c r="W188" i="3"/>
  <c r="W180" i="3"/>
  <c r="W172" i="3"/>
  <c r="W156" i="3"/>
  <c r="W148" i="3"/>
  <c r="W140" i="3"/>
  <c r="W132" i="3"/>
  <c r="W124" i="3"/>
  <c r="W109" i="3"/>
  <c r="W93" i="3"/>
  <c r="W85" i="3"/>
  <c r="W77" i="3"/>
  <c r="W69" i="3"/>
  <c r="W61" i="3"/>
  <c r="W53" i="3"/>
  <c r="W45" i="3"/>
  <c r="W37" i="3"/>
  <c r="W29" i="3"/>
  <c r="W21" i="3"/>
  <c r="W468" i="3"/>
  <c r="W460" i="3"/>
  <c r="W452" i="3"/>
  <c r="W444" i="3"/>
  <c r="W436" i="3"/>
  <c r="W428" i="3"/>
  <c r="W420" i="3"/>
  <c r="W412" i="3"/>
  <c r="W404" i="3"/>
  <c r="AE454" i="3"/>
  <c r="AE430" i="3"/>
  <c r="AE398" i="3"/>
  <c r="W387" i="3"/>
  <c r="W339" i="3"/>
  <c r="W299" i="3"/>
  <c r="W263" i="3"/>
  <c r="W127" i="3"/>
  <c r="AE21" i="3"/>
  <c r="AE450" i="3"/>
  <c r="AE418" i="3"/>
  <c r="AE386" i="3"/>
  <c r="W303" i="3"/>
  <c r="W259" i="3"/>
  <c r="W227" i="3"/>
  <c r="W203" i="3"/>
  <c r="W195" i="3"/>
  <c r="W179" i="3"/>
  <c r="W171" i="3"/>
  <c r="W147" i="3"/>
  <c r="W131" i="3"/>
  <c r="W115" i="3"/>
  <c r="W84" i="3"/>
  <c r="W60" i="3"/>
  <c r="W459" i="3"/>
  <c r="W443" i="3"/>
  <c r="W411" i="3"/>
  <c r="W248" i="3"/>
  <c r="W25" i="3"/>
  <c r="W329" i="3"/>
  <c r="W35" i="3"/>
  <c r="W30" i="3"/>
  <c r="W46" i="3"/>
  <c r="W232" i="3"/>
  <c r="W102" i="3"/>
  <c r="W304" i="3"/>
  <c r="W104" i="3"/>
  <c r="W48" i="3"/>
  <c r="W121" i="3"/>
  <c r="W168" i="3"/>
  <c r="W317" i="3"/>
  <c r="W33" i="3"/>
  <c r="W246" i="3"/>
  <c r="W103" i="3"/>
  <c r="W47" i="3"/>
  <c r="W101" i="3"/>
  <c r="W319" i="3"/>
  <c r="W162" i="3"/>
  <c r="W36" i="3"/>
  <c r="W122" i="3"/>
  <c r="W19" i="3"/>
  <c r="W118" i="3"/>
  <c r="W249" i="3"/>
  <c r="W18" i="3"/>
  <c r="W167" i="3"/>
  <c r="W23" i="3"/>
  <c r="W120" i="3"/>
  <c r="W166" i="3"/>
  <c r="W22" i="3"/>
  <c r="W26" i="3"/>
  <c r="W119" i="3"/>
  <c r="W245" i="3"/>
  <c r="W24" i="3"/>
  <c r="W17" i="3"/>
  <c r="W316" i="3"/>
  <c r="W100" i="3"/>
  <c r="W12" i="3"/>
  <c r="W318" i="3"/>
  <c r="W5" i="3"/>
  <c r="W247" i="3"/>
  <c r="W16" i="3"/>
  <c r="W8" i="3"/>
  <c r="W4" i="3"/>
  <c r="W99" i="3"/>
  <c r="W164" i="3"/>
  <c r="W117" i="3"/>
  <c r="W14" i="3"/>
  <c r="W15" i="3"/>
  <c r="W13" i="3"/>
  <c r="W3" i="3"/>
  <c r="W116" i="3"/>
  <c r="W163" i="3"/>
  <c r="W315" i="3"/>
  <c r="W98" i="3"/>
  <c r="W11" i="3"/>
  <c r="W42" i="3"/>
  <c r="W67" i="3"/>
  <c r="W2" i="3"/>
  <c r="D34" i="3"/>
  <c r="AF34" i="3" s="1"/>
  <c r="D59" i="3"/>
  <c r="AF59" i="3" s="1"/>
  <c r="D3" i="3"/>
  <c r="AF3" i="3" s="1"/>
  <c r="D12" i="3"/>
  <c r="AF12" i="3" s="1"/>
  <c r="D83" i="3"/>
  <c r="AF83" i="3" s="1"/>
  <c r="D114" i="3"/>
  <c r="AF114" i="3" s="1"/>
  <c r="AM10" i="3" l="1"/>
  <c r="AQ10" i="3" s="1"/>
  <c r="D309" i="3"/>
  <c r="AF308" i="3"/>
  <c r="AI382" i="3"/>
  <c r="AI373" i="3"/>
  <c r="AM373" i="3" s="1"/>
  <c r="AQ373" i="3" s="1"/>
  <c r="AI383" i="3"/>
  <c r="AI375" i="3"/>
  <c r="T11" i="12"/>
  <c r="U11" i="12" s="1"/>
  <c r="A12" i="12"/>
  <c r="AI379" i="3"/>
  <c r="AI374" i="3"/>
  <c r="AI377" i="3"/>
  <c r="AI376" i="3"/>
  <c r="AI372" i="3"/>
  <c r="AI369" i="3"/>
  <c r="AI368" i="3"/>
  <c r="AI371" i="3"/>
  <c r="AI370" i="3"/>
  <c r="P12" i="7"/>
  <c r="O13" i="7" s="1"/>
  <c r="Q13" i="7" s="1"/>
  <c r="Z303" i="3"/>
  <c r="U303" i="3"/>
  <c r="AA399" i="3"/>
  <c r="U399" i="3"/>
  <c r="AA415" i="3"/>
  <c r="U415" i="3"/>
  <c r="AA431" i="3"/>
  <c r="U431" i="3"/>
  <c r="AA447" i="3"/>
  <c r="U447" i="3"/>
  <c r="AA463" i="3"/>
  <c r="U463" i="3"/>
  <c r="Z395" i="3"/>
  <c r="U395" i="3"/>
  <c r="AA57" i="3"/>
  <c r="U57" i="3"/>
  <c r="Z392" i="3"/>
  <c r="U392" i="3"/>
  <c r="Z408" i="3"/>
  <c r="U408" i="3"/>
  <c r="Z424" i="3"/>
  <c r="U424" i="3"/>
  <c r="AA440" i="3"/>
  <c r="U440" i="3"/>
  <c r="Z456" i="3"/>
  <c r="U456" i="3"/>
  <c r="Z443" i="3"/>
  <c r="U443" i="3"/>
  <c r="Z10" i="3"/>
  <c r="U10" i="3"/>
  <c r="AA393" i="3"/>
  <c r="U393" i="3"/>
  <c r="Z409" i="3"/>
  <c r="U409" i="3"/>
  <c r="Z425" i="3"/>
  <c r="U425" i="3"/>
  <c r="Z441" i="3"/>
  <c r="U441" i="3"/>
  <c r="AA457" i="3"/>
  <c r="U457" i="3"/>
  <c r="AA403" i="3"/>
  <c r="U403" i="3"/>
  <c r="Z459" i="3"/>
  <c r="U459" i="3"/>
  <c r="AA394" i="3"/>
  <c r="U394" i="3"/>
  <c r="AA410" i="3"/>
  <c r="U410" i="3"/>
  <c r="AA426" i="3"/>
  <c r="U426" i="3"/>
  <c r="Z442" i="3"/>
  <c r="U442" i="3"/>
  <c r="AA458" i="3"/>
  <c r="U458" i="3"/>
  <c r="AA419" i="3"/>
  <c r="U419" i="3"/>
  <c r="Z20" i="3"/>
  <c r="AA20" i="3" s="1"/>
  <c r="AA21" i="3"/>
  <c r="U21" i="3"/>
  <c r="Z388" i="3"/>
  <c r="U388" i="3"/>
  <c r="Z404" i="3"/>
  <c r="U404" i="3"/>
  <c r="Z420" i="3"/>
  <c r="U420" i="3"/>
  <c r="Z436" i="3"/>
  <c r="U436" i="3"/>
  <c r="Z452" i="3"/>
  <c r="U452" i="3"/>
  <c r="Z468" i="3"/>
  <c r="U468" i="3"/>
  <c r="Z381" i="3"/>
  <c r="U381" i="3"/>
  <c r="Z397" i="3"/>
  <c r="U397" i="3"/>
  <c r="AA413" i="3"/>
  <c r="U413" i="3"/>
  <c r="Z429" i="3"/>
  <c r="U429" i="3"/>
  <c r="AA445" i="3"/>
  <c r="U445" i="3"/>
  <c r="AA461" i="3"/>
  <c r="U461" i="3"/>
  <c r="AA158" i="3"/>
  <c r="U158" i="3"/>
  <c r="AA398" i="3"/>
  <c r="U398" i="3"/>
  <c r="Z438" i="3"/>
  <c r="U438" i="3"/>
  <c r="AA390" i="3"/>
  <c r="U390" i="3"/>
  <c r="Z422" i="3"/>
  <c r="U422" i="3"/>
  <c r="Z446" i="3"/>
  <c r="U446" i="3"/>
  <c r="AA391" i="3"/>
  <c r="U391" i="3"/>
  <c r="AA407" i="3"/>
  <c r="U407" i="3"/>
  <c r="Z423" i="3"/>
  <c r="U423" i="3"/>
  <c r="AA455" i="3"/>
  <c r="U455" i="3"/>
  <c r="Z219" i="3"/>
  <c r="AA219" i="3" s="1"/>
  <c r="Z435" i="3"/>
  <c r="U435" i="3"/>
  <c r="Z81" i="3"/>
  <c r="U81" i="3"/>
  <c r="Z112" i="3"/>
  <c r="U112" i="3"/>
  <c r="AA384" i="3"/>
  <c r="U384" i="3"/>
  <c r="AA416" i="3"/>
  <c r="U416" i="3"/>
  <c r="Z432" i="3"/>
  <c r="U432" i="3"/>
  <c r="AA448" i="3"/>
  <c r="U448" i="3"/>
  <c r="Z411" i="3"/>
  <c r="U411" i="3"/>
  <c r="Z34" i="3"/>
  <c r="AA34" i="3" s="1"/>
  <c r="AA417" i="3"/>
  <c r="U417" i="3"/>
  <c r="AA433" i="3"/>
  <c r="U433" i="3"/>
  <c r="Z449" i="3"/>
  <c r="U449" i="3"/>
  <c r="Z386" i="3"/>
  <c r="U386" i="3"/>
  <c r="AA402" i="3"/>
  <c r="U402" i="3"/>
  <c r="AA418" i="3"/>
  <c r="U418" i="3"/>
  <c r="Z450" i="3"/>
  <c r="U450" i="3"/>
  <c r="AA466" i="3"/>
  <c r="U466" i="3"/>
  <c r="AA451" i="3"/>
  <c r="U451" i="3"/>
  <c r="AA412" i="3"/>
  <c r="U412" i="3"/>
  <c r="AA428" i="3"/>
  <c r="U428" i="3"/>
  <c r="AA444" i="3"/>
  <c r="U444" i="3"/>
  <c r="Z460" i="3"/>
  <c r="U460" i="3"/>
  <c r="AA229" i="3"/>
  <c r="U229" i="3"/>
  <c r="Z373" i="3"/>
  <c r="AA373" i="3" s="1"/>
  <c r="AA389" i="3"/>
  <c r="U389" i="3"/>
  <c r="Z405" i="3"/>
  <c r="U405" i="3"/>
  <c r="AA453" i="3"/>
  <c r="U453" i="3"/>
  <c r="AA469" i="3"/>
  <c r="U469" i="3"/>
  <c r="Z414" i="3"/>
  <c r="U414" i="3"/>
  <c r="Z454" i="3"/>
  <c r="U454" i="3"/>
  <c r="Z157" i="3"/>
  <c r="AA157" i="3" s="1"/>
  <c r="Z230" i="3"/>
  <c r="AA230" i="3" s="1"/>
  <c r="Z406" i="3"/>
  <c r="U406" i="3"/>
  <c r="Z430" i="3"/>
  <c r="U430" i="3"/>
  <c r="AA462" i="3"/>
  <c r="U462" i="3"/>
  <c r="AA454" i="3"/>
  <c r="AB47" i="3"/>
  <c r="AD47" i="3"/>
  <c r="AB167" i="3"/>
  <c r="AD167" i="3"/>
  <c r="AB319" i="3"/>
  <c r="AD319" i="3"/>
  <c r="AB19" i="3"/>
  <c r="AD19" i="3"/>
  <c r="AB18" i="3"/>
  <c r="AD18" i="3"/>
  <c r="AB165" i="3"/>
  <c r="AD165" i="3"/>
  <c r="AB5" i="3"/>
  <c r="AD5" i="3"/>
  <c r="AB315" i="3"/>
  <c r="AB313" i="3"/>
  <c r="AB314" i="3"/>
  <c r="AB310" i="3"/>
  <c r="AD315" i="3"/>
  <c r="AB309" i="3"/>
  <c r="AB308" i="3"/>
  <c r="AB307" i="3"/>
  <c r="AB305" i="3"/>
  <c r="AB311" i="3"/>
  <c r="AB306" i="3"/>
  <c r="AB312" i="3"/>
  <c r="AB101" i="3"/>
  <c r="AD101" i="3"/>
  <c r="AB92" i="3"/>
  <c r="AB93" i="3"/>
  <c r="AB94" i="3"/>
  <c r="AB98" i="3"/>
  <c r="AB95" i="3"/>
  <c r="AB96" i="3"/>
  <c r="AB91" i="3"/>
  <c r="AD98" i="3"/>
  <c r="AB62" i="3"/>
  <c r="AB97" i="3"/>
  <c r="AB72" i="3"/>
  <c r="AB50" i="3"/>
  <c r="AB90" i="3"/>
  <c r="AB77" i="3"/>
  <c r="AB74" i="3"/>
  <c r="AB65" i="3"/>
  <c r="AB84" i="3"/>
  <c r="AB82" i="3"/>
  <c r="AB78" i="3"/>
  <c r="AB83" i="3"/>
  <c r="AB88" i="3"/>
  <c r="AB89" i="3"/>
  <c r="AB85" i="3"/>
  <c r="AB73" i="3"/>
  <c r="AB59" i="3"/>
  <c r="AB58" i="3"/>
  <c r="AB54" i="3"/>
  <c r="AB70" i="3"/>
  <c r="AB76" i="3"/>
  <c r="AB86" i="3"/>
  <c r="AB60" i="3"/>
  <c r="AB63" i="3"/>
  <c r="AB55" i="3"/>
  <c r="AB68" i="3"/>
  <c r="AB87" i="3"/>
  <c r="AB66" i="3"/>
  <c r="AB71" i="3"/>
  <c r="AB56" i="3"/>
  <c r="AB51" i="3"/>
  <c r="AB61" i="3"/>
  <c r="AB79" i="3"/>
  <c r="AB80" i="3"/>
  <c r="AB57" i="3"/>
  <c r="AB81" i="3"/>
  <c r="AB64" i="3"/>
  <c r="AB53" i="3"/>
  <c r="AB52" i="3"/>
  <c r="AB49" i="3"/>
  <c r="AB69" i="3"/>
  <c r="AB75" i="3"/>
  <c r="AB67" i="3"/>
  <c r="AB121" i="3"/>
  <c r="AD121" i="3"/>
  <c r="AB20" i="3"/>
  <c r="AB21" i="3"/>
  <c r="AD22" i="3"/>
  <c r="AB22" i="3"/>
  <c r="AB122" i="3"/>
  <c r="AD122" i="3"/>
  <c r="AB318" i="3"/>
  <c r="AD318" i="3"/>
  <c r="AD99" i="3"/>
  <c r="AB99" i="3"/>
  <c r="AB104" i="3"/>
  <c r="AD104" i="3"/>
  <c r="AB168" i="3"/>
  <c r="AD168" i="3"/>
  <c r="AB119" i="3"/>
  <c r="AD119" i="3"/>
  <c r="AB231" i="3"/>
  <c r="AB226" i="3"/>
  <c r="AB232" i="3"/>
  <c r="AB218" i="3"/>
  <c r="AB216" i="3"/>
  <c r="AB229" i="3"/>
  <c r="AB179" i="3"/>
  <c r="AB213" i="3"/>
  <c r="AB215" i="3"/>
  <c r="AB222" i="3"/>
  <c r="AB209" i="3"/>
  <c r="AB181" i="3"/>
  <c r="AB175" i="3"/>
  <c r="AB177" i="3"/>
  <c r="AB207" i="3"/>
  <c r="AB230" i="3"/>
  <c r="AB172" i="3"/>
  <c r="AB176" i="3"/>
  <c r="AB223" i="3"/>
  <c r="AD232" i="3"/>
  <c r="AB217" i="3"/>
  <c r="AB205" i="3"/>
  <c r="AB187" i="3"/>
  <c r="AB210" i="3"/>
  <c r="AB185" i="3"/>
  <c r="AB220" i="3"/>
  <c r="AB196" i="3"/>
  <c r="AB221" i="3"/>
  <c r="AB206" i="3"/>
  <c r="AB225" i="3"/>
  <c r="AB171" i="3"/>
  <c r="AB190" i="3"/>
  <c r="AB182" i="3"/>
  <c r="AB208" i="3"/>
  <c r="AB184" i="3"/>
  <c r="AB174" i="3"/>
  <c r="AB195" i="3"/>
  <c r="AB180" i="3"/>
  <c r="AB189" i="3"/>
  <c r="AB203" i="3"/>
  <c r="AB169" i="3"/>
  <c r="AB192" i="3"/>
  <c r="AB186" i="3"/>
  <c r="AB199" i="3"/>
  <c r="AB227" i="3"/>
  <c r="AB178" i="3"/>
  <c r="AB188" i="3"/>
  <c r="AB173" i="3"/>
  <c r="AB191" i="3"/>
  <c r="AB201" i="3"/>
  <c r="AB228" i="3"/>
  <c r="AB194" i="3"/>
  <c r="AB170" i="3"/>
  <c r="AB193" i="3"/>
  <c r="AB211" i="3"/>
  <c r="AB204" i="3"/>
  <c r="AB214" i="3"/>
  <c r="AB202" i="3"/>
  <c r="AB200" i="3"/>
  <c r="AB197" i="3"/>
  <c r="AB183" i="3"/>
  <c r="AB212" i="3"/>
  <c r="AB198" i="3"/>
  <c r="AB224" i="3"/>
  <c r="AB219" i="3"/>
  <c r="AB17" i="3"/>
  <c r="AD17" i="3"/>
  <c r="AB248" i="3"/>
  <c r="AD248" i="3"/>
  <c r="AB12" i="3"/>
  <c r="AD12" i="3"/>
  <c r="AB115" i="3"/>
  <c r="AB116" i="3"/>
  <c r="AB106" i="3"/>
  <c r="AB105" i="3"/>
  <c r="AB112" i="3"/>
  <c r="AD116" i="3"/>
  <c r="AB113" i="3"/>
  <c r="AB111" i="3"/>
  <c r="AB110" i="3"/>
  <c r="AB114" i="3"/>
  <c r="AB107" i="3"/>
  <c r="AB108" i="3"/>
  <c r="AB109" i="3"/>
  <c r="AB27" i="3"/>
  <c r="AB29" i="3"/>
  <c r="AB28" i="3"/>
  <c r="AD30" i="3"/>
  <c r="AB30" i="3"/>
  <c r="AB102" i="3"/>
  <c r="AD102" i="3"/>
  <c r="AB4" i="3"/>
  <c r="AD4" i="3"/>
  <c r="AB317" i="3"/>
  <c r="AD317" i="3"/>
  <c r="AB245" i="3"/>
  <c r="AD245" i="3"/>
  <c r="AB3" i="3"/>
  <c r="AD3" i="3"/>
  <c r="AB244" i="3"/>
  <c r="AB243" i="3"/>
  <c r="AB242" i="3"/>
  <c r="AB240" i="3"/>
  <c r="AB241" i="3"/>
  <c r="AD244" i="3"/>
  <c r="AB234" i="3"/>
  <c r="AB238" i="3"/>
  <c r="AB235" i="3"/>
  <c r="AB239" i="3"/>
  <c r="AB233" i="3"/>
  <c r="AB237" i="3"/>
  <c r="AB236" i="3"/>
  <c r="AB249" i="3"/>
  <c r="AD249" i="3"/>
  <c r="AB15" i="3"/>
  <c r="AD15" i="3"/>
  <c r="AB302" i="3"/>
  <c r="AB289" i="3"/>
  <c r="AB296" i="3"/>
  <c r="AB293" i="3"/>
  <c r="AB294" i="3"/>
  <c r="AB301" i="3"/>
  <c r="AB299" i="3"/>
  <c r="AB270" i="3"/>
  <c r="AB297" i="3"/>
  <c r="AB274" i="3"/>
  <c r="AB303" i="3"/>
  <c r="AB291" i="3"/>
  <c r="AB292" i="3"/>
  <c r="AB288" i="3"/>
  <c r="AB280" i="3"/>
  <c r="AB281" i="3"/>
  <c r="AB251" i="3"/>
  <c r="AD304" i="3"/>
  <c r="AB304" i="3"/>
  <c r="AB258" i="3"/>
  <c r="AB272" i="3"/>
  <c r="AB278" i="3"/>
  <c r="AB284" i="3"/>
  <c r="AB252" i="3"/>
  <c r="AB260" i="3"/>
  <c r="AB266" i="3"/>
  <c r="AB268" i="3"/>
  <c r="AB282" i="3"/>
  <c r="AB287" i="3"/>
  <c r="AB259" i="3"/>
  <c r="AB275" i="3"/>
  <c r="AB263" i="3"/>
  <c r="AB276" i="3"/>
  <c r="AB283" i="3"/>
  <c r="AB267" i="3"/>
  <c r="AB255" i="3"/>
  <c r="AB265" i="3"/>
  <c r="AB257" i="3"/>
  <c r="AB279" i="3"/>
  <c r="AB286" i="3"/>
  <c r="AB300" i="3"/>
  <c r="AB261" i="3"/>
  <c r="AB262" i="3"/>
  <c r="AB254" i="3"/>
  <c r="AB271" i="3"/>
  <c r="AB290" i="3"/>
  <c r="AB253" i="3"/>
  <c r="AB285" i="3"/>
  <c r="AB295" i="3"/>
  <c r="AB269" i="3"/>
  <c r="AB250" i="3"/>
  <c r="AB273" i="3"/>
  <c r="AB298" i="3"/>
  <c r="AB256" i="3"/>
  <c r="AB264" i="3"/>
  <c r="AB277" i="3"/>
  <c r="AB24" i="3"/>
  <c r="AD24" i="3"/>
  <c r="AB16" i="3"/>
  <c r="AD16" i="3"/>
  <c r="AB23" i="3"/>
  <c r="AD23" i="3"/>
  <c r="AB103" i="3"/>
  <c r="AD103" i="3"/>
  <c r="AB25" i="3"/>
  <c r="AD25" i="3"/>
  <c r="AB26" i="3"/>
  <c r="AD26" i="3"/>
  <c r="AB36" i="3"/>
  <c r="AD36" i="3"/>
  <c r="AB34" i="3"/>
  <c r="AD35" i="3"/>
  <c r="AB35" i="3"/>
  <c r="AB9" i="3"/>
  <c r="AB11" i="3"/>
  <c r="AB10" i="3"/>
  <c r="AD11" i="3"/>
  <c r="AB247" i="3"/>
  <c r="AD247" i="3"/>
  <c r="AD576" i="3"/>
  <c r="AD539" i="3"/>
  <c r="AD475" i="3"/>
  <c r="AD503" i="3"/>
  <c r="AD514" i="3"/>
  <c r="AD525" i="3"/>
  <c r="AD575" i="3"/>
  <c r="AD582" i="3"/>
  <c r="AD491" i="3"/>
  <c r="AD520" i="3"/>
  <c r="AD570" i="3"/>
  <c r="AD566" i="3"/>
  <c r="AD579" i="3"/>
  <c r="AD510" i="3"/>
  <c r="AD498" i="3"/>
  <c r="AD486" i="3"/>
  <c r="AD367" i="3"/>
  <c r="AD377" i="3"/>
  <c r="AD521" i="3"/>
  <c r="AD409" i="3"/>
  <c r="AD496" i="3"/>
  <c r="AD529" i="3"/>
  <c r="AD472" i="3"/>
  <c r="AD477" i="3"/>
  <c r="AD552" i="3"/>
  <c r="AD542" i="3"/>
  <c r="AD546" i="3"/>
  <c r="AD583" i="3"/>
  <c r="AD468" i="3"/>
  <c r="AD531" i="3"/>
  <c r="AD517" i="3"/>
  <c r="AD568" i="3"/>
  <c r="AD511" i="3"/>
  <c r="AD516" i="3"/>
  <c r="AD556" i="3"/>
  <c r="AD366" i="3"/>
  <c r="AD489" i="3"/>
  <c r="AD374" i="3"/>
  <c r="AD501" i="3"/>
  <c r="AD545" i="3"/>
  <c r="AD476" i="3"/>
  <c r="AD567" i="3"/>
  <c r="AD562" i="3"/>
  <c r="AD569" i="3"/>
  <c r="AD530" i="3"/>
  <c r="AD478" i="3"/>
  <c r="AD500" i="3"/>
  <c r="AD541" i="3"/>
  <c r="AD449" i="3"/>
  <c r="AD404" i="3"/>
  <c r="AD386" i="3"/>
  <c r="AD450" i="3"/>
  <c r="AD415" i="3"/>
  <c r="AD417" i="3"/>
  <c r="AD413" i="3"/>
  <c r="AD448" i="3"/>
  <c r="AD384" i="3"/>
  <c r="AD427" i="3"/>
  <c r="AD462" i="3"/>
  <c r="AD398" i="3"/>
  <c r="AD77" i="3"/>
  <c r="AD241" i="3"/>
  <c r="AD177" i="3"/>
  <c r="AD113" i="3"/>
  <c r="AD385" i="3"/>
  <c r="AD380" i="3"/>
  <c r="AD584" i="3"/>
  <c r="AD401" i="3"/>
  <c r="AD591" i="3"/>
  <c r="AD513" i="3"/>
  <c r="AD537" i="3"/>
  <c r="AD563" i="3"/>
  <c r="AD535" i="3"/>
  <c r="AD558" i="3"/>
  <c r="AD534" i="3"/>
  <c r="AD574" i="3"/>
  <c r="AD565" i="3"/>
  <c r="AD508" i="3"/>
  <c r="AD548" i="3"/>
  <c r="AD572" i="3"/>
  <c r="AD428" i="3"/>
  <c r="AD465" i="3"/>
  <c r="AD394" i="3"/>
  <c r="AD458" i="3"/>
  <c r="AD423" i="3"/>
  <c r="AD469" i="3"/>
  <c r="AD405" i="3"/>
  <c r="AD440" i="3"/>
  <c r="AD376" i="3"/>
  <c r="AD419" i="3"/>
  <c r="AD454" i="3"/>
  <c r="AD390" i="3"/>
  <c r="AD365" i="3"/>
  <c r="AD301" i="3"/>
  <c r="AD233" i="3"/>
  <c r="AD169" i="3"/>
  <c r="AD106" i="3"/>
  <c r="AD42" i="3"/>
  <c r="AD10" i="3"/>
  <c r="AD235" i="3"/>
  <c r="AD144" i="3"/>
  <c r="AD223" i="3"/>
  <c r="AD295" i="3"/>
  <c r="AD108" i="3"/>
  <c r="AD388" i="3"/>
  <c r="AD393" i="3"/>
  <c r="AD487" i="3"/>
  <c r="AD523" i="3"/>
  <c r="AD564" i="3"/>
  <c r="AD527" i="3"/>
  <c r="AD483" i="3"/>
  <c r="AD587" i="3"/>
  <c r="AD538" i="3"/>
  <c r="AD504" i="3"/>
  <c r="AD471" i="3"/>
  <c r="AD532" i="3"/>
  <c r="AD460" i="3"/>
  <c r="AD396" i="3"/>
  <c r="AD434" i="3"/>
  <c r="AD431" i="3"/>
  <c r="AD445" i="3"/>
  <c r="AD464" i="3"/>
  <c r="AD368" i="3"/>
  <c r="AD395" i="3"/>
  <c r="AD414" i="3"/>
  <c r="AD357" i="3"/>
  <c r="AD273" i="3"/>
  <c r="AD193" i="3"/>
  <c r="AD91" i="3"/>
  <c r="AD322" i="3"/>
  <c r="AD292" i="3"/>
  <c r="AD175" i="3"/>
  <c r="AD359" i="3"/>
  <c r="AD49" i="3"/>
  <c r="AD364" i="3"/>
  <c r="AD140" i="3"/>
  <c r="AD72" i="3"/>
  <c r="AD236" i="3"/>
  <c r="AD148" i="3"/>
  <c r="AD45" i="3"/>
  <c r="AD303" i="3"/>
  <c r="AD88" i="3"/>
  <c r="AD208" i="3"/>
  <c r="AD343" i="3"/>
  <c r="AD187" i="3"/>
  <c r="AD294" i="3"/>
  <c r="AD67" i="3"/>
  <c r="AD218" i="3"/>
  <c r="AD107" i="3"/>
  <c r="AD78" i="3"/>
  <c r="AD141" i="3"/>
  <c r="AD205" i="3"/>
  <c r="AD329" i="3"/>
  <c r="AD31" i="3"/>
  <c r="AD95" i="3"/>
  <c r="AD158" i="3"/>
  <c r="AD306" i="3"/>
  <c r="AD159" i="3"/>
  <c r="AD65" i="3"/>
  <c r="AD337" i="3"/>
  <c r="AD238" i="3"/>
  <c r="AD97" i="3"/>
  <c r="AD589" i="3"/>
  <c r="AD482" i="3"/>
  <c r="AD588" i="3"/>
  <c r="AD441" i="3"/>
  <c r="AD466" i="3"/>
  <c r="AD432" i="3"/>
  <c r="AD379" i="3"/>
  <c r="AD257" i="3"/>
  <c r="AD82" i="3"/>
  <c r="AD76" i="3"/>
  <c r="AD105" i="3"/>
  <c r="AD268" i="3"/>
  <c r="AD220" i="3"/>
  <c r="AD289" i="3"/>
  <c r="AD28" i="3"/>
  <c r="AD202" i="3"/>
  <c r="AD94" i="3"/>
  <c r="AD578" i="3"/>
  <c r="AD505" i="3"/>
  <c r="AD495" i="3"/>
  <c r="AD561" i="3"/>
  <c r="AD571" i="3"/>
  <c r="AD490" i="3"/>
  <c r="AD506" i="3"/>
  <c r="AD484" i="3"/>
  <c r="AD533" i="3"/>
  <c r="AD420" i="3"/>
  <c r="AD369" i="3"/>
  <c r="AD442" i="3"/>
  <c r="AD447" i="3"/>
  <c r="AD437" i="3"/>
  <c r="AD456" i="3"/>
  <c r="AD467" i="3"/>
  <c r="AD387" i="3"/>
  <c r="AD406" i="3"/>
  <c r="AD349" i="3"/>
  <c r="AD265" i="3"/>
  <c r="AD185" i="3"/>
  <c r="AD340" i="3"/>
  <c r="AD327" i="3"/>
  <c r="AD196" i="3"/>
  <c r="AD44" i="3"/>
  <c r="AD56" i="3"/>
  <c r="AD136" i="3"/>
  <c r="AD330" i="3"/>
  <c r="AD314" i="3"/>
  <c r="AD312" i="3"/>
  <c r="AD307" i="3"/>
  <c r="AD40" i="3"/>
  <c r="AD228" i="3"/>
  <c r="AD124" i="3"/>
  <c r="AD29" i="3"/>
  <c r="AD288" i="3"/>
  <c r="AD251" i="3"/>
  <c r="AD335" i="3"/>
  <c r="AD179" i="3"/>
  <c r="AD52" i="3"/>
  <c r="AD285" i="3"/>
  <c r="AD342" i="3"/>
  <c r="AD210" i="3"/>
  <c r="AD83" i="3"/>
  <c r="AD86" i="3"/>
  <c r="AD149" i="3"/>
  <c r="AD213" i="3"/>
  <c r="AD277" i="3"/>
  <c r="AD39" i="3"/>
  <c r="AD191" i="3"/>
  <c r="AD497" i="3"/>
  <c r="AD524" i="3"/>
  <c r="AD585" i="3"/>
  <c r="AD540" i="3"/>
  <c r="AD444" i="3"/>
  <c r="AD382" i="3"/>
  <c r="AD161" i="3"/>
  <c r="AD143" i="3"/>
  <c r="AD358" i="3"/>
  <c r="AD324" i="3"/>
  <c r="AD271" i="3"/>
  <c r="AD360" i="3"/>
  <c r="AD21" i="3"/>
  <c r="AD139" i="3"/>
  <c r="AD270" i="3"/>
  <c r="AD75" i="3"/>
  <c r="AD488" i="3"/>
  <c r="AD519" i="3"/>
  <c r="AD544" i="3"/>
  <c r="AD485" i="3"/>
  <c r="AD370" i="3"/>
  <c r="AD429" i="3"/>
  <c r="AD459" i="3"/>
  <c r="AD341" i="3"/>
  <c r="AD183" i="3"/>
  <c r="AD242" i="3"/>
  <c r="AD286" i="3"/>
  <c r="AD255" i="3"/>
  <c r="AD254" i="3"/>
  <c r="AD155" i="3"/>
  <c r="AD334" i="3"/>
  <c r="AD481" i="3"/>
  <c r="AD492" i="3"/>
  <c r="AD581" i="3"/>
  <c r="AD526" i="3"/>
  <c r="AD474" i="3"/>
  <c r="AD551" i="3"/>
  <c r="AD512" i="3"/>
  <c r="AD594" i="3"/>
  <c r="AD509" i="3"/>
  <c r="AD595" i="3"/>
  <c r="AD586" i="3"/>
  <c r="AD439" i="3"/>
  <c r="AD418" i="3"/>
  <c r="AD457" i="3"/>
  <c r="AD373" i="3"/>
  <c r="AD435" i="3"/>
  <c r="AD293" i="3"/>
  <c r="AD145" i="3"/>
  <c r="AD34" i="3"/>
  <c r="AD259" i="3"/>
  <c r="AD37" i="3"/>
  <c r="AD328" i="3"/>
  <c r="AD308" i="3"/>
  <c r="AD154" i="3"/>
  <c r="AD320" i="3"/>
  <c r="AD290" i="3"/>
  <c r="AD93" i="3"/>
  <c r="AD338" i="3"/>
  <c r="AD302" i="3"/>
  <c r="AD275" i="3"/>
  <c r="AD92" i="3"/>
  <c r="AD194" i="3"/>
  <c r="AD258" i="3"/>
  <c r="AD181" i="3"/>
  <c r="AD261" i="3"/>
  <c r="AD353" i="3"/>
  <c r="AD71" i="3"/>
  <c r="AD150" i="3"/>
  <c r="AD362" i="3"/>
  <c r="AD354" i="3"/>
  <c r="AD240" i="3"/>
  <c r="AD203" i="3"/>
  <c r="AD180" i="3"/>
  <c r="AD127" i="3"/>
  <c r="AD451" i="3"/>
  <c r="AD201" i="3"/>
  <c r="AD184" i="3"/>
  <c r="AD123" i="3"/>
  <c r="AD239" i="3"/>
  <c r="AD550" i="3"/>
  <c r="AD153" i="3"/>
  <c r="AD109" i="3"/>
  <c r="AD43" i="3"/>
  <c r="AD142" i="3"/>
  <c r="AD592" i="3"/>
  <c r="AD493" i="3"/>
  <c r="AD518" i="3"/>
  <c r="AD412" i="3"/>
  <c r="AD426" i="3"/>
  <c r="AD455" i="3"/>
  <c r="AD424" i="3"/>
  <c r="AD411" i="3"/>
  <c r="AD281" i="3"/>
  <c r="AD137" i="3"/>
  <c r="AD278" i="3"/>
  <c r="AD69" i="3"/>
  <c r="AD346" i="3"/>
  <c r="AD264" i="3"/>
  <c r="AD226" i="3"/>
  <c r="AD276" i="3"/>
  <c r="AD199" i="3"/>
  <c r="AD283" i="3"/>
  <c r="AD85" i="3"/>
  <c r="AD234" i="3"/>
  <c r="AD272" i="3"/>
  <c r="AD267" i="3"/>
  <c r="AD84" i="3"/>
  <c r="AD152" i="3"/>
  <c r="AD178" i="3"/>
  <c r="AD110" i="3"/>
  <c r="AD189" i="3"/>
  <c r="AD284" i="3"/>
  <c r="AD361" i="3"/>
  <c r="AD79" i="3"/>
  <c r="AD174" i="3"/>
  <c r="AD32" i="3"/>
  <c r="AD363" i="3"/>
  <c r="AD580" i="3"/>
  <c r="AD171" i="3"/>
  <c r="AD326" i="3"/>
  <c r="AD305" i="3"/>
  <c r="AD430" i="3"/>
  <c r="AD58" i="3"/>
  <c r="AD331" i="3"/>
  <c r="AD350" i="3"/>
  <c r="AD62" i="3"/>
  <c r="AD222" i="3"/>
  <c r="AD311" i="3"/>
  <c r="AD215" i="3"/>
  <c r="AD345" i="3"/>
  <c r="AD507" i="3"/>
  <c r="AD528" i="3"/>
  <c r="AD522" i="3"/>
  <c r="AD536" i="3"/>
  <c r="AD543" i="3"/>
  <c r="AD502" i="3"/>
  <c r="AD452" i="3"/>
  <c r="AD375" i="3"/>
  <c r="AD461" i="3"/>
  <c r="AD416" i="3"/>
  <c r="AD403" i="3"/>
  <c r="AD347" i="3"/>
  <c r="AD129" i="3"/>
  <c r="AD256" i="3"/>
  <c r="AD132" i="3"/>
  <c r="AD252" i="3"/>
  <c r="AD212" i="3"/>
  <c r="AD61" i="3"/>
  <c r="AD214" i="3"/>
  <c r="AD227" i="3"/>
  <c r="AD20" i="3"/>
  <c r="AD130" i="3"/>
  <c r="AD170" i="3"/>
  <c r="AD6" i="3"/>
  <c r="AD197" i="3"/>
  <c r="AD291" i="3"/>
  <c r="AD7" i="3"/>
  <c r="AD87" i="3"/>
  <c r="AD182" i="3"/>
  <c r="AD64" i="3"/>
  <c r="AD470" i="3"/>
  <c r="AD577" i="3"/>
  <c r="AD421" i="3"/>
  <c r="AD217" i="3"/>
  <c r="AD73" i="3"/>
  <c r="AD211" i="3"/>
  <c r="AD133" i="3"/>
  <c r="AD160" i="3"/>
  <c r="AD372" i="3"/>
  <c r="AD473" i="3"/>
  <c r="AD554" i="3"/>
  <c r="AD402" i="3"/>
  <c r="AD325" i="3"/>
  <c r="AD207" i="3"/>
  <c r="AD27" i="3"/>
  <c r="AD80" i="3"/>
  <c r="AD555" i="3"/>
  <c r="AD515" i="3"/>
  <c r="AD593" i="3"/>
  <c r="AD463" i="3"/>
  <c r="AD383" i="3"/>
  <c r="AD453" i="3"/>
  <c r="AD408" i="3"/>
  <c r="AD371" i="3"/>
  <c r="AD250" i="3"/>
  <c r="AD225" i="3"/>
  <c r="AD9" i="3"/>
  <c r="AD176" i="3"/>
  <c r="AD200" i="3"/>
  <c r="AD135" i="3"/>
  <c r="AD188" i="3"/>
  <c r="AD53" i="3"/>
  <c r="AD186" i="3"/>
  <c r="AD112" i="3"/>
  <c r="AD219" i="3"/>
  <c r="AD355" i="3"/>
  <c r="AD89" i="3"/>
  <c r="AD146" i="3"/>
  <c r="AD38" i="3"/>
  <c r="AD125" i="3"/>
  <c r="AD221" i="3"/>
  <c r="AD297" i="3"/>
  <c r="AD111" i="3"/>
  <c r="AD190" i="3"/>
  <c r="AD96" i="3"/>
  <c r="AD128" i="3"/>
  <c r="AD436" i="3"/>
  <c r="AD549" i="3"/>
  <c r="AD400" i="3"/>
  <c r="AD74" i="3"/>
  <c r="AD131" i="3"/>
  <c r="AD81" i="3"/>
  <c r="AD339" i="3"/>
  <c r="AD229" i="3"/>
  <c r="AD590" i="3"/>
  <c r="AD389" i="3"/>
  <c r="AD260" i="3"/>
  <c r="AD344" i="3"/>
  <c r="AD274" i="3"/>
  <c r="AD55" i="3"/>
  <c r="AD443" i="3"/>
  <c r="AD216" i="3"/>
  <c r="AD243" i="3"/>
  <c r="AD115" i="3"/>
  <c r="AD173" i="3"/>
  <c r="AD298" i="3"/>
  <c r="AD433" i="3"/>
  <c r="AD391" i="3"/>
  <c r="AD446" i="3"/>
  <c r="AD300" i="3"/>
  <c r="AD151" i="3"/>
  <c r="AD348" i="3"/>
  <c r="AD138" i="3"/>
  <c r="AD198" i="3"/>
  <c r="AD280" i="3"/>
  <c r="AD156" i="3"/>
  <c r="AD310" i="3"/>
  <c r="AD321" i="3"/>
  <c r="AD410" i="3"/>
  <c r="AD381" i="3"/>
  <c r="AD422" i="3"/>
  <c r="AD50" i="3"/>
  <c r="AD296" i="3"/>
  <c r="AD351" i="3"/>
  <c r="AD70" i="3"/>
  <c r="AD63" i="3"/>
  <c r="AD231" i="3"/>
  <c r="AB2" i="3"/>
  <c r="AD547" i="3"/>
  <c r="AD499" i="3"/>
  <c r="AD479" i="3"/>
  <c r="AD480" i="3"/>
  <c r="AD573" i="3"/>
  <c r="AD560" i="3"/>
  <c r="AD553" i="3"/>
  <c r="AD596" i="3"/>
  <c r="AD378" i="3"/>
  <c r="AD399" i="3"/>
  <c r="AD397" i="3"/>
  <c r="AD392" i="3"/>
  <c r="AD438" i="3"/>
  <c r="AD333" i="3"/>
  <c r="AD209" i="3"/>
  <c r="AD66" i="3"/>
  <c r="AD59" i="3"/>
  <c r="AD195" i="3"/>
  <c r="AD262" i="3"/>
  <c r="AD224" i="3"/>
  <c r="AD41" i="3"/>
  <c r="AD263" i="3"/>
  <c r="AD352" i="3"/>
  <c r="AD172" i="3"/>
  <c r="AD68" i="3"/>
  <c r="AD57" i="3"/>
  <c r="AD147" i="3"/>
  <c r="AD323" i="3"/>
  <c r="AD282" i="3"/>
  <c r="AD114" i="3"/>
  <c r="AD54" i="3"/>
  <c r="AD157" i="3"/>
  <c r="AD237" i="3"/>
  <c r="AD313" i="3"/>
  <c r="AD126" i="3"/>
  <c r="AD206" i="3"/>
  <c r="AD230" i="3"/>
  <c r="AD192" i="3"/>
  <c r="AD559" i="3"/>
  <c r="AD407" i="3"/>
  <c r="AD332" i="3"/>
  <c r="AD51" i="3"/>
  <c r="AD134" i="3"/>
  <c r="AD494" i="3"/>
  <c r="AD557" i="3"/>
  <c r="AD425" i="3"/>
  <c r="AD279" i="3"/>
  <c r="AD336" i="3"/>
  <c r="AD356" i="3"/>
  <c r="AD266" i="3"/>
  <c r="AD253" i="3"/>
  <c r="AD299" i="3"/>
  <c r="AD309" i="3"/>
  <c r="AD60" i="3"/>
  <c r="AD269" i="3"/>
  <c r="AD90" i="3"/>
  <c r="AD204" i="3"/>
  <c r="AD287" i="3"/>
  <c r="AB166" i="3"/>
  <c r="AD166" i="3"/>
  <c r="AB48" i="3"/>
  <c r="AD48" i="3"/>
  <c r="AB6" i="3"/>
  <c r="AB8" i="3"/>
  <c r="AD8" i="3"/>
  <c r="AB7" i="3"/>
  <c r="AB31" i="3"/>
  <c r="AB33" i="3"/>
  <c r="AB32" i="3"/>
  <c r="AD33" i="3"/>
  <c r="AB120" i="3"/>
  <c r="AD120" i="3"/>
  <c r="AB14" i="3"/>
  <c r="AD14" i="3"/>
  <c r="AB246" i="3"/>
  <c r="AD246" i="3"/>
  <c r="AB117" i="3"/>
  <c r="AD117" i="3"/>
  <c r="AB100" i="3"/>
  <c r="AD100" i="3"/>
  <c r="AB118" i="3"/>
  <c r="AD118" i="3"/>
  <c r="AB164" i="3"/>
  <c r="AD164" i="3"/>
  <c r="AB163" i="3"/>
  <c r="AD163" i="3"/>
  <c r="AB162" i="3"/>
  <c r="AB124" i="3"/>
  <c r="AB131" i="3"/>
  <c r="AB152" i="3"/>
  <c r="AB144" i="3"/>
  <c r="AD162" i="3"/>
  <c r="AB149" i="3"/>
  <c r="AB143" i="3"/>
  <c r="AB150" i="3"/>
  <c r="AB135" i="3"/>
  <c r="AB133" i="3"/>
  <c r="AB148" i="3"/>
  <c r="AB147" i="3"/>
  <c r="AB125" i="3"/>
  <c r="AB139" i="3"/>
  <c r="AB153" i="3"/>
  <c r="AB141" i="3"/>
  <c r="AB126" i="3"/>
  <c r="AB123" i="3"/>
  <c r="AB146" i="3"/>
  <c r="AB140" i="3"/>
  <c r="AB128" i="3"/>
  <c r="AB130" i="3"/>
  <c r="AB161" i="3"/>
  <c r="AB129" i="3"/>
  <c r="AB151" i="3"/>
  <c r="AB138" i="3"/>
  <c r="AB154" i="3"/>
  <c r="AB159" i="3"/>
  <c r="AB145" i="3"/>
  <c r="AB137" i="3"/>
  <c r="AB156" i="3"/>
  <c r="AB155" i="3"/>
  <c r="AB134" i="3"/>
  <c r="AB142" i="3"/>
  <c r="AB132" i="3"/>
  <c r="AB158" i="3"/>
  <c r="AB157" i="3"/>
  <c r="AB136" i="3"/>
  <c r="AB127" i="3"/>
  <c r="AB160" i="3"/>
  <c r="AB316" i="3"/>
  <c r="AD316" i="3"/>
  <c r="AB45" i="3"/>
  <c r="AB46" i="3"/>
  <c r="AD46" i="3"/>
  <c r="AB43" i="3"/>
  <c r="AB37" i="3"/>
  <c r="AB41" i="3"/>
  <c r="AB39" i="3"/>
  <c r="AB38" i="3"/>
  <c r="AB42" i="3"/>
  <c r="AB44" i="3"/>
  <c r="AB40" i="3"/>
  <c r="AB13" i="3"/>
  <c r="AD13" i="3"/>
  <c r="AA406" i="3"/>
  <c r="Z421" i="3"/>
  <c r="Z453" i="3"/>
  <c r="Z417" i="3"/>
  <c r="Z229" i="3"/>
  <c r="Z389" i="3"/>
  <c r="Z428" i="3"/>
  <c r="Z469" i="3"/>
  <c r="AA421" i="3"/>
  <c r="AA386" i="3"/>
  <c r="Z462" i="3"/>
  <c r="AA423" i="3"/>
  <c r="AA432" i="3"/>
  <c r="AA405" i="3"/>
  <c r="Z464" i="3"/>
  <c r="AA437" i="3"/>
  <c r="AA435" i="3"/>
  <c r="AA414" i="3"/>
  <c r="Z387" i="3"/>
  <c r="AA430" i="3"/>
  <c r="Z455" i="3"/>
  <c r="AA450" i="3"/>
  <c r="Z437" i="3"/>
  <c r="Z451" i="3"/>
  <c r="AA387" i="3"/>
  <c r="AA396" i="3"/>
  <c r="Z391" i="3"/>
  <c r="Z400" i="3"/>
  <c r="Z418" i="3"/>
  <c r="Z448" i="3"/>
  <c r="AA385" i="3"/>
  <c r="Z433" i="3"/>
  <c r="AA449" i="3"/>
  <c r="Z384" i="3"/>
  <c r="Z385" i="3"/>
  <c r="AA411" i="3"/>
  <c r="Z396" i="3"/>
  <c r="AA439" i="3"/>
  <c r="AA467" i="3"/>
  <c r="AA400" i="3"/>
  <c r="AA464" i="3"/>
  <c r="Z434" i="3"/>
  <c r="AA427" i="3"/>
  <c r="AA401" i="3"/>
  <c r="AA465" i="3"/>
  <c r="Z444" i="3"/>
  <c r="Z439" i="3"/>
  <c r="Z467" i="3"/>
  <c r="AA460" i="3"/>
  <c r="AA81" i="3"/>
  <c r="Z416" i="3"/>
  <c r="AA434" i="3"/>
  <c r="Z427" i="3"/>
  <c r="Z401" i="3"/>
  <c r="Z465" i="3"/>
  <c r="Z407" i="3"/>
  <c r="AA112" i="3"/>
  <c r="Z402" i="3"/>
  <c r="Z466" i="3"/>
  <c r="Z412" i="3"/>
  <c r="AA381" i="3"/>
  <c r="Z398" i="3"/>
  <c r="AA438" i="3"/>
  <c r="Z413" i="3"/>
  <c r="Z445" i="3"/>
  <c r="AA397" i="3"/>
  <c r="AA446" i="3"/>
  <c r="Z461" i="3"/>
  <c r="AA429" i="3"/>
  <c r="Z158" i="3"/>
  <c r="Z390" i="3"/>
  <c r="AA422" i="3"/>
  <c r="AI129" i="3"/>
  <c r="AI193" i="3"/>
  <c r="AI209" i="3"/>
  <c r="AA436" i="3"/>
  <c r="AA425" i="3"/>
  <c r="AA442" i="3"/>
  <c r="AA392" i="3"/>
  <c r="AI358" i="3"/>
  <c r="Z57" i="3"/>
  <c r="AI122" i="3"/>
  <c r="AI194" i="3"/>
  <c r="AI250" i="3"/>
  <c r="AI100" i="3"/>
  <c r="AI155" i="3"/>
  <c r="AI22" i="3"/>
  <c r="AI262" i="3"/>
  <c r="AI271" i="3"/>
  <c r="AI288" i="3"/>
  <c r="AI124" i="3"/>
  <c r="AI200" i="3"/>
  <c r="AI23" i="3"/>
  <c r="AI263" i="3"/>
  <c r="AI33" i="3"/>
  <c r="Z457" i="3"/>
  <c r="Z426" i="3"/>
  <c r="Z32" i="3"/>
  <c r="Z447" i="3"/>
  <c r="Z21" i="3"/>
  <c r="Z393" i="3"/>
  <c r="AA395" i="3"/>
  <c r="AA456" i="3"/>
  <c r="AA459" i="3"/>
  <c r="AA452" i="3"/>
  <c r="Z415" i="3"/>
  <c r="Z403" i="3"/>
  <c r="AA420" i="3"/>
  <c r="AA424" i="3"/>
  <c r="AI281" i="3"/>
  <c r="AI27" i="3"/>
  <c r="AI291" i="3"/>
  <c r="AI323" i="3"/>
  <c r="AI165" i="3"/>
  <c r="AI190" i="3"/>
  <c r="AI227" i="3"/>
  <c r="AI159" i="3"/>
  <c r="AI51" i="3"/>
  <c r="AI29" i="3"/>
  <c r="AI293" i="3"/>
  <c r="AI73" i="3"/>
  <c r="AI248" i="3"/>
  <c r="AI336" i="3"/>
  <c r="AI273" i="3"/>
  <c r="AI247" i="3"/>
  <c r="AI109" i="3"/>
  <c r="AI319" i="3"/>
  <c r="AI335" i="3"/>
  <c r="AI351" i="3"/>
  <c r="AI125" i="3"/>
  <c r="AI222" i="3"/>
  <c r="AI223" i="3"/>
  <c r="AI60" i="3"/>
  <c r="AI302" i="3"/>
  <c r="AI17" i="3"/>
  <c r="AI328" i="3"/>
  <c r="AI145" i="3"/>
  <c r="AI134" i="3"/>
  <c r="AI93" i="3"/>
  <c r="AI140" i="3"/>
  <c r="AI340" i="3"/>
  <c r="AI333" i="3"/>
  <c r="AI7" i="3"/>
  <c r="AI71" i="3"/>
  <c r="AI105" i="3"/>
  <c r="AI296" i="3"/>
  <c r="AI50" i="3"/>
  <c r="AI106" i="3"/>
  <c r="AI274" i="3"/>
  <c r="AI38" i="3"/>
  <c r="AI246" i="3"/>
  <c r="AI205" i="3"/>
  <c r="AI55" i="3"/>
  <c r="AI131" i="3"/>
  <c r="AI70" i="3"/>
  <c r="AI85" i="3"/>
  <c r="AI15" i="3"/>
  <c r="AI41" i="3"/>
  <c r="AI113" i="3"/>
  <c r="AI139" i="3"/>
  <c r="AI37" i="3"/>
  <c r="AI44" i="3"/>
  <c r="AI147" i="3"/>
  <c r="AI228" i="3"/>
  <c r="AI46" i="3"/>
  <c r="AI86" i="3"/>
  <c r="AI277" i="3"/>
  <c r="AI63" i="3"/>
  <c r="AI289" i="3"/>
  <c r="AI329" i="3"/>
  <c r="AI345" i="3"/>
  <c r="AI361" i="3"/>
  <c r="AI3" i="3"/>
  <c r="AI19" i="3"/>
  <c r="AI35" i="3"/>
  <c r="AI79" i="3"/>
  <c r="AI174" i="3"/>
  <c r="AI313" i="3"/>
  <c r="AI310" i="3"/>
  <c r="AI342" i="3"/>
  <c r="AA32" i="3"/>
  <c r="AI135" i="3"/>
  <c r="AI215" i="3"/>
  <c r="AI255" i="3"/>
  <c r="AI258" i="3"/>
  <c r="AI76" i="3"/>
  <c r="AI108" i="3"/>
  <c r="AI259" i="3"/>
  <c r="AI102" i="3"/>
  <c r="AI269" i="3"/>
  <c r="AI47" i="3"/>
  <c r="AI65" i="3"/>
  <c r="AI344" i="3"/>
  <c r="AI137" i="3"/>
  <c r="AI201" i="3"/>
  <c r="AI217" i="3"/>
  <c r="AI43" i="3"/>
  <c r="AI210" i="3"/>
  <c r="AI267" i="3"/>
  <c r="AI181" i="3"/>
  <c r="AI278" i="3"/>
  <c r="AI195" i="3"/>
  <c r="AI299" i="3"/>
  <c r="AI331" i="3"/>
  <c r="AI363" i="3"/>
  <c r="AI14" i="3"/>
  <c r="AI237" i="3"/>
  <c r="AI318" i="3"/>
  <c r="AI240" i="3"/>
  <c r="AI256" i="3"/>
  <c r="AI66" i="3"/>
  <c r="AI185" i="3"/>
  <c r="AI241" i="3"/>
  <c r="AI235" i="3"/>
  <c r="AI53" i="3"/>
  <c r="AI116" i="3"/>
  <c r="AI252" i="3"/>
  <c r="AI157" i="3"/>
  <c r="AM157" i="3" s="1"/>
  <c r="AQ157" i="3" s="1"/>
  <c r="AI189" i="3"/>
  <c r="AI301" i="3"/>
  <c r="AI349" i="3"/>
  <c r="AI118" i="3"/>
  <c r="AA468" i="3"/>
  <c r="Z394" i="3"/>
  <c r="Z458" i="3"/>
  <c r="AA408" i="3"/>
  <c r="Z440" i="3"/>
  <c r="AI295" i="3"/>
  <c r="AI208" i="3"/>
  <c r="AI169" i="3"/>
  <c r="AI107" i="3"/>
  <c r="AI178" i="3"/>
  <c r="AI226" i="3"/>
  <c r="AI203" i="3"/>
  <c r="AI62" i="3"/>
  <c r="AI39" i="3"/>
  <c r="AI206" i="3"/>
  <c r="AI326" i="3"/>
  <c r="AI311" i="3"/>
  <c r="AA303" i="3"/>
  <c r="Z399" i="3"/>
  <c r="Z431" i="3"/>
  <c r="Z463" i="3"/>
  <c r="AA404" i="3"/>
  <c r="AA10" i="3"/>
  <c r="AA443" i="3"/>
  <c r="AI48" i="3"/>
  <c r="AI119" i="3"/>
  <c r="AI338" i="3"/>
  <c r="AI28" i="3"/>
  <c r="AI148" i="3"/>
  <c r="AA409" i="3"/>
  <c r="AA441" i="3"/>
  <c r="Z410" i="3"/>
  <c r="Z419" i="3"/>
  <c r="AA388" i="3"/>
  <c r="AI207" i="3"/>
  <c r="AI126" i="3"/>
  <c r="AI230" i="3"/>
  <c r="AM230" i="3" s="1"/>
  <c r="AQ230" i="3" s="1"/>
  <c r="AI334" i="3"/>
  <c r="AI232" i="3"/>
  <c r="AI18" i="3"/>
  <c r="AI84" i="3"/>
  <c r="AI171" i="3"/>
  <c r="AI132" i="3"/>
  <c r="AI188" i="3"/>
  <c r="AI151" i="3"/>
  <c r="AI287" i="3"/>
  <c r="AI163" i="3"/>
  <c r="AI211" i="3"/>
  <c r="AI283" i="3"/>
  <c r="AI315" i="3"/>
  <c r="AI69" i="3"/>
  <c r="AI308" i="3"/>
  <c r="AI30" i="3"/>
  <c r="AI198" i="3"/>
  <c r="AI270" i="3"/>
  <c r="AI97" i="3"/>
  <c r="AI136" i="3"/>
  <c r="AI320" i="3"/>
  <c r="AI75" i="3"/>
  <c r="AI154" i="3"/>
  <c r="AI268" i="3"/>
  <c r="AI110" i="3"/>
  <c r="AI31" i="3"/>
  <c r="AI182" i="3"/>
  <c r="AI286" i="3"/>
  <c r="AI350" i="3"/>
  <c r="AI25" i="3"/>
  <c r="AI89" i="3"/>
  <c r="AI120" i="3"/>
  <c r="AI168" i="3"/>
  <c r="AI184" i="3"/>
  <c r="AI224" i="3"/>
  <c r="AI272" i="3"/>
  <c r="AI352" i="3"/>
  <c r="AI121" i="3"/>
  <c r="AI161" i="3"/>
  <c r="AI114" i="3"/>
  <c r="AI138" i="3"/>
  <c r="AI186" i="3"/>
  <c r="AI202" i="3"/>
  <c r="AI20" i="3"/>
  <c r="AM20" i="3" s="1"/>
  <c r="AQ20" i="3" s="1"/>
  <c r="AI52" i="3"/>
  <c r="AI61" i="3"/>
  <c r="AI101" i="3"/>
  <c r="AI245" i="3"/>
  <c r="AI341" i="3"/>
  <c r="AI87" i="3"/>
  <c r="AI111" i="3"/>
  <c r="AI150" i="3"/>
  <c r="AI294" i="3"/>
  <c r="AI104" i="3"/>
  <c r="AI243" i="3"/>
  <c r="AI179" i="3"/>
  <c r="AI347" i="3"/>
  <c r="AI5" i="3"/>
  <c r="AI88" i="3"/>
  <c r="AI314" i="3"/>
  <c r="AI128" i="3"/>
  <c r="AI312" i="3"/>
  <c r="AI297" i="3"/>
  <c r="AI59" i="3"/>
  <c r="AI99" i="3"/>
  <c r="AI170" i="3"/>
  <c r="AI236" i="3"/>
  <c r="AI6" i="3"/>
  <c r="AI213" i="3"/>
  <c r="AI327" i="3"/>
  <c r="AI346" i="3"/>
  <c r="AI4" i="3"/>
  <c r="AI300" i="3"/>
  <c r="AI9" i="3"/>
  <c r="AI192" i="3"/>
  <c r="AI282" i="3"/>
  <c r="AI58" i="3"/>
  <c r="AI167" i="3"/>
  <c r="AI234" i="3"/>
  <c r="AI218" i="3"/>
  <c r="AI133" i="3"/>
  <c r="AI90" i="3"/>
  <c r="AI56" i="3"/>
  <c r="AI191" i="3"/>
  <c r="AI164" i="3"/>
  <c r="AI34" i="3"/>
  <c r="AM34" i="3" s="1"/>
  <c r="AQ34" i="3" s="1"/>
  <c r="AI225" i="3"/>
  <c r="AI265" i="3"/>
  <c r="AI353" i="3"/>
  <c r="AI355" i="3"/>
  <c r="AI156" i="3"/>
  <c r="AI332" i="3"/>
  <c r="AI364" i="3"/>
  <c r="AI78" i="3"/>
  <c r="AI325" i="3"/>
  <c r="AI72" i="3"/>
  <c r="AI367" i="3"/>
  <c r="AI298" i="3"/>
  <c r="AI115" i="3"/>
  <c r="AI244" i="3"/>
  <c r="AI284" i="3"/>
  <c r="AI54" i="3"/>
  <c r="AI366" i="3"/>
  <c r="AI152" i="3"/>
  <c r="AI176" i="3"/>
  <c r="AI264" i="3"/>
  <c r="AI42" i="3"/>
  <c r="AI74" i="3"/>
  <c r="AI98" i="3"/>
  <c r="AI153" i="3"/>
  <c r="AI249" i="3"/>
  <c r="AI305" i="3"/>
  <c r="AI321" i="3"/>
  <c r="AI337" i="3"/>
  <c r="AI83" i="3"/>
  <c r="AI146" i="3"/>
  <c r="AI36" i="3"/>
  <c r="AI251" i="3"/>
  <c r="AI13" i="3"/>
  <c r="AI77" i="3"/>
  <c r="AI204" i="3"/>
  <c r="AI141" i="3"/>
  <c r="AI261" i="3"/>
  <c r="AI356" i="3"/>
  <c r="AI16" i="3"/>
  <c r="AI362" i="3"/>
  <c r="AI196" i="3"/>
  <c r="AI276" i="3"/>
  <c r="AI231" i="3"/>
  <c r="AI197" i="3"/>
  <c r="AI11" i="3"/>
  <c r="AI8" i="3"/>
  <c r="AI24" i="3"/>
  <c r="AI40" i="3"/>
  <c r="AI80" i="3"/>
  <c r="AI96" i="3"/>
  <c r="AI175" i="3"/>
  <c r="AI199" i="3"/>
  <c r="AI242" i="3"/>
  <c r="AI322" i="3"/>
  <c r="AI354" i="3"/>
  <c r="AI92" i="3"/>
  <c r="AI45" i="3"/>
  <c r="AI180" i="3"/>
  <c r="AI260" i="3"/>
  <c r="AI253" i="3"/>
  <c r="AI317" i="3"/>
  <c r="AI142" i="3"/>
  <c r="AI238" i="3"/>
  <c r="AI2" i="3"/>
  <c r="AI360" i="3"/>
  <c r="AI26" i="3"/>
  <c r="AI177" i="3"/>
  <c r="AI233" i="3"/>
  <c r="AI12" i="3"/>
  <c r="AI68" i="3"/>
  <c r="AI187" i="3"/>
  <c r="AI219" i="3"/>
  <c r="AM219" i="3" s="1"/>
  <c r="AQ219" i="3" s="1"/>
  <c r="AI307" i="3"/>
  <c r="AI172" i="3"/>
  <c r="AI292" i="3"/>
  <c r="AI95" i="3"/>
  <c r="AI143" i="3"/>
  <c r="AI330" i="3"/>
  <c r="AI173" i="3"/>
  <c r="AI127" i="3"/>
  <c r="AI144" i="3"/>
  <c r="AI257" i="3"/>
  <c r="AI254" i="3"/>
  <c r="AI280" i="3"/>
  <c r="AI64" i="3"/>
  <c r="AI183" i="3"/>
  <c r="AI239" i="3"/>
  <c r="AI279" i="3"/>
  <c r="AI343" i="3"/>
  <c r="AI359" i="3"/>
  <c r="AI162" i="3"/>
  <c r="AI290" i="3"/>
  <c r="AI306" i="3"/>
  <c r="AI275" i="3"/>
  <c r="AI212" i="3"/>
  <c r="AI324" i="3"/>
  <c r="AI149" i="3"/>
  <c r="AI221" i="3"/>
  <c r="AI357" i="3"/>
  <c r="AI103" i="3"/>
  <c r="AI166" i="3"/>
  <c r="AI214" i="3"/>
  <c r="AI49" i="3"/>
  <c r="AI160" i="3"/>
  <c r="AI216" i="3"/>
  <c r="AI304" i="3"/>
  <c r="AI82" i="3"/>
  <c r="AI67" i="3"/>
  <c r="AI91" i="3"/>
  <c r="AI130" i="3"/>
  <c r="AI123" i="3"/>
  <c r="AI339" i="3"/>
  <c r="AI220" i="3"/>
  <c r="AI316" i="3"/>
  <c r="AI348" i="3"/>
  <c r="AI94" i="3"/>
  <c r="AI117" i="3"/>
  <c r="AI285" i="3"/>
  <c r="AI309" i="3"/>
  <c r="AI365" i="3"/>
  <c r="AI266" i="3"/>
  <c r="D24" i="3"/>
  <c r="AF24" i="3" s="1"/>
  <c r="D232" i="3"/>
  <c r="AF232" i="3" s="1"/>
  <c r="D161" i="3"/>
  <c r="AF161" i="3" s="1"/>
  <c r="D60" i="3"/>
  <c r="AF60" i="3" s="1"/>
  <c r="D35" i="3"/>
  <c r="AF35" i="3" s="1"/>
  <c r="AE59" i="3"/>
  <c r="D4" i="3"/>
  <c r="AF4" i="3" s="1"/>
  <c r="AE12" i="3"/>
  <c r="D13" i="3"/>
  <c r="AF13" i="3" s="1"/>
  <c r="D84" i="3"/>
  <c r="AF84" i="3" s="1"/>
  <c r="AE83" i="3"/>
  <c r="D115" i="3"/>
  <c r="AF115" i="3" s="1"/>
  <c r="AE114" i="3"/>
  <c r="M6" i="4" l="1"/>
  <c r="O33" i="4"/>
  <c r="O43" i="4"/>
  <c r="O35" i="4"/>
  <c r="M19" i="4"/>
  <c r="M82" i="4"/>
  <c r="M32" i="4"/>
  <c r="M84" i="4"/>
  <c r="R309" i="3" s="1"/>
  <c r="R67" i="3"/>
  <c r="R315" i="3"/>
  <c r="R163" i="3"/>
  <c r="R2" i="3"/>
  <c r="R42" i="3"/>
  <c r="R116" i="3"/>
  <c r="R6" i="3"/>
  <c r="R11" i="3"/>
  <c r="R98" i="3"/>
  <c r="R244" i="3"/>
  <c r="M15" i="4"/>
  <c r="O11" i="4"/>
  <c r="O7" i="4"/>
  <c r="M59" i="4"/>
  <c r="O6" i="4"/>
  <c r="J9" i="12" s="1"/>
  <c r="O12" i="4"/>
  <c r="O13" i="4"/>
  <c r="O34" i="4"/>
  <c r="O15" i="4"/>
  <c r="M61" i="4"/>
  <c r="M8" i="4"/>
  <c r="O70" i="4"/>
  <c r="O69" i="4"/>
  <c r="M34" i="4"/>
  <c r="M16" i="4"/>
  <c r="R23" i="3" s="1"/>
  <c r="M83" i="4"/>
  <c r="R308" i="3" s="1"/>
  <c r="M7" i="4"/>
  <c r="M71" i="4"/>
  <c r="O27" i="4"/>
  <c r="M60" i="4"/>
  <c r="D310" i="3"/>
  <c r="AF309" i="3"/>
  <c r="O68" i="4"/>
  <c r="P68" i="4" s="1"/>
  <c r="O84" i="4"/>
  <c r="P84" i="4" s="1"/>
  <c r="O92" i="4"/>
  <c r="P92" i="4" s="1"/>
  <c r="P68" i="6" s="1"/>
  <c r="O16" i="4"/>
  <c r="P16" i="4" s="1"/>
  <c r="O56" i="4"/>
  <c r="P56" i="4" s="1"/>
  <c r="O96" i="4"/>
  <c r="P96" i="4" s="1"/>
  <c r="P72" i="6" s="1"/>
  <c r="O90" i="4"/>
  <c r="P90" i="4" s="1"/>
  <c r="P66" i="6" s="1"/>
  <c r="O83" i="4"/>
  <c r="P83" i="4" s="1"/>
  <c r="O77" i="4"/>
  <c r="P77" i="4" s="1"/>
  <c r="O85" i="4"/>
  <c r="P85" i="4" s="1"/>
  <c r="O93" i="4"/>
  <c r="P93" i="4" s="1"/>
  <c r="P69" i="6" s="1"/>
  <c r="O95" i="4"/>
  <c r="P95" i="4" s="1"/>
  <c r="P71" i="6" s="1"/>
  <c r="O88" i="4"/>
  <c r="P88" i="4" s="1"/>
  <c r="P64" i="6" s="1"/>
  <c r="O67" i="4"/>
  <c r="P67" i="4" s="1"/>
  <c r="O91" i="4"/>
  <c r="P91" i="4" s="1"/>
  <c r="P67" i="6" s="1"/>
  <c r="O94" i="4"/>
  <c r="P94" i="4" s="1"/>
  <c r="P70" i="6" s="1"/>
  <c r="O87" i="4"/>
  <c r="P87" i="4" s="1"/>
  <c r="P63" i="6" s="1"/>
  <c r="O89" i="4"/>
  <c r="P89" i="4" s="1"/>
  <c r="P65" i="6" s="1"/>
  <c r="O97" i="4"/>
  <c r="P97" i="4" s="1"/>
  <c r="P73" i="6" s="1"/>
  <c r="Q7" i="4"/>
  <c r="Q83" i="4"/>
  <c r="Q16" i="4"/>
  <c r="Q84" i="4"/>
  <c r="Q12" i="4"/>
  <c r="M9" i="12"/>
  <c r="N9" i="12"/>
  <c r="M10" i="12"/>
  <c r="N10" i="12"/>
  <c r="M11" i="12"/>
  <c r="V11" i="12"/>
  <c r="W11" i="12"/>
  <c r="X11" i="12" s="1"/>
  <c r="F12" i="12"/>
  <c r="D12" i="12"/>
  <c r="C12" i="12"/>
  <c r="Q12" i="12" s="1"/>
  <c r="B12" i="12"/>
  <c r="E12" i="12"/>
  <c r="U373" i="3"/>
  <c r="U34" i="3"/>
  <c r="U230" i="3"/>
  <c r="P13" i="7"/>
  <c r="O14" i="7" s="1"/>
  <c r="Q14" i="7" s="1"/>
  <c r="U157" i="3"/>
  <c r="U20" i="3"/>
  <c r="U219" i="3"/>
  <c r="AE24" i="3"/>
  <c r="D25" i="3"/>
  <c r="AF25" i="3" s="1"/>
  <c r="Q13" i="4" s="1"/>
  <c r="D233" i="3"/>
  <c r="AF233" i="3" s="1"/>
  <c r="AE60" i="3"/>
  <c r="D61" i="3"/>
  <c r="AF61" i="3" s="1"/>
  <c r="M36" i="4" s="1"/>
  <c r="D162" i="3"/>
  <c r="AF162" i="3" s="1"/>
  <c r="D36" i="3"/>
  <c r="AF36" i="3" s="1"/>
  <c r="M20" i="4" s="1"/>
  <c r="D5" i="3"/>
  <c r="AF5" i="3" s="1"/>
  <c r="AE13" i="3"/>
  <c r="D14" i="3"/>
  <c r="AF14" i="3" s="1"/>
  <c r="Q8" i="4" s="1"/>
  <c r="D116" i="3"/>
  <c r="AF116" i="3" s="1"/>
  <c r="AE115" i="3"/>
  <c r="D85" i="3"/>
  <c r="AF85" i="3" s="1"/>
  <c r="O36" i="4" s="1"/>
  <c r="AE84" i="3"/>
  <c r="Q63" i="6" l="1"/>
  <c r="R122" i="3"/>
  <c r="R168" i="3"/>
  <c r="R317" i="3"/>
  <c r="R246" i="3"/>
  <c r="R48" i="3"/>
  <c r="R36" i="3"/>
  <c r="R104" i="3"/>
  <c r="R61" i="3"/>
  <c r="R85" i="3"/>
  <c r="R68" i="3"/>
  <c r="R188" i="3"/>
  <c r="R354" i="3"/>
  <c r="R287" i="3"/>
  <c r="R135" i="3"/>
  <c r="R285" i="3"/>
  <c r="R202" i="3"/>
  <c r="R161" i="3"/>
  <c r="R292" i="3"/>
  <c r="R352" i="3"/>
  <c r="R3" i="3"/>
  <c r="R13" i="3"/>
  <c r="D311" i="3"/>
  <c r="AF310" i="3"/>
  <c r="R382" i="3"/>
  <c r="R307" i="3"/>
  <c r="R4" i="3"/>
  <c r="R14" i="3"/>
  <c r="R131" i="3"/>
  <c r="R187" i="3"/>
  <c r="R353" i="3"/>
  <c r="R73" i="3"/>
  <c r="R58" i="3"/>
  <c r="R286" i="3"/>
  <c r="R97" i="3"/>
  <c r="R233" i="3"/>
  <c r="R311" i="3"/>
  <c r="R280" i="3"/>
  <c r="R347" i="3"/>
  <c r="O8" i="4"/>
  <c r="J11" i="12" s="1"/>
  <c r="M9" i="4"/>
  <c r="R159" i="3"/>
  <c r="R217" i="3"/>
  <c r="R284" i="3"/>
  <c r="R201" i="3"/>
  <c r="R351" i="3"/>
  <c r="R83" i="3"/>
  <c r="R133" i="3"/>
  <c r="R232" i="3"/>
  <c r="R175" i="3"/>
  <c r="R60" i="3"/>
  <c r="R162" i="3"/>
  <c r="R121" i="3"/>
  <c r="R47" i="3"/>
  <c r="R103" i="3"/>
  <c r="R33" i="3"/>
  <c r="R204" i="3"/>
  <c r="R160" i="3"/>
  <c r="R240" i="3"/>
  <c r="R35" i="3"/>
  <c r="R101" i="3"/>
  <c r="R22" i="3"/>
  <c r="R248" i="3"/>
  <c r="R166" i="3"/>
  <c r="R119" i="3"/>
  <c r="Q64" i="6"/>
  <c r="Q69" i="6"/>
  <c r="Q71" i="6"/>
  <c r="Q72" i="6"/>
  <c r="Q66" i="6"/>
  <c r="Q68" i="6"/>
  <c r="Q65" i="6"/>
  <c r="Q70" i="6"/>
  <c r="Q67" i="6"/>
  <c r="T12" i="12"/>
  <c r="U12" i="12" s="1"/>
  <c r="M12" i="12"/>
  <c r="A13" i="12"/>
  <c r="N6" i="4"/>
  <c r="H9" i="12"/>
  <c r="Q73" i="6"/>
  <c r="S59" i="6"/>
  <c r="Q48" i="6"/>
  <c r="P61" i="6"/>
  <c r="Q61" i="6"/>
  <c r="O21" i="6"/>
  <c r="R99" i="4"/>
  <c r="Q30" i="6"/>
  <c r="S60" i="6"/>
  <c r="P59" i="6"/>
  <c r="Q59" i="6"/>
  <c r="Q22" i="6"/>
  <c r="N7" i="4"/>
  <c r="L7" i="4"/>
  <c r="Q23" i="6"/>
  <c r="P60" i="6"/>
  <c r="Q60" i="6"/>
  <c r="Q47" i="6"/>
  <c r="O41" i="6"/>
  <c r="Q9" i="6"/>
  <c r="Q24" i="6"/>
  <c r="I9" i="6"/>
  <c r="P14" i="7"/>
  <c r="O15" i="7" s="1"/>
  <c r="Q15" i="7" s="1"/>
  <c r="D26" i="3"/>
  <c r="AF26" i="3" s="1"/>
  <c r="AE25" i="3"/>
  <c r="D234" i="3"/>
  <c r="AF234" i="3" s="1"/>
  <c r="M69" i="4" s="1"/>
  <c r="AE61" i="3"/>
  <c r="D62" i="3"/>
  <c r="AF62" i="3" s="1"/>
  <c r="M28" i="4" s="1"/>
  <c r="D37" i="3"/>
  <c r="AF37" i="3" s="1"/>
  <c r="M21" i="4" s="1"/>
  <c r="H10" i="12"/>
  <c r="D163" i="3"/>
  <c r="AF163" i="3" s="1"/>
  <c r="AE162" i="3"/>
  <c r="D6" i="3"/>
  <c r="AF6" i="3" s="1"/>
  <c r="AE14" i="3"/>
  <c r="D15" i="3"/>
  <c r="AF15" i="3" s="1"/>
  <c r="O9" i="4" s="1"/>
  <c r="D117" i="3"/>
  <c r="AF117" i="3" s="1"/>
  <c r="AE116" i="3"/>
  <c r="D86" i="3"/>
  <c r="AF86" i="3" s="1"/>
  <c r="M44" i="4" s="1"/>
  <c r="AE85" i="3"/>
  <c r="Q11" i="6" l="1"/>
  <c r="R208" i="3"/>
  <c r="R250" i="3"/>
  <c r="R37" i="3"/>
  <c r="R49" i="3"/>
  <c r="R169" i="3"/>
  <c r="R105" i="3"/>
  <c r="R320" i="3"/>
  <c r="R123" i="3"/>
  <c r="M85" i="4"/>
  <c r="R310" i="3" s="1"/>
  <c r="Q85" i="4"/>
  <c r="R333" i="3"/>
  <c r="R263" i="3"/>
  <c r="R86" i="3"/>
  <c r="R153" i="3"/>
  <c r="R183" i="3"/>
  <c r="R69" i="3"/>
  <c r="R62" i="3"/>
  <c r="R322" i="3"/>
  <c r="R108" i="3"/>
  <c r="R252" i="3"/>
  <c r="R127" i="3"/>
  <c r="R171" i="3"/>
  <c r="D312" i="3"/>
  <c r="AF311" i="3"/>
  <c r="O71" i="4" s="1"/>
  <c r="R318" i="3"/>
  <c r="R5" i="3"/>
  <c r="R117" i="3"/>
  <c r="R15" i="3"/>
  <c r="R164" i="3"/>
  <c r="R247" i="3"/>
  <c r="R99" i="3"/>
  <c r="Q14" i="4"/>
  <c r="O14" i="4"/>
  <c r="R348" i="3"/>
  <c r="R234" i="3"/>
  <c r="R305" i="3"/>
  <c r="R281" i="3"/>
  <c r="V12" i="12"/>
  <c r="W12" i="12"/>
  <c r="X12" i="12" s="1"/>
  <c r="E13" i="12"/>
  <c r="B13" i="12"/>
  <c r="F13" i="12"/>
  <c r="D13" i="12"/>
  <c r="C13" i="12"/>
  <c r="Q13" i="12" s="1"/>
  <c r="O42" i="6"/>
  <c r="O49" i="6"/>
  <c r="S3" i="3"/>
  <c r="S13" i="3"/>
  <c r="L9" i="4"/>
  <c r="G10" i="12" s="1"/>
  <c r="R10" i="12" s="1"/>
  <c r="S10" i="12" s="1"/>
  <c r="N9" i="4"/>
  <c r="O10" i="6"/>
  <c r="O58" i="6"/>
  <c r="N8" i="4"/>
  <c r="L8" i="4"/>
  <c r="J9" i="6"/>
  <c r="P15" i="7"/>
  <c r="O16" i="7" s="1"/>
  <c r="D27" i="3"/>
  <c r="AF27" i="3" s="1"/>
  <c r="AE26" i="3"/>
  <c r="D235" i="3"/>
  <c r="AF235" i="3" s="1"/>
  <c r="M72" i="4" s="1"/>
  <c r="J10" i="12"/>
  <c r="AE62" i="3"/>
  <c r="D63" i="3"/>
  <c r="AF63" i="3" s="1"/>
  <c r="M35" i="4" s="1"/>
  <c r="D164" i="3"/>
  <c r="AF164" i="3" s="1"/>
  <c r="AE163" i="3"/>
  <c r="D7" i="3"/>
  <c r="AF7" i="3" s="1"/>
  <c r="D38" i="3"/>
  <c r="AF38" i="3" s="1"/>
  <c r="M22" i="4" s="1"/>
  <c r="AE15" i="3"/>
  <c r="D16" i="3"/>
  <c r="AF16" i="3" s="1"/>
  <c r="D87" i="3"/>
  <c r="AF87" i="3" s="1"/>
  <c r="M43" i="4" s="1"/>
  <c r="AE86" i="3"/>
  <c r="D118" i="3"/>
  <c r="AF118" i="3" s="1"/>
  <c r="AE117" i="3"/>
  <c r="O10" i="4" l="1"/>
  <c r="Q10" i="4"/>
  <c r="R312" i="3"/>
  <c r="R282" i="3"/>
  <c r="R235" i="3"/>
  <c r="S61" i="6"/>
  <c r="D313" i="3"/>
  <c r="AF312" i="3"/>
  <c r="R326" i="3"/>
  <c r="R84" i="3"/>
  <c r="R134" i="3"/>
  <c r="R256" i="3"/>
  <c r="R63" i="3"/>
  <c r="R176" i="3"/>
  <c r="R106" i="3"/>
  <c r="R50" i="3"/>
  <c r="R124" i="3"/>
  <c r="R251" i="3"/>
  <c r="R38" i="3"/>
  <c r="R170" i="3"/>
  <c r="R321" i="3"/>
  <c r="M10" i="4"/>
  <c r="H13" i="12" s="1"/>
  <c r="R114" i="3"/>
  <c r="R87" i="3"/>
  <c r="R261" i="3"/>
  <c r="R181" i="3"/>
  <c r="R331" i="3"/>
  <c r="Q68" i="4"/>
  <c r="M68" i="4"/>
  <c r="R27" i="3" s="1"/>
  <c r="T13" i="12"/>
  <c r="U13" i="12" s="1"/>
  <c r="M13" i="12"/>
  <c r="N13" i="12"/>
  <c r="A14" i="12"/>
  <c r="S5" i="3"/>
  <c r="S15" i="3"/>
  <c r="S117" i="3"/>
  <c r="S247" i="3"/>
  <c r="S164" i="3"/>
  <c r="S318" i="3"/>
  <c r="S99" i="3"/>
  <c r="N10" i="6"/>
  <c r="Y13" i="3"/>
  <c r="AO13" i="3"/>
  <c r="AN13" i="3"/>
  <c r="AP13" i="3"/>
  <c r="O24" i="6"/>
  <c r="S4" i="3"/>
  <c r="S14" i="3"/>
  <c r="Q10" i="6"/>
  <c r="AP3" i="3"/>
  <c r="Y3" i="3"/>
  <c r="AN3" i="3"/>
  <c r="AO3" i="3"/>
  <c r="O59" i="6"/>
  <c r="Q16" i="7"/>
  <c r="P16" i="7"/>
  <c r="O17" i="7" s="1"/>
  <c r="AE27" i="3"/>
  <c r="D28" i="3"/>
  <c r="AF28" i="3" s="1"/>
  <c r="M17" i="4" s="1"/>
  <c r="D236" i="3"/>
  <c r="AF236" i="3" s="1"/>
  <c r="M73" i="4" s="1"/>
  <c r="D39" i="3"/>
  <c r="AF39" i="3" s="1"/>
  <c r="M23" i="4" s="1"/>
  <c r="AE63" i="3"/>
  <c r="D64" i="3"/>
  <c r="AF64" i="3" s="1"/>
  <c r="M30" i="4" s="1"/>
  <c r="D8" i="3"/>
  <c r="AF8" i="3" s="1"/>
  <c r="D165" i="3"/>
  <c r="AF165" i="3" s="1"/>
  <c r="AE164" i="3"/>
  <c r="D17" i="3"/>
  <c r="AF17" i="3" s="1"/>
  <c r="M12" i="4" s="1"/>
  <c r="AE16" i="3"/>
  <c r="AE118" i="3"/>
  <c r="D119" i="3"/>
  <c r="AF119" i="3" s="1"/>
  <c r="D88" i="3"/>
  <c r="AF88" i="3" s="1"/>
  <c r="O37" i="4" s="1"/>
  <c r="AE87" i="3"/>
  <c r="O13" i="6" l="1"/>
  <c r="H14" i="12"/>
  <c r="N11" i="12"/>
  <c r="M11" i="4"/>
  <c r="Q72" i="4"/>
  <c r="O72" i="4"/>
  <c r="P8" i="4"/>
  <c r="R173" i="3"/>
  <c r="R254" i="3"/>
  <c r="R110" i="3"/>
  <c r="R129" i="3"/>
  <c r="R64" i="3"/>
  <c r="R324" i="3"/>
  <c r="R71" i="3"/>
  <c r="D314" i="3"/>
  <c r="AF313" i="3"/>
  <c r="O73" i="4" s="1"/>
  <c r="R313" i="3"/>
  <c r="R291" i="3"/>
  <c r="R236" i="3"/>
  <c r="R358" i="3"/>
  <c r="R7" i="3"/>
  <c r="R16" i="3"/>
  <c r="R39" i="3"/>
  <c r="R51" i="3"/>
  <c r="R24" i="3"/>
  <c r="R17" i="3"/>
  <c r="R28" i="3"/>
  <c r="R29" i="3"/>
  <c r="R45" i="3"/>
  <c r="P11" i="4"/>
  <c r="C14" i="12"/>
  <c r="Q14" i="12" s="1"/>
  <c r="D14" i="12"/>
  <c r="B14" i="12"/>
  <c r="E14" i="12"/>
  <c r="F14" i="12"/>
  <c r="W13" i="12"/>
  <c r="X13" i="12" s="1"/>
  <c r="V13" i="12"/>
  <c r="AM3" i="3"/>
  <c r="AQ3" i="3" s="1"/>
  <c r="Y318" i="3"/>
  <c r="AP318" i="3"/>
  <c r="AO318" i="3"/>
  <c r="AN318" i="3"/>
  <c r="Z3" i="3"/>
  <c r="AA3" i="3" s="1"/>
  <c r="Y164" i="3"/>
  <c r="AN164" i="3"/>
  <c r="AO164" i="3"/>
  <c r="AP164" i="3"/>
  <c r="Y247" i="3"/>
  <c r="AN247" i="3"/>
  <c r="AP247" i="3"/>
  <c r="AO247" i="3"/>
  <c r="O60" i="6"/>
  <c r="Y99" i="3"/>
  <c r="AP99" i="3"/>
  <c r="AO99" i="3"/>
  <c r="AN99" i="3"/>
  <c r="Y14" i="3"/>
  <c r="AO14" i="3"/>
  <c r="AP14" i="3"/>
  <c r="AN14" i="3"/>
  <c r="AM13" i="3"/>
  <c r="AQ13" i="3" s="1"/>
  <c r="AO117" i="3"/>
  <c r="AP117" i="3"/>
  <c r="Y117" i="3"/>
  <c r="AN117" i="3"/>
  <c r="O31" i="6"/>
  <c r="O17" i="6"/>
  <c r="Y4" i="3"/>
  <c r="AN4" i="3"/>
  <c r="AO4" i="3"/>
  <c r="AP4" i="3"/>
  <c r="AN15" i="3"/>
  <c r="AP15" i="3"/>
  <c r="Y15" i="3"/>
  <c r="AO15" i="3"/>
  <c r="O14" i="6"/>
  <c r="O47" i="6"/>
  <c r="Z13" i="3"/>
  <c r="AA13" i="3" s="1"/>
  <c r="Y5" i="3"/>
  <c r="AP5" i="3"/>
  <c r="AN5" i="3"/>
  <c r="AO5" i="3"/>
  <c r="P17" i="7"/>
  <c r="O18" i="7" s="1"/>
  <c r="Q17" i="7"/>
  <c r="AE28" i="3"/>
  <c r="D29" i="3"/>
  <c r="AF29" i="3" s="1"/>
  <c r="D237" i="3"/>
  <c r="AF237" i="3" s="1"/>
  <c r="M74" i="4" s="1"/>
  <c r="D40" i="3"/>
  <c r="AF40" i="3" s="1"/>
  <c r="M26" i="4" s="1"/>
  <c r="AE64" i="3"/>
  <c r="D65" i="3"/>
  <c r="AF65" i="3" s="1"/>
  <c r="M29" i="4" s="1"/>
  <c r="D166" i="3"/>
  <c r="AF166" i="3" s="1"/>
  <c r="AE165" i="3"/>
  <c r="D9" i="3"/>
  <c r="AE17" i="3"/>
  <c r="D18" i="3"/>
  <c r="AF18" i="3" s="1"/>
  <c r="M13" i="4" s="1"/>
  <c r="AE88" i="3"/>
  <c r="D89" i="3"/>
  <c r="AF89" i="3" s="1"/>
  <c r="D120" i="3"/>
  <c r="AF120" i="3" s="1"/>
  <c r="AE119" i="3"/>
  <c r="AF9" i="3" l="1"/>
  <c r="D10" i="3"/>
  <c r="R262" i="3"/>
  <c r="R125" i="3"/>
  <c r="R54" i="3"/>
  <c r="R115" i="3"/>
  <c r="R332" i="3"/>
  <c r="R182" i="3"/>
  <c r="R231" i="3"/>
  <c r="R40" i="3"/>
  <c r="R80" i="3"/>
  <c r="D315" i="3"/>
  <c r="AF314" i="3"/>
  <c r="O74" i="4" s="1"/>
  <c r="P9" i="4"/>
  <c r="P7" i="4"/>
  <c r="R237" i="3"/>
  <c r="R357" i="3"/>
  <c r="R314" i="3"/>
  <c r="R290" i="3"/>
  <c r="R118" i="3"/>
  <c r="R43" i="3"/>
  <c r="R113" i="3"/>
  <c r="R316" i="3"/>
  <c r="R12" i="3"/>
  <c r="R9" i="3"/>
  <c r="R100" i="3"/>
  <c r="R165" i="3"/>
  <c r="R242" i="3"/>
  <c r="R205" i="3"/>
  <c r="R245" i="3"/>
  <c r="R8" i="3"/>
  <c r="R31" i="3"/>
  <c r="R18" i="3"/>
  <c r="R25" i="3"/>
  <c r="P10" i="4"/>
  <c r="Q50" i="6"/>
  <c r="R65" i="3"/>
  <c r="R323" i="3"/>
  <c r="R253" i="3"/>
  <c r="R109" i="3"/>
  <c r="R70" i="3"/>
  <c r="R172" i="3"/>
  <c r="R128" i="3"/>
  <c r="O38" i="4"/>
  <c r="Q38" i="4"/>
  <c r="M14" i="12"/>
  <c r="N14" i="12"/>
  <c r="A15" i="12"/>
  <c r="H15" i="12" s="1"/>
  <c r="AM117" i="3"/>
  <c r="AQ117" i="3" s="1"/>
  <c r="U13" i="3"/>
  <c r="U3" i="3"/>
  <c r="Z14" i="3"/>
  <c r="AA14" i="3" s="1"/>
  <c r="O61" i="6"/>
  <c r="AM5" i="3"/>
  <c r="AQ5" i="3" s="1"/>
  <c r="Z117" i="3"/>
  <c r="AA117" i="3" s="1"/>
  <c r="AM318" i="3"/>
  <c r="AQ318" i="3" s="1"/>
  <c r="AM99" i="3"/>
  <c r="AQ99" i="3" s="1"/>
  <c r="AM164" i="3"/>
  <c r="AQ164" i="3" s="1"/>
  <c r="O23" i="6"/>
  <c r="Z5" i="3"/>
  <c r="AA5" i="3" s="1"/>
  <c r="Z4" i="3"/>
  <c r="AA4" i="3" s="1"/>
  <c r="Z164" i="3"/>
  <c r="AA164" i="3" s="1"/>
  <c r="Z318" i="3"/>
  <c r="AA318" i="3" s="1"/>
  <c r="AM4" i="3"/>
  <c r="AQ4" i="3" s="1"/>
  <c r="Q25" i="6"/>
  <c r="Z15" i="3"/>
  <c r="AA15" i="3" s="1"/>
  <c r="L10" i="4"/>
  <c r="N10" i="4"/>
  <c r="AM14" i="3"/>
  <c r="AQ14" i="3" s="1"/>
  <c r="AM247" i="3"/>
  <c r="AQ247" i="3" s="1"/>
  <c r="O15" i="6"/>
  <c r="Z99" i="3"/>
  <c r="AA99" i="3" s="1"/>
  <c r="Z247" i="3"/>
  <c r="AA247" i="3" s="1"/>
  <c r="O30" i="6"/>
  <c r="H11" i="12"/>
  <c r="Q49" i="6"/>
  <c r="AM15" i="3"/>
  <c r="AQ15" i="3" s="1"/>
  <c r="P18" i="7"/>
  <c r="O19" i="7" s="1"/>
  <c r="Q18" i="7"/>
  <c r="AE29" i="3"/>
  <c r="D30" i="3"/>
  <c r="AF30" i="3" s="1"/>
  <c r="D238" i="3"/>
  <c r="AF238" i="3" s="1"/>
  <c r="M75" i="4" s="1"/>
  <c r="AE65" i="3"/>
  <c r="D41" i="3"/>
  <c r="AF41" i="3" s="1"/>
  <c r="M24" i="4" s="1"/>
  <c r="D66" i="3"/>
  <c r="AF66" i="3" s="1"/>
  <c r="M33" i="4" s="1"/>
  <c r="D167" i="3"/>
  <c r="AF167" i="3" s="1"/>
  <c r="AE166" i="3"/>
  <c r="AE18" i="3"/>
  <c r="D19" i="3"/>
  <c r="AF19" i="3" s="1"/>
  <c r="D121" i="3"/>
  <c r="AF121" i="3" s="1"/>
  <c r="Q19" i="4" s="1"/>
  <c r="AE120" i="3"/>
  <c r="AE89" i="3"/>
  <c r="D90" i="3"/>
  <c r="AF90" i="3" s="1"/>
  <c r="O39" i="4" s="1"/>
  <c r="AF10" i="3" l="1"/>
  <c r="D11" i="3"/>
  <c r="AE10" i="3"/>
  <c r="M18" i="4"/>
  <c r="O19" i="6" s="1"/>
  <c r="N12" i="12"/>
  <c r="R16" i="4"/>
  <c r="Q51" i="6"/>
  <c r="R41" i="3"/>
  <c r="R52" i="3"/>
  <c r="D316" i="3"/>
  <c r="AF315" i="3"/>
  <c r="Q6" i="4" s="1"/>
  <c r="M14" i="4"/>
  <c r="R174" i="3"/>
  <c r="R206" i="3"/>
  <c r="R241" i="3"/>
  <c r="R243" i="3"/>
  <c r="R255" i="3"/>
  <c r="R66" i="3"/>
  <c r="R82" i="3"/>
  <c r="R132" i="3"/>
  <c r="R325" i="3"/>
  <c r="R238" i="3"/>
  <c r="R359" i="3"/>
  <c r="R360" i="3"/>
  <c r="B15" i="12"/>
  <c r="F15" i="12"/>
  <c r="E15" i="12"/>
  <c r="C15" i="12"/>
  <c r="Q15" i="12" s="1"/>
  <c r="D15" i="12"/>
  <c r="R8" i="4"/>
  <c r="U4" i="3"/>
  <c r="U117" i="3"/>
  <c r="U14" i="3"/>
  <c r="U247" i="3"/>
  <c r="U5" i="3"/>
  <c r="S7" i="3"/>
  <c r="S16" i="3"/>
  <c r="U99" i="3"/>
  <c r="U15" i="3"/>
  <c r="R10" i="4"/>
  <c r="L12" i="4"/>
  <c r="N12" i="4"/>
  <c r="R7" i="4"/>
  <c r="P6" i="4"/>
  <c r="U164" i="3"/>
  <c r="L11" i="4"/>
  <c r="G11" i="12" s="1"/>
  <c r="R11" i="12" s="1"/>
  <c r="S11" i="12" s="1"/>
  <c r="N11" i="4"/>
  <c r="O11" i="6"/>
  <c r="U318" i="3"/>
  <c r="O50" i="6"/>
  <c r="Q19" i="7"/>
  <c r="P19" i="7"/>
  <c r="O20" i="7" s="1"/>
  <c r="AE238" i="3"/>
  <c r="D239" i="3"/>
  <c r="AF239" i="3" s="1"/>
  <c r="M76" i="4" s="1"/>
  <c r="AE30" i="3"/>
  <c r="D31" i="3"/>
  <c r="AF31" i="3" s="1"/>
  <c r="D42" i="3"/>
  <c r="AF42" i="3" s="1"/>
  <c r="AE66" i="3"/>
  <c r="D67" i="3"/>
  <c r="AF67" i="3" s="1"/>
  <c r="D168" i="3"/>
  <c r="AF168" i="3" s="1"/>
  <c r="AE167" i="3"/>
  <c r="D20" i="3"/>
  <c r="AF20" i="3" s="1"/>
  <c r="AE19" i="3"/>
  <c r="D122" i="3"/>
  <c r="AF122" i="3" s="1"/>
  <c r="AE121" i="3"/>
  <c r="D91" i="3"/>
  <c r="AF91" i="3" s="1"/>
  <c r="O40" i="4" s="1"/>
  <c r="AE90" i="3"/>
  <c r="AF11" i="3" l="1"/>
  <c r="AE11" i="3"/>
  <c r="D317" i="3"/>
  <c r="AF316" i="3"/>
  <c r="Q11" i="4" s="1"/>
  <c r="R361" i="3"/>
  <c r="R349" i="3"/>
  <c r="R239" i="3"/>
  <c r="R68" i="4"/>
  <c r="R46" i="3"/>
  <c r="R102" i="3"/>
  <c r="R167" i="3"/>
  <c r="R319" i="3"/>
  <c r="R30" i="3"/>
  <c r="R120" i="3"/>
  <c r="R249" i="3"/>
  <c r="R26" i="3"/>
  <c r="R19" i="3"/>
  <c r="P14" i="4"/>
  <c r="M15" i="12"/>
  <c r="N15" i="12"/>
  <c r="A16" i="12"/>
  <c r="H16" i="12" s="1"/>
  <c r="P10" i="6"/>
  <c r="I10" i="12"/>
  <c r="P11" i="6"/>
  <c r="I11" i="12"/>
  <c r="P9" i="6"/>
  <c r="I9" i="12"/>
  <c r="S12" i="3"/>
  <c r="S31" i="3"/>
  <c r="S43" i="3"/>
  <c r="S316" i="3"/>
  <c r="S113" i="3"/>
  <c r="S100" i="3"/>
  <c r="S118" i="3"/>
  <c r="S165" i="3"/>
  <c r="S205" i="3"/>
  <c r="S8" i="3"/>
  <c r="S242" i="3"/>
  <c r="S9" i="3"/>
  <c r="S245" i="3"/>
  <c r="N11" i="6"/>
  <c r="O16" i="6"/>
  <c r="H12" i="12"/>
  <c r="S17" i="3"/>
  <c r="S24" i="3"/>
  <c r="Q26" i="6"/>
  <c r="L13" i="4"/>
  <c r="N13" i="4"/>
  <c r="O51" i="6"/>
  <c r="O18" i="6"/>
  <c r="Y16" i="3"/>
  <c r="AO16" i="3"/>
  <c r="AP16" i="3"/>
  <c r="AN16" i="3"/>
  <c r="Y7" i="3"/>
  <c r="AN7" i="3"/>
  <c r="AO7" i="3"/>
  <c r="AP7" i="3"/>
  <c r="P20" i="7"/>
  <c r="O21" i="7" s="1"/>
  <c r="Q20" i="7"/>
  <c r="D43" i="3"/>
  <c r="AF43" i="3" s="1"/>
  <c r="AE239" i="3"/>
  <c r="D240" i="3"/>
  <c r="AF240" i="3" s="1"/>
  <c r="AE31" i="3"/>
  <c r="D68" i="3"/>
  <c r="AF68" i="3" s="1"/>
  <c r="AE67" i="3"/>
  <c r="D169" i="3"/>
  <c r="AF169" i="3" s="1"/>
  <c r="AE168" i="3"/>
  <c r="AE20" i="3"/>
  <c r="D92" i="3"/>
  <c r="AF92" i="3" s="1"/>
  <c r="M46" i="4" s="1"/>
  <c r="AE91" i="3"/>
  <c r="D123" i="3"/>
  <c r="AF123" i="3" s="1"/>
  <c r="AE122" i="3"/>
  <c r="O59" i="4" l="1"/>
  <c r="Q59" i="4"/>
  <c r="D318" i="3"/>
  <c r="AF317" i="3"/>
  <c r="Q20" i="4" s="1"/>
  <c r="R92" i="3"/>
  <c r="R265" i="3"/>
  <c r="R155" i="3"/>
  <c r="R335" i="3"/>
  <c r="R185" i="3"/>
  <c r="F16" i="12"/>
  <c r="C16" i="12"/>
  <c r="Q16" i="12" s="1"/>
  <c r="D16" i="12"/>
  <c r="B16" i="12"/>
  <c r="E16" i="12"/>
  <c r="AM16" i="3"/>
  <c r="AQ16" i="3" s="1"/>
  <c r="R14" i="4"/>
  <c r="N21" i="4"/>
  <c r="N17" i="4"/>
  <c r="AO8" i="3"/>
  <c r="AP8" i="3"/>
  <c r="AN8" i="3"/>
  <c r="Y8" i="3"/>
  <c r="AN31" i="3"/>
  <c r="AP31" i="3"/>
  <c r="Y31" i="3"/>
  <c r="AO31" i="3"/>
  <c r="R13" i="4"/>
  <c r="L20" i="4"/>
  <c r="G13" i="12" s="1"/>
  <c r="R13" i="12" s="1"/>
  <c r="S13" i="12" s="1"/>
  <c r="AO24" i="3"/>
  <c r="AN24" i="3"/>
  <c r="Y24" i="3"/>
  <c r="AP24" i="3"/>
  <c r="L23" i="4"/>
  <c r="Y205" i="3"/>
  <c r="AO205" i="3"/>
  <c r="AP205" i="3"/>
  <c r="AN205" i="3"/>
  <c r="AN12" i="3"/>
  <c r="Y12" i="3"/>
  <c r="AP12" i="3"/>
  <c r="AO12" i="3"/>
  <c r="N26" i="4"/>
  <c r="N24" i="4"/>
  <c r="L24" i="4"/>
  <c r="N68" i="4"/>
  <c r="AN118" i="3"/>
  <c r="AP118" i="3"/>
  <c r="Y118" i="3"/>
  <c r="AO118" i="3"/>
  <c r="L14" i="4"/>
  <c r="N14" i="4"/>
  <c r="Y17" i="3"/>
  <c r="AN17" i="3"/>
  <c r="AO17" i="3"/>
  <c r="AP17" i="3"/>
  <c r="N23" i="4"/>
  <c r="N15" i="4"/>
  <c r="O22" i="6"/>
  <c r="N20" i="4"/>
  <c r="Y100" i="3"/>
  <c r="AN100" i="3"/>
  <c r="AO100" i="3"/>
  <c r="AP100" i="3"/>
  <c r="O52" i="6"/>
  <c r="L22" i="4"/>
  <c r="G15" i="12" s="1"/>
  <c r="R15" i="12" s="1"/>
  <c r="S15" i="12" s="1"/>
  <c r="L18" i="4"/>
  <c r="G12" i="12" s="1"/>
  <c r="R12" i="12" s="1"/>
  <c r="S12" i="12" s="1"/>
  <c r="N18" i="4"/>
  <c r="O12" i="6"/>
  <c r="AN245" i="3"/>
  <c r="AO245" i="3"/>
  <c r="Y245" i="3"/>
  <c r="AP245" i="3"/>
  <c r="AP113" i="3"/>
  <c r="AN113" i="3"/>
  <c r="Y113" i="3"/>
  <c r="AO113" i="3"/>
  <c r="N22" i="4"/>
  <c r="AO165" i="3"/>
  <c r="AP165" i="3"/>
  <c r="Y165" i="3"/>
  <c r="AN165" i="3"/>
  <c r="Q27" i="6"/>
  <c r="AM7" i="3"/>
  <c r="AQ7" i="3" s="1"/>
  <c r="L68" i="4"/>
  <c r="S27" i="3" s="1"/>
  <c r="Z16" i="3"/>
  <c r="AA16" i="3" s="1"/>
  <c r="L17" i="4"/>
  <c r="L21" i="4"/>
  <c r="G14" i="12" s="1"/>
  <c r="R14" i="12" s="1"/>
  <c r="S14" i="12" s="1"/>
  <c r="L26" i="4"/>
  <c r="G16" i="12" s="1"/>
  <c r="AP9" i="3"/>
  <c r="AO9" i="3"/>
  <c r="Y9" i="3"/>
  <c r="AN9" i="3"/>
  <c r="AN316" i="3"/>
  <c r="AP316" i="3"/>
  <c r="AO316" i="3"/>
  <c r="Y316" i="3"/>
  <c r="Z7" i="3"/>
  <c r="AA7" i="3" s="1"/>
  <c r="S18" i="3"/>
  <c r="S25" i="3"/>
  <c r="Y242" i="3"/>
  <c r="AN242" i="3"/>
  <c r="AP242" i="3"/>
  <c r="AO242" i="3"/>
  <c r="AN43" i="3"/>
  <c r="AP43" i="3"/>
  <c r="Y43" i="3"/>
  <c r="AO43" i="3"/>
  <c r="P21" i="7"/>
  <c r="O22" i="7" s="1"/>
  <c r="Q21" i="7"/>
  <c r="D44" i="3"/>
  <c r="AF44" i="3" s="1"/>
  <c r="AE68" i="3"/>
  <c r="AE240" i="3"/>
  <c r="D241" i="3"/>
  <c r="AF241" i="3" s="1"/>
  <c r="AE315" i="3"/>
  <c r="D69" i="3"/>
  <c r="AF69" i="3" s="1"/>
  <c r="O28" i="4" s="1"/>
  <c r="D170" i="3"/>
  <c r="AF170" i="3" s="1"/>
  <c r="AE169" i="3"/>
  <c r="D93" i="3"/>
  <c r="AF93" i="3" s="1"/>
  <c r="M45" i="4" s="1"/>
  <c r="AE92" i="3"/>
  <c r="D124" i="3"/>
  <c r="AF124" i="3" s="1"/>
  <c r="AE123" i="3"/>
  <c r="R93" i="3" l="1"/>
  <c r="R334" i="3"/>
  <c r="R264" i="3"/>
  <c r="R184" i="3"/>
  <c r="R154" i="3"/>
  <c r="D319" i="3"/>
  <c r="AF318" i="3"/>
  <c r="Q9" i="4" s="1"/>
  <c r="M25" i="4"/>
  <c r="R16" i="12"/>
  <c r="S16" i="12" s="1"/>
  <c r="M16" i="12"/>
  <c r="A17" i="12"/>
  <c r="AM9" i="3"/>
  <c r="AQ9" i="3" s="1"/>
  <c r="AM8" i="3"/>
  <c r="AQ8" i="3" s="1"/>
  <c r="AM43" i="3"/>
  <c r="AQ43" i="3" s="1"/>
  <c r="AM118" i="3"/>
  <c r="AQ118" i="3" s="1"/>
  <c r="Z43" i="3"/>
  <c r="AA43" i="3" s="1"/>
  <c r="S169" i="3"/>
  <c r="S320" i="3"/>
  <c r="S250" i="3"/>
  <c r="S37" i="3"/>
  <c r="S49" i="3"/>
  <c r="S123" i="3"/>
  <c r="S208" i="3"/>
  <c r="S105" i="3"/>
  <c r="N14" i="6"/>
  <c r="Z205" i="3"/>
  <c r="AA205" i="3" s="1"/>
  <c r="AN18" i="3"/>
  <c r="Y18" i="3"/>
  <c r="AO18" i="3"/>
  <c r="AP18" i="3"/>
  <c r="S28" i="3"/>
  <c r="S45" i="3"/>
  <c r="S29" i="3"/>
  <c r="O53" i="6"/>
  <c r="S38" i="3"/>
  <c r="S106" i="3"/>
  <c r="S170" i="3"/>
  <c r="S321" i="3"/>
  <c r="S251" i="3"/>
  <c r="S50" i="3"/>
  <c r="S124" i="3"/>
  <c r="N15" i="6"/>
  <c r="S39" i="3"/>
  <c r="S51" i="3"/>
  <c r="AM31" i="3"/>
  <c r="AQ31" i="3" s="1"/>
  <c r="Z8" i="3"/>
  <c r="AA8" i="3" s="1"/>
  <c r="S102" i="3"/>
  <c r="S120" i="3"/>
  <c r="S167" i="3"/>
  <c r="S30" i="3"/>
  <c r="S46" i="3"/>
  <c r="S319" i="3"/>
  <c r="S249" i="3"/>
  <c r="N12" i="6"/>
  <c r="S26" i="3"/>
  <c r="S19" i="3"/>
  <c r="Z12" i="3"/>
  <c r="AA12" i="3" s="1"/>
  <c r="AN25" i="3"/>
  <c r="AO25" i="3"/>
  <c r="Y25" i="3"/>
  <c r="AP25" i="3"/>
  <c r="Z245" i="3"/>
  <c r="AA245" i="3" s="1"/>
  <c r="S36" i="3"/>
  <c r="S317" i="3"/>
  <c r="S48" i="3"/>
  <c r="S122" i="3"/>
  <c r="S168" i="3"/>
  <c r="S104" i="3"/>
  <c r="S246" i="3"/>
  <c r="N13" i="6"/>
  <c r="U7" i="3"/>
  <c r="Z9" i="3"/>
  <c r="AA9" i="3" s="1"/>
  <c r="U16" i="3"/>
  <c r="AM245" i="3"/>
  <c r="AQ245" i="3" s="1"/>
  <c r="AM100" i="3"/>
  <c r="AQ100" i="3" s="1"/>
  <c r="S52" i="3"/>
  <c r="S41" i="3"/>
  <c r="AM12" i="3"/>
  <c r="AQ12" i="3" s="1"/>
  <c r="L9" i="12"/>
  <c r="AM242" i="3"/>
  <c r="AQ242" i="3" s="1"/>
  <c r="Z100" i="3"/>
  <c r="AA100" i="3" s="1"/>
  <c r="AM17" i="3"/>
  <c r="AQ17" i="3" s="1"/>
  <c r="AM205" i="3"/>
  <c r="AQ205" i="3" s="1"/>
  <c r="Z24" i="3"/>
  <c r="AA24" i="3" s="1"/>
  <c r="AM316" i="3"/>
  <c r="AQ316" i="3" s="1"/>
  <c r="Z242" i="3"/>
  <c r="AA242" i="3" s="1"/>
  <c r="Z113" i="3"/>
  <c r="AA113" i="3" s="1"/>
  <c r="Z17" i="3"/>
  <c r="AA17" i="3" s="1"/>
  <c r="Z118" i="3"/>
  <c r="AA118" i="3" s="1"/>
  <c r="AM24" i="3"/>
  <c r="AQ24" i="3" s="1"/>
  <c r="Z165" i="3"/>
  <c r="AA165" i="3" s="1"/>
  <c r="Z316" i="3"/>
  <c r="AA316" i="3" s="1"/>
  <c r="S40" i="3"/>
  <c r="S182" i="3"/>
  <c r="S115" i="3"/>
  <c r="S231" i="3"/>
  <c r="S262" i="3"/>
  <c r="S332" i="3"/>
  <c r="S54" i="3"/>
  <c r="S80" i="3"/>
  <c r="S125" i="3"/>
  <c r="N16" i="6"/>
  <c r="AO27" i="3"/>
  <c r="AN27" i="3"/>
  <c r="AP27" i="3"/>
  <c r="Y27" i="3"/>
  <c r="AM165" i="3"/>
  <c r="AQ165" i="3" s="1"/>
  <c r="AM113" i="3"/>
  <c r="AQ113" i="3" s="1"/>
  <c r="Z31" i="3"/>
  <c r="AA31" i="3" s="1"/>
  <c r="Q22" i="7"/>
  <c r="P22" i="7"/>
  <c r="O23" i="7" s="1"/>
  <c r="D45" i="3"/>
  <c r="AF45" i="3" s="1"/>
  <c r="D242" i="3"/>
  <c r="AF242" i="3" s="1"/>
  <c r="AE316" i="3"/>
  <c r="AE241" i="3"/>
  <c r="AE69" i="3"/>
  <c r="D70" i="3"/>
  <c r="AF70" i="3" s="1"/>
  <c r="O29" i="4" s="1"/>
  <c r="D171" i="3"/>
  <c r="AF171" i="3" s="1"/>
  <c r="AE170" i="3"/>
  <c r="D94" i="3"/>
  <c r="AF94" i="3" s="1"/>
  <c r="M47" i="4" s="1"/>
  <c r="AE93" i="3"/>
  <c r="D125" i="3"/>
  <c r="AF125" i="3" s="1"/>
  <c r="AE124" i="3"/>
  <c r="D320" i="3" l="1"/>
  <c r="AF319" i="3"/>
  <c r="Q18" i="4" s="1"/>
  <c r="R207" i="3"/>
  <c r="R156" i="3"/>
  <c r="R94" i="3"/>
  <c r="R190" i="3"/>
  <c r="O17" i="4"/>
  <c r="P17" i="4" s="1"/>
  <c r="Q17" i="4"/>
  <c r="R53" i="3"/>
  <c r="R44" i="3"/>
  <c r="J17" i="12"/>
  <c r="B17" i="12"/>
  <c r="F17" i="12"/>
  <c r="E17" i="12"/>
  <c r="C17" i="12"/>
  <c r="Q17" i="12" s="1"/>
  <c r="D17" i="12"/>
  <c r="H17" i="12"/>
  <c r="U316" i="3"/>
  <c r="U8" i="3"/>
  <c r="U31" i="3"/>
  <c r="U242" i="3"/>
  <c r="U118" i="3"/>
  <c r="U245" i="3"/>
  <c r="AM18" i="3"/>
  <c r="AQ18" i="3" s="1"/>
  <c r="U165" i="3"/>
  <c r="U9" i="3"/>
  <c r="U12" i="3"/>
  <c r="S9" i="6"/>
  <c r="AO54" i="3"/>
  <c r="AN54" i="3"/>
  <c r="Y54" i="3"/>
  <c r="AP54" i="3"/>
  <c r="Y30" i="3"/>
  <c r="AN30" i="3"/>
  <c r="AO30" i="3"/>
  <c r="AP30" i="3"/>
  <c r="AP321" i="3"/>
  <c r="Y321" i="3"/>
  <c r="AN321" i="3"/>
  <c r="AO321" i="3"/>
  <c r="Y37" i="3"/>
  <c r="AN37" i="3"/>
  <c r="AO37" i="3"/>
  <c r="AP37" i="3"/>
  <c r="Z27" i="3"/>
  <c r="AA27" i="3" s="1"/>
  <c r="Y332" i="3"/>
  <c r="AP332" i="3"/>
  <c r="AN332" i="3"/>
  <c r="AO332" i="3"/>
  <c r="U17" i="3"/>
  <c r="U100" i="3"/>
  <c r="AP246" i="3"/>
  <c r="AO246" i="3"/>
  <c r="Y246" i="3"/>
  <c r="AN246" i="3"/>
  <c r="Y167" i="3"/>
  <c r="AN167" i="3"/>
  <c r="AO167" i="3"/>
  <c r="AP167" i="3"/>
  <c r="Y170" i="3"/>
  <c r="AO170" i="3"/>
  <c r="AN170" i="3"/>
  <c r="AP170" i="3"/>
  <c r="U205" i="3"/>
  <c r="AN250" i="3"/>
  <c r="AP250" i="3"/>
  <c r="Y250" i="3"/>
  <c r="AO250" i="3"/>
  <c r="Z18" i="3"/>
  <c r="AA18" i="3" s="1"/>
  <c r="Y262" i="3"/>
  <c r="AN262" i="3"/>
  <c r="AO262" i="3"/>
  <c r="AP262" i="3"/>
  <c r="AP104" i="3"/>
  <c r="AO104" i="3"/>
  <c r="Y104" i="3"/>
  <c r="AN104" i="3"/>
  <c r="Y19" i="3"/>
  <c r="AO19" i="3"/>
  <c r="AN19" i="3"/>
  <c r="AP19" i="3"/>
  <c r="AO120" i="3"/>
  <c r="AP120" i="3"/>
  <c r="Y120" i="3"/>
  <c r="AN120" i="3"/>
  <c r="Y51" i="3"/>
  <c r="AP51" i="3"/>
  <c r="AO51" i="3"/>
  <c r="AN51" i="3"/>
  <c r="Y106" i="3"/>
  <c r="AP106" i="3"/>
  <c r="AO106" i="3"/>
  <c r="AN106" i="3"/>
  <c r="Y29" i="3"/>
  <c r="AO29" i="3"/>
  <c r="AP29" i="3"/>
  <c r="AN29" i="3"/>
  <c r="AO320" i="3"/>
  <c r="AN320" i="3"/>
  <c r="Y320" i="3"/>
  <c r="AP320" i="3"/>
  <c r="Y80" i="3"/>
  <c r="AO80" i="3"/>
  <c r="AN80" i="3"/>
  <c r="AP80" i="3"/>
  <c r="Y251" i="3"/>
  <c r="AN251" i="3"/>
  <c r="AO251" i="3"/>
  <c r="AP251" i="3"/>
  <c r="AO41" i="3"/>
  <c r="AP41" i="3"/>
  <c r="Y41" i="3"/>
  <c r="AN41" i="3"/>
  <c r="AP168" i="3"/>
  <c r="AO168" i="3"/>
  <c r="Y168" i="3"/>
  <c r="AN168" i="3"/>
  <c r="Z25" i="3"/>
  <c r="AA25" i="3" s="1"/>
  <c r="Y26" i="3"/>
  <c r="AP26" i="3"/>
  <c r="AN26" i="3"/>
  <c r="AO26" i="3"/>
  <c r="AO102" i="3"/>
  <c r="AN102" i="3"/>
  <c r="Y102" i="3"/>
  <c r="AP102" i="3"/>
  <c r="Y39" i="3"/>
  <c r="AP39" i="3"/>
  <c r="AO39" i="3"/>
  <c r="AN39" i="3"/>
  <c r="AP38" i="3"/>
  <c r="AO38" i="3"/>
  <c r="AN38" i="3"/>
  <c r="Y38" i="3"/>
  <c r="AO45" i="3"/>
  <c r="AP45" i="3"/>
  <c r="Y45" i="3"/>
  <c r="AN45" i="3"/>
  <c r="Y169" i="3"/>
  <c r="AP169" i="3"/>
  <c r="AN169" i="3"/>
  <c r="AO169" i="3"/>
  <c r="O33" i="6"/>
  <c r="Q17" i="6"/>
  <c r="AM27" i="3"/>
  <c r="AQ27" i="3" s="1"/>
  <c r="Y231" i="3"/>
  <c r="AP231" i="3"/>
  <c r="AO231" i="3"/>
  <c r="AN231" i="3"/>
  <c r="AP115" i="3"/>
  <c r="AO115" i="3"/>
  <c r="Y115" i="3"/>
  <c r="AN115" i="3"/>
  <c r="U113" i="3"/>
  <c r="U24" i="3"/>
  <c r="AP52" i="3"/>
  <c r="Y52" i="3"/>
  <c r="AN52" i="3"/>
  <c r="AO52" i="3"/>
  <c r="AP122" i="3"/>
  <c r="AO122" i="3"/>
  <c r="Y122" i="3"/>
  <c r="Z122" i="3" s="1"/>
  <c r="AA122" i="3" s="1"/>
  <c r="U122" i="3" s="1"/>
  <c r="AN122" i="3"/>
  <c r="AN28" i="3"/>
  <c r="AO28" i="3"/>
  <c r="Y28" i="3"/>
  <c r="AP28" i="3"/>
  <c r="AO105" i="3"/>
  <c r="AN105" i="3"/>
  <c r="Y105" i="3"/>
  <c r="AP105" i="3"/>
  <c r="U43" i="3"/>
  <c r="Y46" i="3"/>
  <c r="AP46" i="3"/>
  <c r="AO46" i="3"/>
  <c r="AN46" i="3"/>
  <c r="Y182" i="3"/>
  <c r="AP182" i="3"/>
  <c r="AO182" i="3"/>
  <c r="AN182" i="3"/>
  <c r="Y48" i="3"/>
  <c r="AP48" i="3"/>
  <c r="AN48" i="3"/>
  <c r="AO48" i="3"/>
  <c r="AM25" i="3"/>
  <c r="AQ25" i="3" s="1"/>
  <c r="Y249" i="3"/>
  <c r="AP249" i="3"/>
  <c r="AN249" i="3"/>
  <c r="AO249" i="3"/>
  <c r="Y124" i="3"/>
  <c r="AN124" i="3"/>
  <c r="AO124" i="3"/>
  <c r="AP124" i="3"/>
  <c r="Y208" i="3"/>
  <c r="AN208" i="3"/>
  <c r="AP208" i="3"/>
  <c r="AO208" i="3"/>
  <c r="Y36" i="3"/>
  <c r="AN36" i="3"/>
  <c r="AO36" i="3"/>
  <c r="AP36" i="3"/>
  <c r="Y49" i="3"/>
  <c r="AP49" i="3"/>
  <c r="AO49" i="3"/>
  <c r="AN49" i="3"/>
  <c r="L11" i="12"/>
  <c r="Y125" i="3"/>
  <c r="AN125" i="3"/>
  <c r="AO125" i="3"/>
  <c r="AP125" i="3"/>
  <c r="AO40" i="3"/>
  <c r="AP40" i="3"/>
  <c r="AN40" i="3"/>
  <c r="Y40" i="3"/>
  <c r="Y317" i="3"/>
  <c r="AO317" i="3"/>
  <c r="AP317" i="3"/>
  <c r="AN317" i="3"/>
  <c r="AO319" i="3"/>
  <c r="AP319" i="3"/>
  <c r="AN319" i="3"/>
  <c r="Y319" i="3"/>
  <c r="Y50" i="3"/>
  <c r="AN50" i="3"/>
  <c r="AO50" i="3"/>
  <c r="AP50" i="3"/>
  <c r="AP123" i="3"/>
  <c r="AN123" i="3"/>
  <c r="AO123" i="3"/>
  <c r="Y123" i="3"/>
  <c r="P23" i="7"/>
  <c r="O24" i="7" s="1"/>
  <c r="Q23" i="7"/>
  <c r="D46" i="3"/>
  <c r="AF46" i="3" s="1"/>
  <c r="AE242" i="3"/>
  <c r="AE45" i="3"/>
  <c r="D243" i="3"/>
  <c r="AF243" i="3" s="1"/>
  <c r="AE317" i="3"/>
  <c r="AE70" i="3"/>
  <c r="D71" i="3"/>
  <c r="AF71" i="3" s="1"/>
  <c r="O30" i="4" s="1"/>
  <c r="D172" i="3"/>
  <c r="AF172" i="3" s="1"/>
  <c r="AE171" i="3"/>
  <c r="D126" i="3"/>
  <c r="AF126" i="3" s="1"/>
  <c r="Q27" i="4" s="1"/>
  <c r="AE125" i="3"/>
  <c r="D95" i="3"/>
  <c r="AF95" i="3" s="1"/>
  <c r="O41" i="4" s="1"/>
  <c r="AE94" i="3"/>
  <c r="D321" i="3" l="1"/>
  <c r="AF320" i="3"/>
  <c r="Q21" i="4" s="1"/>
  <c r="O18" i="4"/>
  <c r="P18" i="4" s="1"/>
  <c r="M17" i="12"/>
  <c r="N17" i="12"/>
  <c r="A18" i="12"/>
  <c r="AM182" i="3"/>
  <c r="AQ182" i="3" s="1"/>
  <c r="AM231" i="3"/>
  <c r="AQ231" i="3" s="1"/>
  <c r="AM317" i="3"/>
  <c r="AQ317" i="3" s="1"/>
  <c r="AM46" i="3"/>
  <c r="AQ46" i="3" s="1"/>
  <c r="AM321" i="3"/>
  <c r="AQ321" i="3" s="1"/>
  <c r="AM54" i="3"/>
  <c r="AQ54" i="3" s="1"/>
  <c r="AM167" i="3"/>
  <c r="AQ167" i="3" s="1"/>
  <c r="U25" i="3"/>
  <c r="AM262" i="3"/>
  <c r="AQ262" i="3" s="1"/>
  <c r="AM332" i="3"/>
  <c r="AQ332" i="3" s="1"/>
  <c r="AM40" i="3"/>
  <c r="AQ40" i="3" s="1"/>
  <c r="AM38" i="3"/>
  <c r="AQ38" i="3" s="1"/>
  <c r="AM49" i="3"/>
  <c r="AQ49" i="3" s="1"/>
  <c r="AM168" i="3"/>
  <c r="AQ168" i="3" s="1"/>
  <c r="AM106" i="3"/>
  <c r="AQ106" i="3" s="1"/>
  <c r="AM120" i="3"/>
  <c r="AQ120" i="3" s="1"/>
  <c r="AM104" i="3"/>
  <c r="AQ104" i="3" s="1"/>
  <c r="U18" i="3"/>
  <c r="AM41" i="3"/>
  <c r="AQ41" i="3" s="1"/>
  <c r="AM29" i="3"/>
  <c r="AQ29" i="3" s="1"/>
  <c r="AM51" i="3"/>
  <c r="AQ51" i="3" s="1"/>
  <c r="Z332" i="3"/>
  <c r="AA332" i="3" s="1"/>
  <c r="Z37" i="3"/>
  <c r="AA37" i="3" s="1"/>
  <c r="Z30" i="3"/>
  <c r="AA30" i="3" s="1"/>
  <c r="Z40" i="3"/>
  <c r="AA40" i="3" s="1"/>
  <c r="S11" i="6"/>
  <c r="AM36" i="3"/>
  <c r="AQ36" i="3" s="1"/>
  <c r="AM124" i="3"/>
  <c r="AQ124" i="3" s="1"/>
  <c r="AM48" i="3"/>
  <c r="AQ48" i="3" s="1"/>
  <c r="AM115" i="3"/>
  <c r="AQ115" i="3" s="1"/>
  <c r="N25" i="4"/>
  <c r="L25" i="4"/>
  <c r="Z39" i="3"/>
  <c r="AA39" i="3" s="1"/>
  <c r="Z26" i="3"/>
  <c r="AA26" i="3" s="1"/>
  <c r="Z41" i="3"/>
  <c r="AA41" i="3" s="1"/>
  <c r="AM80" i="3"/>
  <c r="AQ80" i="3" s="1"/>
  <c r="AM19" i="3"/>
  <c r="AQ19" i="3" s="1"/>
  <c r="AM250" i="3"/>
  <c r="AQ250" i="3" s="1"/>
  <c r="U27" i="3"/>
  <c r="O32" i="6"/>
  <c r="Z321" i="3"/>
  <c r="AA321" i="3" s="1"/>
  <c r="R17" i="4"/>
  <c r="AM52" i="3"/>
  <c r="AQ52" i="3" s="1"/>
  <c r="Z80" i="3"/>
  <c r="AA80" i="3" s="1"/>
  <c r="AM102" i="3"/>
  <c r="AQ102" i="3" s="1"/>
  <c r="AM170" i="3"/>
  <c r="AQ170" i="3" s="1"/>
  <c r="Z125" i="3"/>
  <c r="AA125" i="3" s="1"/>
  <c r="Q18" i="6"/>
  <c r="Z36" i="3"/>
  <c r="AA36" i="3" s="1"/>
  <c r="Z124" i="3"/>
  <c r="AA124" i="3" s="1"/>
  <c r="Z28" i="3"/>
  <c r="AA28" i="3" s="1"/>
  <c r="Z115" i="3"/>
  <c r="AA115" i="3" s="1"/>
  <c r="AM28" i="3"/>
  <c r="AQ28" i="3" s="1"/>
  <c r="Z317" i="3"/>
  <c r="AA317" i="3" s="1"/>
  <c r="Z169" i="3"/>
  <c r="AA169" i="3" s="1"/>
  <c r="Z168" i="3"/>
  <c r="AA168" i="3" s="1"/>
  <c r="Z320" i="3"/>
  <c r="AA320" i="3" s="1"/>
  <c r="Z120" i="3"/>
  <c r="AA120" i="3" s="1"/>
  <c r="Z104" i="3"/>
  <c r="AA104" i="3" s="1"/>
  <c r="AM246" i="3"/>
  <c r="AQ246" i="3" s="1"/>
  <c r="Z54" i="3"/>
  <c r="AA54" i="3" s="1"/>
  <c r="Z48" i="3"/>
  <c r="AA48" i="3" s="1"/>
  <c r="Z51" i="3"/>
  <c r="AA51" i="3" s="1"/>
  <c r="Z19" i="3"/>
  <c r="AA19" i="3" s="1"/>
  <c r="Z262" i="3"/>
  <c r="AA262" i="3" s="1"/>
  <c r="L13" i="12"/>
  <c r="Z123" i="3"/>
  <c r="AA123" i="3" s="1"/>
  <c r="Z50" i="3"/>
  <c r="AA50" i="3" s="1"/>
  <c r="AM249" i="3"/>
  <c r="AQ249" i="3" s="1"/>
  <c r="Z52" i="3"/>
  <c r="AA52" i="3" s="1"/>
  <c r="AM319" i="3"/>
  <c r="AQ319" i="3" s="1"/>
  <c r="AM122" i="3"/>
  <c r="AQ122" i="3" s="1"/>
  <c r="Z231" i="3"/>
  <c r="AA231" i="3" s="1"/>
  <c r="AM45" i="3"/>
  <c r="AQ45" i="3" s="1"/>
  <c r="AM39" i="3"/>
  <c r="AQ39" i="3" s="1"/>
  <c r="AM251" i="3"/>
  <c r="AQ251" i="3" s="1"/>
  <c r="AM320" i="3"/>
  <c r="AQ320" i="3" s="1"/>
  <c r="Z170" i="3"/>
  <c r="AA170" i="3" s="1"/>
  <c r="Z246" i="3"/>
  <c r="AA246" i="3" s="1"/>
  <c r="Z38" i="3"/>
  <c r="AA38" i="3" s="1"/>
  <c r="AM50" i="3"/>
  <c r="AQ50" i="3" s="1"/>
  <c r="Z46" i="3"/>
  <c r="AA46" i="3" s="1"/>
  <c r="AM169" i="3"/>
  <c r="AQ169" i="3" s="1"/>
  <c r="Z102" i="3"/>
  <c r="AA102" i="3" s="1"/>
  <c r="Z29" i="3"/>
  <c r="AA29" i="3" s="1"/>
  <c r="Z167" i="3"/>
  <c r="AA167" i="3" s="1"/>
  <c r="Z319" i="3"/>
  <c r="AA319" i="3" s="1"/>
  <c r="AM208" i="3"/>
  <c r="AQ208" i="3" s="1"/>
  <c r="AM123" i="3"/>
  <c r="AQ123" i="3" s="1"/>
  <c r="Z49" i="3"/>
  <c r="AA49" i="3" s="1"/>
  <c r="Z208" i="3"/>
  <c r="AA208" i="3" s="1"/>
  <c r="Z249" i="3"/>
  <c r="AA249" i="3" s="1"/>
  <c r="Z105" i="3"/>
  <c r="AA105" i="3" s="1"/>
  <c r="AM125" i="3"/>
  <c r="AQ125" i="3" s="1"/>
  <c r="Z182" i="3"/>
  <c r="AA182" i="3" s="1"/>
  <c r="AM105" i="3"/>
  <c r="AQ105" i="3" s="1"/>
  <c r="Z45" i="3"/>
  <c r="AA45" i="3" s="1"/>
  <c r="AM26" i="3"/>
  <c r="AQ26" i="3" s="1"/>
  <c r="Z251" i="3"/>
  <c r="AA251" i="3" s="1"/>
  <c r="Z106" i="3"/>
  <c r="AA106" i="3" s="1"/>
  <c r="Z250" i="3"/>
  <c r="AA250" i="3" s="1"/>
  <c r="AM37" i="3"/>
  <c r="AQ37" i="3" s="1"/>
  <c r="AM30" i="3"/>
  <c r="AQ30" i="3" s="1"/>
  <c r="Q24" i="7"/>
  <c r="P24" i="7"/>
  <c r="O25" i="7" s="1"/>
  <c r="AE46" i="3"/>
  <c r="D47" i="3"/>
  <c r="AE243" i="3"/>
  <c r="D244" i="3"/>
  <c r="AF244" i="3" s="1"/>
  <c r="AE318" i="3"/>
  <c r="AE71" i="3"/>
  <c r="D72" i="3"/>
  <c r="AF72" i="3" s="1"/>
  <c r="O31" i="4" s="1"/>
  <c r="AE172" i="3"/>
  <c r="D173" i="3"/>
  <c r="AF173" i="3" s="1"/>
  <c r="D96" i="3"/>
  <c r="AF96" i="3" s="1"/>
  <c r="O42" i="4" s="1"/>
  <c r="AE95" i="3"/>
  <c r="D127" i="3"/>
  <c r="AF127" i="3" s="1"/>
  <c r="AE126" i="3"/>
  <c r="D48" i="3" l="1"/>
  <c r="AF48" i="3" s="1"/>
  <c r="O20" i="4" s="1"/>
  <c r="P20" i="4" s="1"/>
  <c r="AF47" i="3"/>
  <c r="D322" i="3"/>
  <c r="AF321" i="3"/>
  <c r="Q22" i="4" s="1"/>
  <c r="E18" i="12"/>
  <c r="D18" i="12"/>
  <c r="C18" i="12"/>
  <c r="Q18" i="12" s="1"/>
  <c r="B18" i="12"/>
  <c r="F18" i="12"/>
  <c r="H18" i="12"/>
  <c r="J18" i="12"/>
  <c r="U115" i="3"/>
  <c r="U52" i="3"/>
  <c r="U251" i="3"/>
  <c r="U167" i="3"/>
  <c r="U28" i="3"/>
  <c r="U102" i="3"/>
  <c r="U51" i="3"/>
  <c r="U104" i="3"/>
  <c r="U106" i="3"/>
  <c r="U319" i="3"/>
  <c r="U123" i="3"/>
  <c r="U169" i="3"/>
  <c r="U124" i="3"/>
  <c r="U38" i="3"/>
  <c r="U250" i="3"/>
  <c r="U49" i="3"/>
  <c r="U29" i="3"/>
  <c r="U36" i="3"/>
  <c r="U40" i="3"/>
  <c r="U125" i="3"/>
  <c r="U182" i="3"/>
  <c r="U249" i="3"/>
  <c r="U246" i="3"/>
  <c r="U231" i="3"/>
  <c r="U262" i="3"/>
  <c r="U54" i="3"/>
  <c r="U320" i="3"/>
  <c r="U80" i="3"/>
  <c r="U321" i="3"/>
  <c r="U26" i="3"/>
  <c r="U332" i="3"/>
  <c r="L10" i="12"/>
  <c r="U45" i="3"/>
  <c r="U208" i="3"/>
  <c r="U46" i="3"/>
  <c r="U170" i="3"/>
  <c r="U50" i="3"/>
  <c r="U19" i="3"/>
  <c r="U168" i="3"/>
  <c r="U39" i="3"/>
  <c r="U30" i="3"/>
  <c r="Q19" i="6"/>
  <c r="J12" i="12"/>
  <c r="U105" i="3"/>
  <c r="S13" i="6"/>
  <c r="U48" i="3"/>
  <c r="U120" i="3"/>
  <c r="U317" i="3"/>
  <c r="U41" i="3"/>
  <c r="S44" i="3"/>
  <c r="S53" i="3"/>
  <c r="U37" i="3"/>
  <c r="P25" i="7"/>
  <c r="O26" i="7" s="1"/>
  <c r="Q25" i="7"/>
  <c r="AE47" i="3"/>
  <c r="AE319" i="3"/>
  <c r="AE244" i="3"/>
  <c r="D245" i="3"/>
  <c r="AF245" i="3" s="1"/>
  <c r="D73" i="3"/>
  <c r="AF73" i="3" s="1"/>
  <c r="O32" i="4" s="1"/>
  <c r="AE72" i="3"/>
  <c r="J13" i="12"/>
  <c r="AE173" i="3"/>
  <c r="D174" i="3"/>
  <c r="AF174" i="3" s="1"/>
  <c r="D49" i="3"/>
  <c r="AF49" i="3" s="1"/>
  <c r="O21" i="4" s="1"/>
  <c r="P21" i="4" s="1"/>
  <c r="D97" i="3"/>
  <c r="AF97" i="3" s="1"/>
  <c r="AE96" i="3"/>
  <c r="D128" i="3"/>
  <c r="AF128" i="3" s="1"/>
  <c r="AE127" i="3"/>
  <c r="Q21" i="6" l="1"/>
  <c r="D323" i="3"/>
  <c r="AF322" i="3"/>
  <c r="Q28" i="4" s="1"/>
  <c r="AE48" i="3"/>
  <c r="O19" i="4"/>
  <c r="P19" i="4" s="1"/>
  <c r="M18" i="12"/>
  <c r="N18" i="12"/>
  <c r="A19" i="12"/>
  <c r="Q12" i="6"/>
  <c r="AN44" i="3"/>
  <c r="Y44" i="3"/>
  <c r="AP44" i="3"/>
  <c r="AO44" i="3"/>
  <c r="S10" i="6"/>
  <c r="Q13" i="6"/>
  <c r="L12" i="12"/>
  <c r="Q29" i="6"/>
  <c r="Y53" i="3"/>
  <c r="AN53" i="3"/>
  <c r="AO53" i="3"/>
  <c r="AP53" i="3"/>
  <c r="P26" i="7"/>
  <c r="O27" i="7" s="1"/>
  <c r="Q26" i="7"/>
  <c r="AE320" i="3"/>
  <c r="AE245" i="3"/>
  <c r="D246" i="3"/>
  <c r="AF246" i="3" s="1"/>
  <c r="D74" i="3"/>
  <c r="AF74" i="3" s="1"/>
  <c r="M37" i="4" s="1"/>
  <c r="AE73" i="3"/>
  <c r="J14" i="12"/>
  <c r="D175" i="3"/>
  <c r="AF175" i="3" s="1"/>
  <c r="Q34" i="4" s="1"/>
  <c r="AE174" i="3"/>
  <c r="AE97" i="3"/>
  <c r="D98" i="3"/>
  <c r="AF98" i="3" s="1"/>
  <c r="D129" i="3"/>
  <c r="AF129" i="3" s="1"/>
  <c r="AE128" i="3"/>
  <c r="AE49" i="3"/>
  <c r="D50" i="3"/>
  <c r="AF50" i="3" s="1"/>
  <c r="R136" i="3" l="1"/>
  <c r="R74" i="3"/>
  <c r="R177" i="3"/>
  <c r="R257" i="3"/>
  <c r="R88" i="3"/>
  <c r="R327" i="3"/>
  <c r="D324" i="3"/>
  <c r="AF323" i="3"/>
  <c r="Q29" i="4" s="1"/>
  <c r="O22" i="4"/>
  <c r="P22" i="4" s="1"/>
  <c r="F19" i="12"/>
  <c r="E19" i="12"/>
  <c r="B19" i="12"/>
  <c r="C19" i="12"/>
  <c r="Q19" i="12" s="1"/>
  <c r="H19" i="12"/>
  <c r="D19" i="12"/>
  <c r="J19" i="12"/>
  <c r="P12" i="6"/>
  <c r="I12" i="12"/>
  <c r="P13" i="6"/>
  <c r="I13" i="12"/>
  <c r="Z53" i="3"/>
  <c r="AA53" i="3" s="1"/>
  <c r="S12" i="6"/>
  <c r="Z44" i="3"/>
  <c r="AA44" i="3" s="1"/>
  <c r="AM44" i="3"/>
  <c r="AQ44" i="3" s="1"/>
  <c r="L14" i="12"/>
  <c r="Q14" i="6"/>
  <c r="AM53" i="3"/>
  <c r="AQ53" i="3" s="1"/>
  <c r="P27" i="7"/>
  <c r="O28" i="7" s="1"/>
  <c r="Q27" i="7"/>
  <c r="AE321" i="3"/>
  <c r="D247" i="3"/>
  <c r="AF247" i="3" s="1"/>
  <c r="AE246" i="3"/>
  <c r="D75" i="3"/>
  <c r="AF75" i="3" s="1"/>
  <c r="M38" i="4" s="1"/>
  <c r="AE74" i="3"/>
  <c r="AE175" i="3"/>
  <c r="D176" i="3"/>
  <c r="AF176" i="3" s="1"/>
  <c r="D130" i="3"/>
  <c r="AF130" i="3" s="1"/>
  <c r="AE129" i="3"/>
  <c r="AE50" i="3"/>
  <c r="D51" i="3"/>
  <c r="AF51" i="3" s="1"/>
  <c r="D99" i="3"/>
  <c r="AF99" i="3" s="1"/>
  <c r="AE98" i="3"/>
  <c r="R75" i="3" l="1"/>
  <c r="R89" i="3"/>
  <c r="D325" i="3"/>
  <c r="AF324" i="3"/>
  <c r="Q30" i="4" s="1"/>
  <c r="Q23" i="4"/>
  <c r="O23" i="4"/>
  <c r="P23" i="4" s="1"/>
  <c r="M19" i="12"/>
  <c r="N19" i="12"/>
  <c r="A20" i="12"/>
  <c r="U53" i="3"/>
  <c r="J15" i="12"/>
  <c r="U44" i="3"/>
  <c r="S14" i="6"/>
  <c r="L15" i="12"/>
  <c r="Q28" i="7"/>
  <c r="P28" i="7"/>
  <c r="O29" i="7" s="1"/>
  <c r="AE322" i="3"/>
  <c r="AE247" i="3"/>
  <c r="D248" i="3"/>
  <c r="AF248" i="3" s="1"/>
  <c r="Q15" i="4" s="1"/>
  <c r="AE75" i="3"/>
  <c r="D76" i="3"/>
  <c r="AF76" i="3" s="1"/>
  <c r="M39" i="4" s="1"/>
  <c r="D177" i="3"/>
  <c r="AF177" i="3" s="1"/>
  <c r="AE176" i="3"/>
  <c r="D52" i="3"/>
  <c r="AF52" i="3" s="1"/>
  <c r="AE51" i="3"/>
  <c r="D131" i="3"/>
  <c r="AF131" i="3" s="1"/>
  <c r="AE130" i="3"/>
  <c r="D100" i="3"/>
  <c r="AF100" i="3" s="1"/>
  <c r="AE99" i="3"/>
  <c r="D326" i="3" l="1"/>
  <c r="AF325" i="3"/>
  <c r="Q33" i="4" s="1"/>
  <c r="R76" i="3"/>
  <c r="R90" i="3"/>
  <c r="R258" i="3"/>
  <c r="R178" i="3"/>
  <c r="R137" i="3"/>
  <c r="R328" i="3"/>
  <c r="Q24" i="4"/>
  <c r="O24" i="4"/>
  <c r="P24" i="4" s="1"/>
  <c r="D20" i="12"/>
  <c r="B20" i="12"/>
  <c r="E20" i="12"/>
  <c r="C20" i="12"/>
  <c r="Q20" i="12" s="1"/>
  <c r="F20" i="12"/>
  <c r="O25" i="6"/>
  <c r="R23" i="4"/>
  <c r="L18" i="12"/>
  <c r="L17" i="12"/>
  <c r="S15" i="6"/>
  <c r="Q15" i="6"/>
  <c r="P29" i="7"/>
  <c r="O30" i="7" s="1"/>
  <c r="Q29" i="7"/>
  <c r="AE323" i="3"/>
  <c r="AE248" i="3"/>
  <c r="D249" i="3"/>
  <c r="AF249" i="3" s="1"/>
  <c r="D77" i="3"/>
  <c r="AF77" i="3" s="1"/>
  <c r="M40" i="4" s="1"/>
  <c r="AE76" i="3"/>
  <c r="AE177" i="3"/>
  <c r="D178" i="3"/>
  <c r="AF178" i="3" s="1"/>
  <c r="D132" i="3"/>
  <c r="AF132" i="3" s="1"/>
  <c r="AE131" i="3"/>
  <c r="D101" i="3"/>
  <c r="AF101" i="3" s="1"/>
  <c r="AE100" i="3"/>
  <c r="D53" i="3"/>
  <c r="AF53" i="3" s="1"/>
  <c r="AE52" i="3"/>
  <c r="R259" i="3" l="1"/>
  <c r="R138" i="3"/>
  <c r="R91" i="3"/>
  <c r="R179" i="3"/>
  <c r="R329" i="3"/>
  <c r="R77" i="3"/>
  <c r="Q25" i="4"/>
  <c r="O25" i="4"/>
  <c r="P25" i="4" s="1"/>
  <c r="D327" i="3"/>
  <c r="AF326" i="3"/>
  <c r="Q35" i="4" s="1"/>
  <c r="T20" i="12"/>
  <c r="U20" i="12" s="1"/>
  <c r="M20" i="12"/>
  <c r="A21" i="12"/>
  <c r="S18" i="6"/>
  <c r="R24" i="4"/>
  <c r="S17" i="6"/>
  <c r="P30" i="7"/>
  <c r="O31" i="7" s="1"/>
  <c r="Q30" i="7"/>
  <c r="AE324" i="3"/>
  <c r="D250" i="3"/>
  <c r="AF250" i="3" s="1"/>
  <c r="AE249" i="3"/>
  <c r="AE77" i="3"/>
  <c r="D78" i="3"/>
  <c r="AF78" i="3" s="1"/>
  <c r="M41" i="4" s="1"/>
  <c r="AE178" i="3"/>
  <c r="D179" i="3"/>
  <c r="AF179" i="3" s="1"/>
  <c r="D54" i="3"/>
  <c r="AF54" i="3" s="1"/>
  <c r="AE53" i="3"/>
  <c r="D102" i="3"/>
  <c r="AF102" i="3" s="1"/>
  <c r="AE101" i="3"/>
  <c r="D133" i="3"/>
  <c r="AF133" i="3" s="1"/>
  <c r="AE132" i="3"/>
  <c r="D328" i="3" l="1"/>
  <c r="AF327" i="3"/>
  <c r="Q37" i="4" s="1"/>
  <c r="O26" i="4"/>
  <c r="R139" i="3"/>
  <c r="R78" i="3"/>
  <c r="R267" i="3"/>
  <c r="R189" i="3"/>
  <c r="R226" i="3"/>
  <c r="R337" i="3"/>
  <c r="R95" i="3"/>
  <c r="W20" i="12"/>
  <c r="X20" i="12" s="1"/>
  <c r="D21" i="12"/>
  <c r="J21" i="12"/>
  <c r="F21" i="12"/>
  <c r="E21" i="12"/>
  <c r="C21" i="12"/>
  <c r="Q21" i="12" s="1"/>
  <c r="B21" i="12"/>
  <c r="H21" i="12"/>
  <c r="R25" i="4"/>
  <c r="L19" i="12"/>
  <c r="O26" i="6"/>
  <c r="P31" i="7"/>
  <c r="O32" i="7" s="1"/>
  <c r="Q31" i="7"/>
  <c r="D251" i="3"/>
  <c r="AF251" i="3" s="1"/>
  <c r="AE250" i="3"/>
  <c r="D79" i="3"/>
  <c r="AF79" i="3" s="1"/>
  <c r="M42" i="4" s="1"/>
  <c r="AE325" i="3"/>
  <c r="AE78" i="3"/>
  <c r="AE179" i="3"/>
  <c r="D180" i="3"/>
  <c r="AF180" i="3" s="1"/>
  <c r="AE326" i="3"/>
  <c r="D134" i="3"/>
  <c r="AF134" i="3" s="1"/>
  <c r="AE133" i="3"/>
  <c r="D103" i="3"/>
  <c r="AF103" i="3" s="1"/>
  <c r="AE102" i="3"/>
  <c r="D55" i="3"/>
  <c r="AF55" i="3" s="1"/>
  <c r="M27" i="4" s="1"/>
  <c r="AE54" i="3"/>
  <c r="R59" i="3" l="1"/>
  <c r="R107" i="3"/>
  <c r="R126" i="3"/>
  <c r="R55" i="3"/>
  <c r="P31" i="4"/>
  <c r="R79" i="3"/>
  <c r="R96" i="3"/>
  <c r="R180" i="3"/>
  <c r="R260" i="3"/>
  <c r="R330" i="3"/>
  <c r="R140" i="3"/>
  <c r="P26" i="4"/>
  <c r="Q16" i="6"/>
  <c r="J16" i="12"/>
  <c r="D329" i="3"/>
  <c r="AF328" i="3"/>
  <c r="Q39" i="4" s="1"/>
  <c r="T21" i="12"/>
  <c r="U21" i="12" s="1"/>
  <c r="M21" i="12"/>
  <c r="N21" i="12"/>
  <c r="A22" i="12"/>
  <c r="O27" i="6"/>
  <c r="O28" i="6"/>
  <c r="S19" i="6"/>
  <c r="Q32" i="7"/>
  <c r="P32" i="7"/>
  <c r="O33" i="7" s="1"/>
  <c r="AE79" i="3"/>
  <c r="D252" i="3"/>
  <c r="AF252" i="3" s="1"/>
  <c r="D80" i="3"/>
  <c r="AF80" i="3" s="1"/>
  <c r="N16" i="12" s="1"/>
  <c r="AE251" i="3"/>
  <c r="D181" i="3"/>
  <c r="AF181" i="3" s="1"/>
  <c r="AE180" i="3"/>
  <c r="AE327" i="3"/>
  <c r="D104" i="3"/>
  <c r="AF104" i="3" s="1"/>
  <c r="AE103" i="3"/>
  <c r="D56" i="3"/>
  <c r="AF56" i="3" s="1"/>
  <c r="AE55" i="3"/>
  <c r="D135" i="3"/>
  <c r="AF135" i="3" s="1"/>
  <c r="AE134" i="3"/>
  <c r="M31" i="4" l="1"/>
  <c r="N20" i="12"/>
  <c r="D330" i="3"/>
  <c r="AF329" i="3"/>
  <c r="Q40" i="4" s="1"/>
  <c r="F22" i="12"/>
  <c r="C22" i="12"/>
  <c r="Q22" i="12" s="1"/>
  <c r="D22" i="12"/>
  <c r="H22" i="12"/>
  <c r="B22" i="12"/>
  <c r="J22" i="12"/>
  <c r="E22" i="12"/>
  <c r="W21" i="12"/>
  <c r="X21" i="12" s="1"/>
  <c r="S22" i="6"/>
  <c r="L27" i="4"/>
  <c r="N27" i="4"/>
  <c r="L19" i="4"/>
  <c r="L16" i="4"/>
  <c r="S23" i="3" s="1"/>
  <c r="L15" i="4"/>
  <c r="N16" i="4"/>
  <c r="N19" i="4"/>
  <c r="R12" i="4"/>
  <c r="S23" i="6"/>
  <c r="Q33" i="7"/>
  <c r="P33" i="7"/>
  <c r="O34" i="7" s="1"/>
  <c r="AE252" i="3"/>
  <c r="D253" i="3"/>
  <c r="AF253" i="3" s="1"/>
  <c r="AE80" i="3"/>
  <c r="AE56" i="3"/>
  <c r="N36" i="4"/>
  <c r="D182" i="3"/>
  <c r="AF182" i="3" s="1"/>
  <c r="AE181" i="3"/>
  <c r="AE328" i="3"/>
  <c r="D136" i="3"/>
  <c r="AF136" i="3" s="1"/>
  <c r="AE135" i="3"/>
  <c r="D105" i="3"/>
  <c r="AF105" i="3" s="1"/>
  <c r="AE104" i="3"/>
  <c r="D331" i="3" l="1"/>
  <c r="AF330" i="3"/>
  <c r="Q42" i="4" s="1"/>
  <c r="R111" i="3"/>
  <c r="R130" i="3"/>
  <c r="R266" i="3"/>
  <c r="R56" i="3"/>
  <c r="R336" i="3"/>
  <c r="R227" i="3"/>
  <c r="R72" i="3"/>
  <c r="R186" i="3"/>
  <c r="T22" i="12"/>
  <c r="U22" i="12" s="1"/>
  <c r="M22" i="12"/>
  <c r="N22" i="12"/>
  <c r="L22" i="12"/>
  <c r="A23" i="12"/>
  <c r="L36" i="4"/>
  <c r="N43" i="4"/>
  <c r="N46" i="4"/>
  <c r="N30" i="4"/>
  <c r="N32" i="4"/>
  <c r="N35" i="4"/>
  <c r="N47" i="4"/>
  <c r="L43" i="4"/>
  <c r="N45" i="4"/>
  <c r="N44" i="4"/>
  <c r="S55" i="3"/>
  <c r="S107" i="3"/>
  <c r="S59" i="3"/>
  <c r="S126" i="3"/>
  <c r="L45" i="4"/>
  <c r="L30" i="4"/>
  <c r="G19" i="12" s="1"/>
  <c r="R19" i="12" s="1"/>
  <c r="S19" i="12" s="1"/>
  <c r="L35" i="4"/>
  <c r="S22" i="3"/>
  <c r="S119" i="3"/>
  <c r="S101" i="3"/>
  <c r="S166" i="3"/>
  <c r="S35" i="3"/>
  <c r="S248" i="3"/>
  <c r="S25" i="6"/>
  <c r="Y23" i="3"/>
  <c r="AP23" i="3"/>
  <c r="AN23" i="3"/>
  <c r="AO23" i="3"/>
  <c r="N42" i="4"/>
  <c r="L42" i="4"/>
  <c r="O29" i="6"/>
  <c r="N28" i="4"/>
  <c r="S121" i="3"/>
  <c r="S47" i="3"/>
  <c r="S162" i="3"/>
  <c r="S103" i="3"/>
  <c r="S33" i="3"/>
  <c r="L47" i="4"/>
  <c r="L29" i="4"/>
  <c r="G18" i="12" s="1"/>
  <c r="R18" i="12" s="1"/>
  <c r="S18" i="12" s="1"/>
  <c r="L28" i="4"/>
  <c r="G17" i="12" s="1"/>
  <c r="R17" i="12" s="1"/>
  <c r="S17" i="12" s="1"/>
  <c r="N37" i="4"/>
  <c r="L46" i="4"/>
  <c r="N33" i="4"/>
  <c r="L34" i="4"/>
  <c r="N29" i="4"/>
  <c r="L44" i="4"/>
  <c r="H20" i="12"/>
  <c r="N40" i="4"/>
  <c r="N39" i="4"/>
  <c r="L39" i="4"/>
  <c r="L40" i="4"/>
  <c r="L41" i="4"/>
  <c r="N41" i="4"/>
  <c r="N38" i="4"/>
  <c r="L38" i="4"/>
  <c r="L37" i="4"/>
  <c r="L33" i="4"/>
  <c r="G22" i="12" s="1"/>
  <c r="R22" i="12" s="1"/>
  <c r="S22" i="12" s="1"/>
  <c r="L32" i="4"/>
  <c r="G21" i="12" s="1"/>
  <c r="R21" i="12" s="1"/>
  <c r="S21" i="12" s="1"/>
  <c r="R38" i="4"/>
  <c r="N34" i="4"/>
  <c r="P34" i="7"/>
  <c r="O35" i="7" s="1"/>
  <c r="Q34" i="7"/>
  <c r="AE253" i="3"/>
  <c r="D254" i="3"/>
  <c r="AE182" i="3"/>
  <c r="D183" i="3"/>
  <c r="AF183" i="3" s="1"/>
  <c r="AE329" i="3"/>
  <c r="D106" i="3"/>
  <c r="AF106" i="3" s="1"/>
  <c r="AE105" i="3"/>
  <c r="D137" i="3"/>
  <c r="AF137" i="3" s="1"/>
  <c r="AE136" i="3"/>
  <c r="AE254" i="3" l="1"/>
  <c r="AF254" i="3"/>
  <c r="D332" i="3"/>
  <c r="AF331" i="3"/>
  <c r="Q43" i="4" s="1"/>
  <c r="G23" i="12"/>
  <c r="W22" i="12"/>
  <c r="X22" i="12" s="1"/>
  <c r="D23" i="12"/>
  <c r="F23" i="12"/>
  <c r="J23" i="12"/>
  <c r="E23" i="12"/>
  <c r="H23" i="12"/>
  <c r="C23" i="12"/>
  <c r="Q23" i="12" s="1"/>
  <c r="B23" i="12"/>
  <c r="N30" i="6"/>
  <c r="S354" i="3"/>
  <c r="Y354" i="3" s="1"/>
  <c r="S68" i="3"/>
  <c r="AN68" i="3" s="1"/>
  <c r="S135" i="3"/>
  <c r="Y135" i="3" s="1"/>
  <c r="N24" i="6"/>
  <c r="S87" i="3"/>
  <c r="AN87" i="3" s="1"/>
  <c r="S85" i="3"/>
  <c r="Y85" i="3" s="1"/>
  <c r="S61" i="3"/>
  <c r="AO61" i="3" s="1"/>
  <c r="S331" i="3"/>
  <c r="AP331" i="3" s="1"/>
  <c r="S287" i="3"/>
  <c r="AP287" i="3" s="1"/>
  <c r="S181" i="3"/>
  <c r="AN181" i="3" s="1"/>
  <c r="S261" i="3"/>
  <c r="AN261" i="3" s="1"/>
  <c r="S114" i="3"/>
  <c r="Y114" i="3" s="1"/>
  <c r="S188" i="3"/>
  <c r="AN188" i="3" s="1"/>
  <c r="S232" i="3"/>
  <c r="S83" i="3"/>
  <c r="S60" i="3"/>
  <c r="S175" i="3"/>
  <c r="S133" i="3"/>
  <c r="S26" i="6"/>
  <c r="Y126" i="3"/>
  <c r="Z126" i="3" s="1"/>
  <c r="AA126" i="3" s="1"/>
  <c r="U126" i="3" s="1"/>
  <c r="AN126" i="3"/>
  <c r="AO126" i="3"/>
  <c r="AP126" i="3"/>
  <c r="S73" i="3"/>
  <c r="S97" i="3"/>
  <c r="S58" i="3"/>
  <c r="S286" i="3"/>
  <c r="S353" i="3"/>
  <c r="S187" i="3"/>
  <c r="S131" i="3"/>
  <c r="N21" i="6"/>
  <c r="S96" i="3"/>
  <c r="S79" i="3"/>
  <c r="S330" i="3"/>
  <c r="S140" i="3"/>
  <c r="S180" i="3"/>
  <c r="S260" i="3"/>
  <c r="N29" i="6"/>
  <c r="AM23" i="3"/>
  <c r="AQ23" i="3" s="1"/>
  <c r="AN59" i="3"/>
  <c r="Y59" i="3"/>
  <c r="AO59" i="3"/>
  <c r="AP59" i="3"/>
  <c r="S69" i="3"/>
  <c r="S127" i="3"/>
  <c r="S252" i="3"/>
  <c r="S108" i="3"/>
  <c r="S171" i="3"/>
  <c r="S322" i="3"/>
  <c r="S62" i="3"/>
  <c r="N17" i="6"/>
  <c r="AN248" i="3"/>
  <c r="AO248" i="3"/>
  <c r="Y248" i="3"/>
  <c r="AP248" i="3"/>
  <c r="S256" i="3"/>
  <c r="S84" i="3"/>
  <c r="S134" i="3"/>
  <c r="S63" i="3"/>
  <c r="S326" i="3"/>
  <c r="S176" i="3"/>
  <c r="N23" i="6"/>
  <c r="Y107" i="3"/>
  <c r="AP107" i="3"/>
  <c r="AO107" i="3"/>
  <c r="AN107" i="3"/>
  <c r="N31" i="4"/>
  <c r="L31" i="4"/>
  <c r="G20" i="12" s="1"/>
  <c r="R20" i="12" s="1"/>
  <c r="S20" i="12" s="1"/>
  <c r="O20" i="6"/>
  <c r="S70" i="3"/>
  <c r="S128" i="3"/>
  <c r="S253" i="3"/>
  <c r="S323" i="3"/>
  <c r="S65" i="3"/>
  <c r="S172" i="3"/>
  <c r="S109" i="3"/>
  <c r="N18" i="6"/>
  <c r="Y33" i="3"/>
  <c r="AO33" i="3"/>
  <c r="AP33" i="3"/>
  <c r="AN33" i="3"/>
  <c r="Z23" i="3"/>
  <c r="AA23" i="3" s="1"/>
  <c r="Y35" i="3"/>
  <c r="AN35" i="3"/>
  <c r="AO35" i="3"/>
  <c r="AP35" i="3"/>
  <c r="S64" i="3"/>
  <c r="S129" i="3"/>
  <c r="S254" i="3"/>
  <c r="S71" i="3"/>
  <c r="S324" i="3"/>
  <c r="S110" i="3"/>
  <c r="S173" i="3"/>
  <c r="N19" i="6"/>
  <c r="Y55" i="3"/>
  <c r="AO55" i="3"/>
  <c r="AP55" i="3"/>
  <c r="AN55" i="3"/>
  <c r="S93" i="3"/>
  <c r="S184" i="3"/>
  <c r="S264" i="3"/>
  <c r="S154" i="3"/>
  <c r="S334" i="3"/>
  <c r="N32" i="6"/>
  <c r="S337" i="3"/>
  <c r="S267" i="3"/>
  <c r="S139" i="3"/>
  <c r="S95" i="3"/>
  <c r="S78" i="3"/>
  <c r="S226" i="3"/>
  <c r="S189" i="3"/>
  <c r="N28" i="6"/>
  <c r="S132" i="3"/>
  <c r="S241" i="3"/>
  <c r="S325" i="3"/>
  <c r="S243" i="3"/>
  <c r="S66" i="3"/>
  <c r="S255" i="3"/>
  <c r="S206" i="3"/>
  <c r="S174" i="3"/>
  <c r="S82" i="3"/>
  <c r="N22" i="6"/>
  <c r="S155" i="3"/>
  <c r="S185" i="3"/>
  <c r="S335" i="3"/>
  <c r="S92" i="3"/>
  <c r="S265" i="3"/>
  <c r="N33" i="6"/>
  <c r="S190" i="3"/>
  <c r="S94" i="3"/>
  <c r="S156" i="3"/>
  <c r="S207" i="3"/>
  <c r="Y103" i="3"/>
  <c r="AP103" i="3"/>
  <c r="AN103" i="3"/>
  <c r="AO103" i="3"/>
  <c r="AP166" i="3"/>
  <c r="AO166" i="3"/>
  <c r="Y166" i="3"/>
  <c r="AN166" i="3"/>
  <c r="Y121" i="3"/>
  <c r="AN121" i="3"/>
  <c r="AP121" i="3"/>
  <c r="AO121" i="3"/>
  <c r="S153" i="3"/>
  <c r="S86" i="3"/>
  <c r="S333" i="3"/>
  <c r="S263" i="3"/>
  <c r="S183" i="3"/>
  <c r="N31" i="6"/>
  <c r="S88" i="3"/>
  <c r="S74" i="3"/>
  <c r="S257" i="3"/>
  <c r="S136" i="3"/>
  <c r="S327" i="3"/>
  <c r="S177" i="3"/>
  <c r="N25" i="6"/>
  <c r="S329" i="3"/>
  <c r="S138" i="3"/>
  <c r="S179" i="3"/>
  <c r="S77" i="3"/>
  <c r="S91" i="3"/>
  <c r="S259" i="3"/>
  <c r="N27" i="6"/>
  <c r="Y162" i="3"/>
  <c r="AN162" i="3"/>
  <c r="AO162" i="3"/>
  <c r="AP162" i="3"/>
  <c r="Y101" i="3"/>
  <c r="AO101" i="3"/>
  <c r="AP101" i="3"/>
  <c r="AN101" i="3"/>
  <c r="AP22" i="3"/>
  <c r="AO22" i="3"/>
  <c r="Y22" i="3"/>
  <c r="AN22" i="3"/>
  <c r="S75" i="3"/>
  <c r="S89" i="3"/>
  <c r="S90" i="3"/>
  <c r="S328" i="3"/>
  <c r="S137" i="3"/>
  <c r="S178" i="3"/>
  <c r="S76" i="3"/>
  <c r="S258" i="3"/>
  <c r="N26" i="6"/>
  <c r="AN47" i="3"/>
  <c r="AP47" i="3"/>
  <c r="Y47" i="3"/>
  <c r="AO47" i="3"/>
  <c r="Y119" i="3"/>
  <c r="AO119" i="3"/>
  <c r="AN119" i="3"/>
  <c r="AP119" i="3"/>
  <c r="P35" i="7"/>
  <c r="Q35" i="7"/>
  <c r="D255" i="3"/>
  <c r="D184" i="3"/>
  <c r="AF184" i="3" s="1"/>
  <c r="AE183" i="3"/>
  <c r="AE330" i="3"/>
  <c r="D107" i="3"/>
  <c r="AF107" i="3" s="1"/>
  <c r="AE106" i="3"/>
  <c r="D138" i="3"/>
  <c r="AF138" i="3" s="1"/>
  <c r="AE137" i="3"/>
  <c r="AE255" i="3" l="1"/>
  <c r="AF255" i="3"/>
  <c r="D333" i="3"/>
  <c r="AF332" i="3"/>
  <c r="Q26" i="4" s="1"/>
  <c r="R23" i="12"/>
  <c r="S23" i="12" s="1"/>
  <c r="T23" i="12"/>
  <c r="U23" i="12" s="1"/>
  <c r="M23" i="12"/>
  <c r="N23" i="12"/>
  <c r="AO354" i="3"/>
  <c r="AN354" i="3"/>
  <c r="A24" i="12"/>
  <c r="L23" i="12"/>
  <c r="AP354" i="3"/>
  <c r="AP87" i="3"/>
  <c r="AO87" i="3"/>
  <c r="Y87" i="3"/>
  <c r="Z87" i="3" s="1"/>
  <c r="AA87" i="3" s="1"/>
  <c r="Y68" i="3"/>
  <c r="Z68" i="3" s="1"/>
  <c r="AA68" i="3" s="1"/>
  <c r="U68" i="3" s="1"/>
  <c r="AN135" i="3"/>
  <c r="AO68" i="3"/>
  <c r="AP68" i="3"/>
  <c r="AO135" i="3"/>
  <c r="Y61" i="3"/>
  <c r="Z61" i="3" s="1"/>
  <c r="AA61" i="3" s="1"/>
  <c r="AP135" i="3"/>
  <c r="AN85" i="3"/>
  <c r="AN61" i="3"/>
  <c r="AN331" i="3"/>
  <c r="AP61" i="3"/>
  <c r="Y331" i="3"/>
  <c r="Z331" i="3" s="1"/>
  <c r="AA331" i="3" s="1"/>
  <c r="AO85" i="3"/>
  <c r="AN287" i="3"/>
  <c r="AO331" i="3"/>
  <c r="AP85" i="3"/>
  <c r="AO287" i="3"/>
  <c r="Y287" i="3"/>
  <c r="Z287" i="3" s="1"/>
  <c r="AA287" i="3" s="1"/>
  <c r="U287" i="3" s="1"/>
  <c r="AO261" i="3"/>
  <c r="Y261" i="3"/>
  <c r="Z261" i="3" s="1"/>
  <c r="AA261" i="3" s="1"/>
  <c r="AP261" i="3"/>
  <c r="AP188" i="3"/>
  <c r="Y188" i="3"/>
  <c r="Z188" i="3" s="1"/>
  <c r="AA188" i="3" s="1"/>
  <c r="AO188" i="3"/>
  <c r="Y181" i="3"/>
  <c r="Z181" i="3" s="1"/>
  <c r="AA181" i="3" s="1"/>
  <c r="U181" i="3" s="1"/>
  <c r="AO181" i="3"/>
  <c r="AP181" i="3"/>
  <c r="AP114" i="3"/>
  <c r="AN114" i="3"/>
  <c r="AO114" i="3"/>
  <c r="AM107" i="3"/>
  <c r="AQ107" i="3" s="1"/>
  <c r="AM47" i="3"/>
  <c r="AQ47" i="3" s="1"/>
  <c r="AM248" i="3"/>
  <c r="AQ248" i="3" s="1"/>
  <c r="AM119" i="3"/>
  <c r="AQ119" i="3" s="1"/>
  <c r="AM166" i="3"/>
  <c r="AQ166" i="3" s="1"/>
  <c r="Z103" i="3"/>
  <c r="AA103" i="3" s="1"/>
  <c r="Y65" i="3"/>
  <c r="AO65" i="3"/>
  <c r="AN65" i="3"/>
  <c r="AP65" i="3"/>
  <c r="AM35" i="3"/>
  <c r="AQ35" i="3" s="1"/>
  <c r="AO323" i="3"/>
  <c r="Y323" i="3"/>
  <c r="AN323" i="3"/>
  <c r="AP323" i="3"/>
  <c r="AP108" i="3"/>
  <c r="Y108" i="3"/>
  <c r="AN108" i="3"/>
  <c r="AO108" i="3"/>
  <c r="Z114" i="3"/>
  <c r="AA114" i="3" s="1"/>
  <c r="Y75" i="3"/>
  <c r="AP75" i="3"/>
  <c r="AO75" i="3"/>
  <c r="AN75" i="3"/>
  <c r="Y265" i="3"/>
  <c r="AP265" i="3"/>
  <c r="AO265" i="3"/>
  <c r="AN265" i="3"/>
  <c r="Y93" i="3"/>
  <c r="Z93" i="3" s="1"/>
  <c r="AA93" i="3" s="1"/>
  <c r="U93" i="3" s="1"/>
  <c r="AN93" i="3"/>
  <c r="AP93" i="3"/>
  <c r="AO93" i="3"/>
  <c r="S56" i="3"/>
  <c r="S130" i="3"/>
  <c r="S227" i="3"/>
  <c r="S111" i="3"/>
  <c r="S72" i="3"/>
  <c r="S186" i="3"/>
  <c r="S266" i="3"/>
  <c r="S336" i="3"/>
  <c r="N20" i="6"/>
  <c r="Y256" i="3"/>
  <c r="AN256" i="3"/>
  <c r="AO256" i="3"/>
  <c r="AP256" i="3"/>
  <c r="AO252" i="3"/>
  <c r="AP252" i="3"/>
  <c r="Y252" i="3"/>
  <c r="AN252" i="3"/>
  <c r="Y260" i="3"/>
  <c r="AO260" i="3"/>
  <c r="AN260" i="3"/>
  <c r="AP260" i="3"/>
  <c r="Y97" i="3"/>
  <c r="AN97" i="3"/>
  <c r="AP97" i="3"/>
  <c r="AO97" i="3"/>
  <c r="Y258" i="3"/>
  <c r="AN258" i="3"/>
  <c r="AO258" i="3"/>
  <c r="AP258" i="3"/>
  <c r="AM101" i="3"/>
  <c r="AQ101" i="3" s="1"/>
  <c r="AM162" i="3"/>
  <c r="AQ162" i="3" s="1"/>
  <c r="Y91" i="3"/>
  <c r="AP91" i="3"/>
  <c r="AO91" i="3"/>
  <c r="AN91" i="3"/>
  <c r="AN136" i="3"/>
  <c r="AP136" i="3"/>
  <c r="Y136" i="3"/>
  <c r="AO136" i="3"/>
  <c r="Y92" i="3"/>
  <c r="AO92" i="3"/>
  <c r="AP92" i="3"/>
  <c r="AN92" i="3"/>
  <c r="Y82" i="3"/>
  <c r="AP82" i="3"/>
  <c r="AO82" i="3"/>
  <c r="AN82" i="3"/>
  <c r="Y132" i="3"/>
  <c r="AP132" i="3"/>
  <c r="AN132" i="3"/>
  <c r="AO132" i="3"/>
  <c r="AN267" i="3"/>
  <c r="AP267" i="3"/>
  <c r="Y267" i="3"/>
  <c r="AO267" i="3"/>
  <c r="AM55" i="3"/>
  <c r="AQ55" i="3" s="1"/>
  <c r="Y71" i="3"/>
  <c r="AO71" i="3"/>
  <c r="AN71" i="3"/>
  <c r="AP71" i="3"/>
  <c r="U23" i="3"/>
  <c r="Y128" i="3"/>
  <c r="AP128" i="3"/>
  <c r="AN128" i="3"/>
  <c r="AO128" i="3"/>
  <c r="Z107" i="3"/>
  <c r="AA107" i="3" s="1"/>
  <c r="AP127" i="3"/>
  <c r="AO127" i="3"/>
  <c r="Y127" i="3"/>
  <c r="AN127" i="3"/>
  <c r="AO180" i="3"/>
  <c r="AP180" i="3"/>
  <c r="Y180" i="3"/>
  <c r="AN180" i="3"/>
  <c r="Z354" i="3"/>
  <c r="AA354" i="3" s="1"/>
  <c r="AP73" i="3"/>
  <c r="AN73" i="3"/>
  <c r="Y73" i="3"/>
  <c r="AO73" i="3"/>
  <c r="AN90" i="3"/>
  <c r="AO90" i="3"/>
  <c r="Y90" i="3"/>
  <c r="AP90" i="3"/>
  <c r="Y78" i="3"/>
  <c r="AP78" i="3"/>
  <c r="AO78" i="3"/>
  <c r="AN78" i="3"/>
  <c r="AO89" i="3"/>
  <c r="AN89" i="3"/>
  <c r="Y89" i="3"/>
  <c r="AP89" i="3"/>
  <c r="AN177" i="3"/>
  <c r="AP177" i="3"/>
  <c r="Y177" i="3"/>
  <c r="AO177" i="3"/>
  <c r="Y153" i="3"/>
  <c r="AO153" i="3"/>
  <c r="AP153" i="3"/>
  <c r="AN153" i="3"/>
  <c r="AP184" i="3"/>
  <c r="AO184" i="3"/>
  <c r="Y184" i="3"/>
  <c r="AN184" i="3"/>
  <c r="AP259" i="3"/>
  <c r="Y259" i="3"/>
  <c r="AN259" i="3"/>
  <c r="AO259" i="3"/>
  <c r="Y327" i="3"/>
  <c r="AP327" i="3"/>
  <c r="AO327" i="3"/>
  <c r="AN327" i="3"/>
  <c r="Z162" i="3"/>
  <c r="AA162" i="3" s="1"/>
  <c r="AO77" i="3"/>
  <c r="Y77" i="3"/>
  <c r="AN77" i="3"/>
  <c r="AP77" i="3"/>
  <c r="AO257" i="3"/>
  <c r="AP257" i="3"/>
  <c r="Y257" i="3"/>
  <c r="AN257" i="3"/>
  <c r="AM121" i="3"/>
  <c r="AQ121" i="3" s="1"/>
  <c r="AN335" i="3"/>
  <c r="AP335" i="3"/>
  <c r="Y335" i="3"/>
  <c r="AO335" i="3"/>
  <c r="Y174" i="3"/>
  <c r="AN174" i="3"/>
  <c r="AP174" i="3"/>
  <c r="AO174" i="3"/>
  <c r="AO337" i="3"/>
  <c r="AN337" i="3"/>
  <c r="Y337" i="3"/>
  <c r="AP337" i="3"/>
  <c r="Y254" i="3"/>
  <c r="AO254" i="3"/>
  <c r="AN254" i="3"/>
  <c r="AP254" i="3"/>
  <c r="Z85" i="3"/>
  <c r="AA85" i="3" s="1"/>
  <c r="AO70" i="3"/>
  <c r="AN70" i="3"/>
  <c r="AP70" i="3"/>
  <c r="Y70" i="3"/>
  <c r="Z248" i="3"/>
  <c r="AA248" i="3" s="1"/>
  <c r="Z135" i="3"/>
  <c r="AA135" i="3" s="1"/>
  <c r="Y69" i="3"/>
  <c r="AO69" i="3"/>
  <c r="AN69" i="3"/>
  <c r="AP69" i="3"/>
  <c r="Z59" i="3"/>
  <c r="AA59" i="3" s="1"/>
  <c r="Y140" i="3"/>
  <c r="AN140" i="3"/>
  <c r="AP140" i="3"/>
  <c r="AO140" i="3"/>
  <c r="AN133" i="3"/>
  <c r="AO133" i="3"/>
  <c r="Y133" i="3"/>
  <c r="AP133" i="3"/>
  <c r="Z33" i="3"/>
  <c r="AA33" i="3" s="1"/>
  <c r="AO325" i="3"/>
  <c r="AP325" i="3"/>
  <c r="Y325" i="3"/>
  <c r="AN325" i="3"/>
  <c r="Y95" i="3"/>
  <c r="AP95" i="3"/>
  <c r="AO95" i="3"/>
  <c r="AN95" i="3"/>
  <c r="Y110" i="3"/>
  <c r="AP110" i="3"/>
  <c r="AN110" i="3"/>
  <c r="AO110" i="3"/>
  <c r="AO58" i="3"/>
  <c r="AN58" i="3"/>
  <c r="Y58" i="3"/>
  <c r="AP58" i="3"/>
  <c r="AO241" i="3"/>
  <c r="AP241" i="3"/>
  <c r="Y241" i="3"/>
  <c r="AN241" i="3"/>
  <c r="S27" i="6"/>
  <c r="Y76" i="3"/>
  <c r="AO76" i="3"/>
  <c r="AN76" i="3"/>
  <c r="AP76" i="3"/>
  <c r="Z47" i="3"/>
  <c r="AA47" i="3" s="1"/>
  <c r="Y178" i="3"/>
  <c r="AO178" i="3"/>
  <c r="AP178" i="3"/>
  <c r="AN178" i="3"/>
  <c r="AM22" i="3"/>
  <c r="AQ22" i="3" s="1"/>
  <c r="AP179" i="3"/>
  <c r="AN179" i="3"/>
  <c r="Y179" i="3"/>
  <c r="AO179" i="3"/>
  <c r="AP74" i="3"/>
  <c r="AN74" i="3"/>
  <c r="Y74" i="3"/>
  <c r="AO74" i="3"/>
  <c r="Y183" i="3"/>
  <c r="AN183" i="3"/>
  <c r="AO183" i="3"/>
  <c r="AP183" i="3"/>
  <c r="Z121" i="3"/>
  <c r="AA121" i="3" s="1"/>
  <c r="AO207" i="3"/>
  <c r="AP207" i="3"/>
  <c r="Y207" i="3"/>
  <c r="AN207" i="3"/>
  <c r="Y185" i="3"/>
  <c r="AO185" i="3"/>
  <c r="AN185" i="3"/>
  <c r="AP185" i="3"/>
  <c r="Y206" i="3"/>
  <c r="AN206" i="3"/>
  <c r="AO206" i="3"/>
  <c r="AP206" i="3"/>
  <c r="AO129" i="3"/>
  <c r="AP129" i="3"/>
  <c r="Y129" i="3"/>
  <c r="AN129" i="3"/>
  <c r="AM33" i="3"/>
  <c r="AQ33" i="3" s="1"/>
  <c r="Y176" i="3"/>
  <c r="AN176" i="3"/>
  <c r="AO176" i="3"/>
  <c r="AP176" i="3"/>
  <c r="AM59" i="3"/>
  <c r="AQ59" i="3" s="1"/>
  <c r="AN330" i="3"/>
  <c r="Y330" i="3"/>
  <c r="AO330" i="3"/>
  <c r="AP330" i="3"/>
  <c r="AP131" i="3"/>
  <c r="AO131" i="3"/>
  <c r="Y131" i="3"/>
  <c r="AN131" i="3"/>
  <c r="AO175" i="3"/>
  <c r="AP175" i="3"/>
  <c r="AN175" i="3"/>
  <c r="Y175" i="3"/>
  <c r="AO86" i="3"/>
  <c r="AN86" i="3"/>
  <c r="Y86" i="3"/>
  <c r="AP86" i="3"/>
  <c r="AO190" i="3"/>
  <c r="AP190" i="3"/>
  <c r="Y190" i="3"/>
  <c r="AN190" i="3"/>
  <c r="Y243" i="3"/>
  <c r="AO243" i="3"/>
  <c r="AN243" i="3"/>
  <c r="AP243" i="3"/>
  <c r="AN264" i="3"/>
  <c r="AO264" i="3"/>
  <c r="Y264" i="3"/>
  <c r="AP264" i="3"/>
  <c r="Y173" i="3"/>
  <c r="AO173" i="3"/>
  <c r="AN173" i="3"/>
  <c r="AP173" i="3"/>
  <c r="Y134" i="3"/>
  <c r="AN134" i="3"/>
  <c r="AO134" i="3"/>
  <c r="AP134" i="3"/>
  <c r="AN171" i="3"/>
  <c r="Y171" i="3"/>
  <c r="AO171" i="3"/>
  <c r="AP171" i="3"/>
  <c r="Z119" i="3"/>
  <c r="AA119" i="3" s="1"/>
  <c r="Z166" i="3"/>
  <c r="AA166" i="3" s="1"/>
  <c r="Y84" i="3"/>
  <c r="AN84" i="3"/>
  <c r="AO84" i="3"/>
  <c r="AP84" i="3"/>
  <c r="Y139" i="3"/>
  <c r="AO139" i="3"/>
  <c r="AN139" i="3"/>
  <c r="AP139" i="3"/>
  <c r="Y324" i="3"/>
  <c r="AO324" i="3"/>
  <c r="AN324" i="3"/>
  <c r="AP324" i="3"/>
  <c r="Z35" i="3"/>
  <c r="AA35" i="3" s="1"/>
  <c r="Y253" i="3"/>
  <c r="AO253" i="3"/>
  <c r="AN253" i="3"/>
  <c r="AP253" i="3"/>
  <c r="Y137" i="3"/>
  <c r="AN137" i="3"/>
  <c r="AO137" i="3"/>
  <c r="AP137" i="3"/>
  <c r="Z22" i="3"/>
  <c r="AA22" i="3" s="1"/>
  <c r="Z101" i="3"/>
  <c r="AA101" i="3" s="1"/>
  <c r="AP138" i="3"/>
  <c r="AN138" i="3"/>
  <c r="Y138" i="3"/>
  <c r="AO138" i="3"/>
  <c r="AN88" i="3"/>
  <c r="AP88" i="3"/>
  <c r="Y88" i="3"/>
  <c r="AO88" i="3"/>
  <c r="Y263" i="3"/>
  <c r="AP263" i="3"/>
  <c r="AO263" i="3"/>
  <c r="AN263" i="3"/>
  <c r="AM103" i="3"/>
  <c r="AQ103" i="3" s="1"/>
  <c r="Y156" i="3"/>
  <c r="AO156" i="3"/>
  <c r="AP156" i="3"/>
  <c r="AN156" i="3"/>
  <c r="Y155" i="3"/>
  <c r="AO155" i="3"/>
  <c r="AN155" i="3"/>
  <c r="AP155" i="3"/>
  <c r="AN255" i="3"/>
  <c r="AP255" i="3"/>
  <c r="Y255" i="3"/>
  <c r="AO255" i="3"/>
  <c r="Y189" i="3"/>
  <c r="AO189" i="3"/>
  <c r="AP189" i="3"/>
  <c r="AN189" i="3"/>
  <c r="AP334" i="3"/>
  <c r="AN334" i="3"/>
  <c r="Y334" i="3"/>
  <c r="AO334" i="3"/>
  <c r="Z55" i="3"/>
  <c r="AA55" i="3" s="1"/>
  <c r="Y64" i="3"/>
  <c r="AO64" i="3"/>
  <c r="AP64" i="3"/>
  <c r="AN64" i="3"/>
  <c r="AP109" i="3"/>
  <c r="AN109" i="3"/>
  <c r="Y109" i="3"/>
  <c r="AO109" i="3"/>
  <c r="Y326" i="3"/>
  <c r="AO326" i="3"/>
  <c r="AP326" i="3"/>
  <c r="AN326" i="3"/>
  <c r="Y62" i="3"/>
  <c r="AO62" i="3"/>
  <c r="AP62" i="3"/>
  <c r="AN62" i="3"/>
  <c r="AN79" i="3"/>
  <c r="AO79" i="3"/>
  <c r="Y79" i="3"/>
  <c r="AP79" i="3"/>
  <c r="AN187" i="3"/>
  <c r="AO187" i="3"/>
  <c r="Y187" i="3"/>
  <c r="AP187" i="3"/>
  <c r="AN60" i="3"/>
  <c r="Y60" i="3"/>
  <c r="AO60" i="3"/>
  <c r="AP60" i="3"/>
  <c r="Y328" i="3"/>
  <c r="AN328" i="3"/>
  <c r="AO328" i="3"/>
  <c r="AP328" i="3"/>
  <c r="Y329" i="3"/>
  <c r="AP329" i="3"/>
  <c r="AO329" i="3"/>
  <c r="AN329" i="3"/>
  <c r="Y333" i="3"/>
  <c r="AO333" i="3"/>
  <c r="AN333" i="3"/>
  <c r="AP333" i="3"/>
  <c r="Y94" i="3"/>
  <c r="AN94" i="3"/>
  <c r="AO94" i="3"/>
  <c r="AP94" i="3"/>
  <c r="Y66" i="3"/>
  <c r="AO66" i="3"/>
  <c r="AN66" i="3"/>
  <c r="AP66" i="3"/>
  <c r="Y226" i="3"/>
  <c r="AP226" i="3"/>
  <c r="AN226" i="3"/>
  <c r="AO226" i="3"/>
  <c r="Y154" i="3"/>
  <c r="AO154" i="3"/>
  <c r="AP154" i="3"/>
  <c r="AN154" i="3"/>
  <c r="Y172" i="3"/>
  <c r="Z172" i="3" s="1"/>
  <c r="AA172" i="3" s="1"/>
  <c r="U172" i="3" s="1"/>
  <c r="AO172" i="3"/>
  <c r="AP172" i="3"/>
  <c r="AN172" i="3"/>
  <c r="AP63" i="3"/>
  <c r="AO63" i="3"/>
  <c r="Y63" i="3"/>
  <c r="AN63" i="3"/>
  <c r="Y322" i="3"/>
  <c r="AP322" i="3"/>
  <c r="AN322" i="3"/>
  <c r="AO322" i="3"/>
  <c r="Y96" i="3"/>
  <c r="AO96" i="3"/>
  <c r="AN96" i="3"/>
  <c r="AP96" i="3"/>
  <c r="AN353" i="3"/>
  <c r="AP353" i="3"/>
  <c r="Y353" i="3"/>
  <c r="AO353" i="3"/>
  <c r="AN83" i="3"/>
  <c r="Y83" i="3"/>
  <c r="AP83" i="3"/>
  <c r="AO83" i="3"/>
  <c r="Y286" i="3"/>
  <c r="AO286" i="3"/>
  <c r="AN286" i="3"/>
  <c r="AP286" i="3"/>
  <c r="AM126" i="3"/>
  <c r="AQ126" i="3" s="1"/>
  <c r="AN232" i="3"/>
  <c r="AO232" i="3"/>
  <c r="Y232" i="3"/>
  <c r="AP232" i="3"/>
  <c r="D256" i="3"/>
  <c r="AE184" i="3"/>
  <c r="D185" i="3"/>
  <c r="AF185" i="3" s="1"/>
  <c r="AE331" i="3"/>
  <c r="D139" i="3"/>
  <c r="AF139" i="3" s="1"/>
  <c r="AE138" i="3"/>
  <c r="D108" i="3"/>
  <c r="AF108" i="3" s="1"/>
  <c r="AE107" i="3"/>
  <c r="AE256" i="3" l="1"/>
  <c r="AF256" i="3"/>
  <c r="D334" i="3"/>
  <c r="AF333" i="3"/>
  <c r="Q44" i="4" s="1"/>
  <c r="AM354" i="3"/>
  <c r="AQ354" i="3" s="1"/>
  <c r="W23" i="12"/>
  <c r="X23" i="12" s="1"/>
  <c r="E24" i="12"/>
  <c r="D24" i="12"/>
  <c r="J24" i="12"/>
  <c r="H24" i="12"/>
  <c r="C24" i="12"/>
  <c r="Q24" i="12" s="1"/>
  <c r="B24" i="12"/>
  <c r="F24" i="12"/>
  <c r="G24" i="12"/>
  <c r="AM87" i="3"/>
  <c r="AQ87" i="3" s="1"/>
  <c r="AM68" i="3"/>
  <c r="AQ68" i="3" s="1"/>
  <c r="AM135" i="3"/>
  <c r="AQ135" i="3" s="1"/>
  <c r="AM61" i="3"/>
  <c r="AQ61" i="3" s="1"/>
  <c r="AM331" i="3"/>
  <c r="AQ331" i="3" s="1"/>
  <c r="AM188" i="3"/>
  <c r="AQ188" i="3" s="1"/>
  <c r="AM261" i="3"/>
  <c r="AQ261" i="3" s="1"/>
  <c r="AM85" i="3"/>
  <c r="AQ85" i="3" s="1"/>
  <c r="AM287" i="3"/>
  <c r="AQ287" i="3" s="1"/>
  <c r="AM181" i="3"/>
  <c r="AQ181" i="3" s="1"/>
  <c r="AM114" i="3"/>
  <c r="AQ114" i="3" s="1"/>
  <c r="AM326" i="3"/>
  <c r="AQ326" i="3" s="1"/>
  <c r="AM64" i="3"/>
  <c r="AQ64" i="3" s="1"/>
  <c r="AM129" i="3"/>
  <c r="AQ129" i="3" s="1"/>
  <c r="AM156" i="3"/>
  <c r="AQ156" i="3" s="1"/>
  <c r="AM136" i="3"/>
  <c r="AQ136" i="3" s="1"/>
  <c r="U248" i="3"/>
  <c r="AM330" i="3"/>
  <c r="AQ330" i="3" s="1"/>
  <c r="AM83" i="3"/>
  <c r="AQ83" i="3" s="1"/>
  <c r="AM172" i="3"/>
  <c r="AQ172" i="3" s="1"/>
  <c r="AM185" i="3"/>
  <c r="AQ185" i="3" s="1"/>
  <c r="U188" i="3"/>
  <c r="AM329" i="3"/>
  <c r="AQ329" i="3" s="1"/>
  <c r="AM171" i="3"/>
  <c r="AQ171" i="3" s="1"/>
  <c r="U87" i="3"/>
  <c r="U47" i="3"/>
  <c r="U119" i="3"/>
  <c r="AM259" i="3"/>
  <c r="AQ259" i="3" s="1"/>
  <c r="AM187" i="3"/>
  <c r="AQ187" i="3" s="1"/>
  <c r="AM109" i="3"/>
  <c r="AQ109" i="3" s="1"/>
  <c r="AM139" i="3"/>
  <c r="AQ139" i="3" s="1"/>
  <c r="U261" i="3"/>
  <c r="AM190" i="3"/>
  <c r="AQ190" i="3" s="1"/>
  <c r="U61" i="3"/>
  <c r="AM58" i="3"/>
  <c r="AQ58" i="3" s="1"/>
  <c r="U59" i="3"/>
  <c r="U162" i="3"/>
  <c r="AM132" i="3"/>
  <c r="AQ132" i="3" s="1"/>
  <c r="AM91" i="3"/>
  <c r="AQ91" i="3" s="1"/>
  <c r="U101" i="3"/>
  <c r="U331" i="3"/>
  <c r="U35" i="3"/>
  <c r="AM183" i="3"/>
  <c r="AQ183" i="3" s="1"/>
  <c r="AM179" i="3"/>
  <c r="AQ179" i="3" s="1"/>
  <c r="AM241" i="3"/>
  <c r="AQ241" i="3" s="1"/>
  <c r="AM325" i="3"/>
  <c r="AQ325" i="3" s="1"/>
  <c r="U22" i="3"/>
  <c r="AM69" i="3"/>
  <c r="AQ69" i="3" s="1"/>
  <c r="AM82" i="3"/>
  <c r="AQ82" i="3" s="1"/>
  <c r="AM256" i="3"/>
  <c r="AQ256" i="3" s="1"/>
  <c r="AM155" i="3"/>
  <c r="AQ155" i="3" s="1"/>
  <c r="AM206" i="3"/>
  <c r="AQ206" i="3" s="1"/>
  <c r="AM127" i="3"/>
  <c r="AQ127" i="3" s="1"/>
  <c r="AM173" i="3"/>
  <c r="AQ173" i="3" s="1"/>
  <c r="AM243" i="3"/>
  <c r="AQ243" i="3" s="1"/>
  <c r="AM252" i="3"/>
  <c r="AQ252" i="3" s="1"/>
  <c r="AM232" i="3"/>
  <c r="AQ232" i="3" s="1"/>
  <c r="AM96" i="3"/>
  <c r="AQ96" i="3" s="1"/>
  <c r="AM66" i="3"/>
  <c r="AQ66" i="3" s="1"/>
  <c r="AM333" i="3"/>
  <c r="AQ333" i="3" s="1"/>
  <c r="AM138" i="3"/>
  <c r="AQ138" i="3" s="1"/>
  <c r="AM253" i="3"/>
  <c r="AQ253" i="3" s="1"/>
  <c r="AM178" i="3"/>
  <c r="AQ178" i="3" s="1"/>
  <c r="AM76" i="3"/>
  <c r="AQ76" i="3" s="1"/>
  <c r="U33" i="3"/>
  <c r="AM140" i="3"/>
  <c r="AQ140" i="3" s="1"/>
  <c r="AM75" i="3"/>
  <c r="AQ75" i="3" s="1"/>
  <c r="Z260" i="3"/>
  <c r="AA260" i="3" s="1"/>
  <c r="AM286" i="3"/>
  <c r="AQ286" i="3" s="1"/>
  <c r="AM133" i="3"/>
  <c r="AQ133" i="3" s="1"/>
  <c r="AO56" i="3"/>
  <c r="AP56" i="3"/>
  <c r="Y56" i="3"/>
  <c r="AN56" i="3"/>
  <c r="Z62" i="3"/>
  <c r="AA62" i="3" s="1"/>
  <c r="Z334" i="3"/>
  <c r="AA334" i="3" s="1"/>
  <c r="Z255" i="3"/>
  <c r="AA255" i="3" s="1"/>
  <c r="Z263" i="3"/>
  <c r="AA263" i="3" s="1"/>
  <c r="AM137" i="3"/>
  <c r="AQ137" i="3" s="1"/>
  <c r="Z139" i="3"/>
  <c r="AA139" i="3" s="1"/>
  <c r="Z264" i="3"/>
  <c r="AA264" i="3" s="1"/>
  <c r="Z190" i="3"/>
  <c r="AA190" i="3" s="1"/>
  <c r="U121" i="3"/>
  <c r="AM74" i="3"/>
  <c r="AQ74" i="3" s="1"/>
  <c r="AM254" i="3"/>
  <c r="AQ254" i="3" s="1"/>
  <c r="Z77" i="3"/>
  <c r="AA77" i="3" s="1"/>
  <c r="AM153" i="3"/>
  <c r="AQ153" i="3" s="1"/>
  <c r="Z78" i="3"/>
  <c r="AA78" i="3" s="1"/>
  <c r="AM73" i="3"/>
  <c r="AQ73" i="3" s="1"/>
  <c r="AM128" i="3"/>
  <c r="AQ128" i="3" s="1"/>
  <c r="Z132" i="3"/>
  <c r="AA132" i="3" s="1"/>
  <c r="Z92" i="3"/>
  <c r="AA92" i="3" s="1"/>
  <c r="AM258" i="3"/>
  <c r="AQ258" i="3" s="1"/>
  <c r="Z97" i="3"/>
  <c r="AA97" i="3" s="1"/>
  <c r="Z252" i="3"/>
  <c r="AA252" i="3" s="1"/>
  <c r="AN336" i="3"/>
  <c r="AP336" i="3"/>
  <c r="Y336" i="3"/>
  <c r="AO336" i="3"/>
  <c r="Z108" i="3"/>
  <c r="AA108" i="3" s="1"/>
  <c r="AM65" i="3"/>
  <c r="AQ65" i="3" s="1"/>
  <c r="Z155" i="3"/>
  <c r="AA155" i="3" s="1"/>
  <c r="Z353" i="3"/>
  <c r="AA353" i="3" s="1"/>
  <c r="AM335" i="3"/>
  <c r="AQ335" i="3" s="1"/>
  <c r="Z327" i="3"/>
  <c r="AA327" i="3" s="1"/>
  <c r="AM353" i="3"/>
  <c r="AQ353" i="3" s="1"/>
  <c r="S29" i="6"/>
  <c r="AM134" i="3"/>
  <c r="AQ134" i="3" s="1"/>
  <c r="Z175" i="3"/>
  <c r="AA175" i="3" s="1"/>
  <c r="Z129" i="3"/>
  <c r="AA129" i="3" s="1"/>
  <c r="Z110" i="3"/>
  <c r="AA110" i="3" s="1"/>
  <c r="Z70" i="3"/>
  <c r="AA70" i="3" s="1"/>
  <c r="Z89" i="3"/>
  <c r="AA89" i="3" s="1"/>
  <c r="Z91" i="3"/>
  <c r="AA91" i="3" s="1"/>
  <c r="Z258" i="3"/>
  <c r="AA258" i="3" s="1"/>
  <c r="AO266" i="3"/>
  <c r="AN266" i="3"/>
  <c r="AP266" i="3"/>
  <c r="Y266" i="3"/>
  <c r="Z154" i="3"/>
  <c r="AA154" i="3" s="1"/>
  <c r="Z109" i="3"/>
  <c r="AA109" i="3" s="1"/>
  <c r="Z173" i="3"/>
  <c r="AA173" i="3" s="1"/>
  <c r="Z131" i="3"/>
  <c r="AA131" i="3" s="1"/>
  <c r="Z180" i="3"/>
  <c r="AA180" i="3" s="1"/>
  <c r="Y130" i="3"/>
  <c r="AO130" i="3"/>
  <c r="AN130" i="3"/>
  <c r="AP130" i="3"/>
  <c r="Z74" i="3"/>
  <c r="AA74" i="3" s="1"/>
  <c r="Z241" i="3"/>
  <c r="AA241" i="3" s="1"/>
  <c r="Z73" i="3"/>
  <c r="AA73" i="3" s="1"/>
  <c r="Z71" i="3"/>
  <c r="AA71" i="3" s="1"/>
  <c r="AM97" i="3"/>
  <c r="AQ97" i="3" s="1"/>
  <c r="Z265" i="3"/>
  <c r="AA265" i="3" s="1"/>
  <c r="AM322" i="3"/>
  <c r="AQ322" i="3" s="1"/>
  <c r="Z79" i="3"/>
  <c r="AA79" i="3" s="1"/>
  <c r="Z286" i="3"/>
  <c r="AA286" i="3" s="1"/>
  <c r="Z232" i="3"/>
  <c r="AA232" i="3" s="1"/>
  <c r="Z322" i="3"/>
  <c r="AA322" i="3" s="1"/>
  <c r="Z226" i="3"/>
  <c r="AA226" i="3" s="1"/>
  <c r="Z94" i="3"/>
  <c r="AA94" i="3" s="1"/>
  <c r="Z329" i="3"/>
  <c r="AA329" i="3" s="1"/>
  <c r="AM60" i="3"/>
  <c r="AQ60" i="3" s="1"/>
  <c r="AM79" i="3"/>
  <c r="AQ79" i="3" s="1"/>
  <c r="AM255" i="3"/>
  <c r="AQ255" i="3" s="1"/>
  <c r="Z156" i="3"/>
  <c r="AA156" i="3" s="1"/>
  <c r="Z88" i="3"/>
  <c r="AA88" i="3" s="1"/>
  <c r="AM324" i="3"/>
  <c r="AQ324" i="3" s="1"/>
  <c r="Z134" i="3"/>
  <c r="AA134" i="3" s="1"/>
  <c r="AM264" i="3"/>
  <c r="AQ264" i="3" s="1"/>
  <c r="AM175" i="3"/>
  <c r="AQ175" i="3" s="1"/>
  <c r="AM176" i="3"/>
  <c r="AQ176" i="3" s="1"/>
  <c r="AM95" i="3"/>
  <c r="AQ95" i="3" s="1"/>
  <c r="Z254" i="3"/>
  <c r="AA254" i="3" s="1"/>
  <c r="AM174" i="3"/>
  <c r="AQ174" i="3" s="1"/>
  <c r="AM257" i="3"/>
  <c r="AQ257" i="3" s="1"/>
  <c r="Z259" i="3"/>
  <c r="AA259" i="3" s="1"/>
  <c r="AM89" i="3"/>
  <c r="AQ89" i="3" s="1"/>
  <c r="Z90" i="3"/>
  <c r="AA90" i="3" s="1"/>
  <c r="Z127" i="3"/>
  <c r="AA127" i="3" s="1"/>
  <c r="Z128" i="3"/>
  <c r="AA128" i="3" s="1"/>
  <c r="Z267" i="3"/>
  <c r="AA267" i="3" s="1"/>
  <c r="AP186" i="3"/>
  <c r="Y186" i="3"/>
  <c r="AN186" i="3"/>
  <c r="AO186" i="3"/>
  <c r="AM93" i="3"/>
  <c r="AQ93" i="3" s="1"/>
  <c r="Z65" i="3"/>
  <c r="AA65" i="3" s="1"/>
  <c r="Z66" i="3"/>
  <c r="AA66" i="3" s="1"/>
  <c r="Z206" i="3"/>
  <c r="AA206" i="3" s="1"/>
  <c r="U206" i="3" s="1"/>
  <c r="Z325" i="3"/>
  <c r="AA325" i="3" s="1"/>
  <c r="AM77" i="3"/>
  <c r="AQ77" i="3" s="1"/>
  <c r="AM108" i="3"/>
  <c r="AQ108" i="3" s="1"/>
  <c r="AM226" i="3"/>
  <c r="AQ226" i="3" s="1"/>
  <c r="AM94" i="3"/>
  <c r="AQ94" i="3" s="1"/>
  <c r="Z60" i="3"/>
  <c r="AA60" i="3" s="1"/>
  <c r="U60" i="3" s="1"/>
  <c r="AM334" i="3"/>
  <c r="AQ334" i="3" s="1"/>
  <c r="Z137" i="3"/>
  <c r="AA137" i="3" s="1"/>
  <c r="AM63" i="3"/>
  <c r="AQ63" i="3" s="1"/>
  <c r="AM154" i="3"/>
  <c r="AQ154" i="3" s="1"/>
  <c r="AM189" i="3"/>
  <c r="AQ189" i="3" s="1"/>
  <c r="AM84" i="3"/>
  <c r="AQ84" i="3" s="1"/>
  <c r="Z176" i="3"/>
  <c r="AA176" i="3" s="1"/>
  <c r="Z185" i="3"/>
  <c r="AA185" i="3" s="1"/>
  <c r="Z179" i="3"/>
  <c r="AA179" i="3" s="1"/>
  <c r="Z76" i="3"/>
  <c r="AA76" i="3" s="1"/>
  <c r="Z58" i="3"/>
  <c r="AA58" i="3" s="1"/>
  <c r="Z69" i="3"/>
  <c r="AA69" i="3" s="1"/>
  <c r="AM70" i="3"/>
  <c r="AQ70" i="3" s="1"/>
  <c r="Z174" i="3"/>
  <c r="AA174" i="3" s="1"/>
  <c r="Z257" i="3"/>
  <c r="AA257" i="3" s="1"/>
  <c r="Z153" i="3"/>
  <c r="AA153" i="3" s="1"/>
  <c r="U354" i="3"/>
  <c r="Z136" i="3"/>
  <c r="AA136" i="3" s="1"/>
  <c r="AP72" i="3"/>
  <c r="AN72" i="3"/>
  <c r="AO72" i="3"/>
  <c r="Y72" i="3"/>
  <c r="Z75" i="3"/>
  <c r="AA75" i="3" s="1"/>
  <c r="AM323" i="3"/>
  <c r="AQ323" i="3" s="1"/>
  <c r="U103" i="3"/>
  <c r="Z96" i="3"/>
  <c r="AA96" i="3" s="1"/>
  <c r="Z328" i="3"/>
  <c r="AA328" i="3" s="1"/>
  <c r="Z138" i="3"/>
  <c r="AA138" i="3" s="1"/>
  <c r="Z253" i="3"/>
  <c r="AA253" i="3" s="1"/>
  <c r="Z256" i="3"/>
  <c r="AA256" i="3" s="1"/>
  <c r="AM110" i="3"/>
  <c r="AQ110" i="3" s="1"/>
  <c r="AM177" i="3"/>
  <c r="AQ177" i="3" s="1"/>
  <c r="Z63" i="3"/>
  <c r="AA63" i="3" s="1"/>
  <c r="Z187" i="3"/>
  <c r="AA187" i="3" s="1"/>
  <c r="Z326" i="3"/>
  <c r="AA326" i="3" s="1"/>
  <c r="Z64" i="3"/>
  <c r="AA64" i="3" s="1"/>
  <c r="AM88" i="3"/>
  <c r="AQ88" i="3" s="1"/>
  <c r="Z324" i="3"/>
  <c r="AA324" i="3" s="1"/>
  <c r="Z84" i="3"/>
  <c r="AA84" i="3" s="1"/>
  <c r="Z86" i="3"/>
  <c r="AA86" i="3" s="1"/>
  <c r="Z330" i="3"/>
  <c r="AA330" i="3" s="1"/>
  <c r="AM207" i="3"/>
  <c r="AQ207" i="3" s="1"/>
  <c r="Z178" i="3"/>
  <c r="AA178" i="3" s="1"/>
  <c r="U135" i="3"/>
  <c r="Z337" i="3"/>
  <c r="AA337" i="3" s="1"/>
  <c r="AM327" i="3"/>
  <c r="AQ327" i="3" s="1"/>
  <c r="AM184" i="3"/>
  <c r="AQ184" i="3" s="1"/>
  <c r="AM90" i="3"/>
  <c r="AQ90" i="3" s="1"/>
  <c r="AM267" i="3"/>
  <c r="AQ267" i="3" s="1"/>
  <c r="Z82" i="3"/>
  <c r="AA82" i="3" s="1"/>
  <c r="AM260" i="3"/>
  <c r="AQ260" i="3" s="1"/>
  <c r="AN111" i="3"/>
  <c r="AO111" i="3"/>
  <c r="Y111" i="3"/>
  <c r="AP111" i="3"/>
  <c r="AM265" i="3"/>
  <c r="AQ265" i="3" s="1"/>
  <c r="U114" i="3"/>
  <c r="Z323" i="3"/>
  <c r="AA323" i="3" s="1"/>
  <c r="Z333" i="3"/>
  <c r="AA333" i="3" s="1"/>
  <c r="Z189" i="3"/>
  <c r="AA189" i="3" s="1"/>
  <c r="Z243" i="3"/>
  <c r="AA243" i="3" s="1"/>
  <c r="Z83" i="3"/>
  <c r="AA83" i="3" s="1"/>
  <c r="AM328" i="3"/>
  <c r="AQ328" i="3" s="1"/>
  <c r="AM62" i="3"/>
  <c r="AQ62" i="3" s="1"/>
  <c r="U55" i="3"/>
  <c r="AM263" i="3"/>
  <c r="AQ263" i="3" s="1"/>
  <c r="U166" i="3"/>
  <c r="Z171" i="3"/>
  <c r="AA171" i="3" s="1"/>
  <c r="AM86" i="3"/>
  <c r="AQ86" i="3" s="1"/>
  <c r="AM131" i="3"/>
  <c r="AQ131" i="3" s="1"/>
  <c r="Z207" i="3"/>
  <c r="AA207" i="3" s="1"/>
  <c r="Z183" i="3"/>
  <c r="AA183" i="3" s="1"/>
  <c r="Z95" i="3"/>
  <c r="AA95" i="3" s="1"/>
  <c r="Z133" i="3"/>
  <c r="AA133" i="3" s="1"/>
  <c r="Z140" i="3"/>
  <c r="AA140" i="3" s="1"/>
  <c r="U85" i="3"/>
  <c r="AM337" i="3"/>
  <c r="AQ337" i="3" s="1"/>
  <c r="Z335" i="3"/>
  <c r="AA335" i="3" s="1"/>
  <c r="Z184" i="3"/>
  <c r="AA184" i="3" s="1"/>
  <c r="Z177" i="3"/>
  <c r="AA177" i="3" s="1"/>
  <c r="AM78" i="3"/>
  <c r="AQ78" i="3" s="1"/>
  <c r="AM180" i="3"/>
  <c r="AQ180" i="3" s="1"/>
  <c r="U107" i="3"/>
  <c r="AM71" i="3"/>
  <c r="AQ71" i="3" s="1"/>
  <c r="AM92" i="3"/>
  <c r="AQ92" i="3" s="1"/>
  <c r="AN227" i="3"/>
  <c r="AO227" i="3"/>
  <c r="Y227" i="3"/>
  <c r="AP227" i="3"/>
  <c r="D257" i="3"/>
  <c r="AF257" i="3" s="1"/>
  <c r="D186" i="3"/>
  <c r="AF186" i="3" s="1"/>
  <c r="AE185" i="3"/>
  <c r="AE332" i="3"/>
  <c r="D109" i="3"/>
  <c r="AF109" i="3" s="1"/>
  <c r="AE108" i="3"/>
  <c r="D140" i="3"/>
  <c r="AF140" i="3" s="1"/>
  <c r="AE139" i="3"/>
  <c r="D335" i="3" l="1"/>
  <c r="AF334" i="3"/>
  <c r="Q45" i="4" s="1"/>
  <c r="T24" i="12"/>
  <c r="U24" i="12" s="1"/>
  <c r="R24" i="12"/>
  <c r="S24" i="12" s="1"/>
  <c r="M24" i="12"/>
  <c r="N24" i="12"/>
  <c r="A25" i="12"/>
  <c r="U335" i="3"/>
  <c r="U63" i="3"/>
  <c r="U156" i="3"/>
  <c r="U183" i="3"/>
  <c r="U255" i="3"/>
  <c r="U95" i="3"/>
  <c r="U337" i="3"/>
  <c r="U109" i="3"/>
  <c r="U226" i="3"/>
  <c r="U138" i="3"/>
  <c r="U90" i="3"/>
  <c r="U179" i="3"/>
  <c r="U137" i="3"/>
  <c r="U325" i="3"/>
  <c r="U326" i="3"/>
  <c r="U128" i="3"/>
  <c r="U175" i="3"/>
  <c r="U155" i="3"/>
  <c r="U329" i="3"/>
  <c r="U132" i="3"/>
  <c r="U189" i="3"/>
  <c r="U86" i="3"/>
  <c r="U153" i="3"/>
  <c r="U88" i="3"/>
  <c r="U79" i="3"/>
  <c r="U131" i="3"/>
  <c r="U74" i="3"/>
  <c r="U129" i="3"/>
  <c r="U323" i="3"/>
  <c r="U324" i="3"/>
  <c r="AM336" i="3"/>
  <c r="AQ336" i="3" s="1"/>
  <c r="U178" i="3"/>
  <c r="U96" i="3"/>
  <c r="U176" i="3"/>
  <c r="AM130" i="3"/>
  <c r="AQ130" i="3" s="1"/>
  <c r="U89" i="3"/>
  <c r="U252" i="3"/>
  <c r="U136" i="3"/>
  <c r="U267" i="3"/>
  <c r="U259" i="3"/>
  <c r="U232" i="3"/>
  <c r="U256" i="3"/>
  <c r="U58" i="3"/>
  <c r="U65" i="3"/>
  <c r="U73" i="3"/>
  <c r="U70" i="3"/>
  <c r="U108" i="3"/>
  <c r="U97" i="3"/>
  <c r="U78" i="3"/>
  <c r="U264" i="3"/>
  <c r="U62" i="3"/>
  <c r="U260" i="3"/>
  <c r="AM227" i="3"/>
  <c r="AQ227" i="3" s="1"/>
  <c r="U177" i="3"/>
  <c r="U140" i="3"/>
  <c r="U83" i="3"/>
  <c r="Z111" i="3"/>
  <c r="AA111" i="3" s="1"/>
  <c r="U257" i="3"/>
  <c r="U94" i="3"/>
  <c r="U286" i="3"/>
  <c r="U71" i="3"/>
  <c r="U173" i="3"/>
  <c r="AM266" i="3"/>
  <c r="AQ266" i="3" s="1"/>
  <c r="U327" i="3"/>
  <c r="U139" i="3"/>
  <c r="U334" i="3"/>
  <c r="Z72" i="3"/>
  <c r="AA72" i="3" s="1"/>
  <c r="L16" i="12"/>
  <c r="U207" i="3"/>
  <c r="U333" i="3"/>
  <c r="U330" i="3"/>
  <c r="U187" i="3"/>
  <c r="U253" i="3"/>
  <c r="AM72" i="3"/>
  <c r="AQ72" i="3" s="1"/>
  <c r="U76" i="3"/>
  <c r="U184" i="3"/>
  <c r="U133" i="3"/>
  <c r="AM111" i="3"/>
  <c r="AQ111" i="3" s="1"/>
  <c r="U174" i="3"/>
  <c r="AM186" i="3"/>
  <c r="AQ186" i="3" s="1"/>
  <c r="U127" i="3"/>
  <c r="U134" i="3"/>
  <c r="Z130" i="3"/>
  <c r="AA130" i="3" s="1"/>
  <c r="U258" i="3"/>
  <c r="Z227" i="3"/>
  <c r="AA227" i="3" s="1"/>
  <c r="Z266" i="3"/>
  <c r="AA266" i="3" s="1"/>
  <c r="Z186" i="3"/>
  <c r="AA186" i="3" s="1"/>
  <c r="U322" i="3"/>
  <c r="U241" i="3"/>
  <c r="U180" i="3"/>
  <c r="U154" i="3"/>
  <c r="U110" i="3"/>
  <c r="U353" i="3"/>
  <c r="Z336" i="3"/>
  <c r="AA336" i="3" s="1"/>
  <c r="U92" i="3"/>
  <c r="U190" i="3"/>
  <c r="U263" i="3"/>
  <c r="AM56" i="3"/>
  <c r="AQ56" i="3" s="1"/>
  <c r="S30" i="6"/>
  <c r="U171" i="3"/>
  <c r="U243" i="3"/>
  <c r="U82" i="3"/>
  <c r="U84" i="3"/>
  <c r="U64" i="3"/>
  <c r="U328" i="3"/>
  <c r="U75" i="3"/>
  <c r="U69" i="3"/>
  <c r="U185" i="3"/>
  <c r="U66" i="3"/>
  <c r="U254" i="3"/>
  <c r="U265" i="3"/>
  <c r="U91" i="3"/>
  <c r="U77" i="3"/>
  <c r="Z56" i="3"/>
  <c r="AA56" i="3" s="1"/>
  <c r="D258" i="3"/>
  <c r="AE257" i="3"/>
  <c r="D187" i="3"/>
  <c r="AF187" i="3" s="1"/>
  <c r="AE186" i="3"/>
  <c r="AE333" i="3"/>
  <c r="D141" i="3"/>
  <c r="AF141" i="3" s="1"/>
  <c r="M52" i="4" s="1"/>
  <c r="AE140" i="3"/>
  <c r="D110" i="3"/>
  <c r="AF110" i="3" s="1"/>
  <c r="AE109" i="3"/>
  <c r="D259" i="3" l="1"/>
  <c r="AF259" i="3" s="1"/>
  <c r="AF258" i="3"/>
  <c r="R338" i="3"/>
  <c r="R268" i="3"/>
  <c r="R191" i="3"/>
  <c r="R141" i="3"/>
  <c r="R214" i="3"/>
  <c r="D336" i="3"/>
  <c r="AF335" i="3"/>
  <c r="Q46" i="4" s="1"/>
  <c r="W24" i="12"/>
  <c r="X24" i="12" s="1"/>
  <c r="D25" i="12"/>
  <c r="J25" i="12"/>
  <c r="F25" i="12"/>
  <c r="C25" i="12"/>
  <c r="Q25" i="12" s="1"/>
  <c r="E25" i="12"/>
  <c r="H25" i="12"/>
  <c r="B25" i="12"/>
  <c r="G25" i="12"/>
  <c r="U56" i="3"/>
  <c r="U111" i="3"/>
  <c r="U266" i="3"/>
  <c r="U130" i="3"/>
  <c r="U336" i="3"/>
  <c r="U186" i="3"/>
  <c r="U72" i="3"/>
  <c r="S16" i="6"/>
  <c r="U227" i="3"/>
  <c r="AE258" i="3"/>
  <c r="AE187" i="3"/>
  <c r="D188" i="3"/>
  <c r="AF188" i="3" s="1"/>
  <c r="AE334" i="3"/>
  <c r="D111" i="3"/>
  <c r="AF111" i="3" s="1"/>
  <c r="AE110" i="3"/>
  <c r="D260" i="3"/>
  <c r="AF260" i="3" s="1"/>
  <c r="AE259" i="3"/>
  <c r="D142" i="3"/>
  <c r="AF142" i="3" s="1"/>
  <c r="M48" i="4" s="1"/>
  <c r="AE141" i="3"/>
  <c r="R339" i="3" l="1"/>
  <c r="R192" i="3"/>
  <c r="R220" i="3"/>
  <c r="R269" i="3"/>
  <c r="R142" i="3"/>
  <c r="D337" i="3"/>
  <c r="AF336" i="3"/>
  <c r="Q31" i="4" s="1"/>
  <c r="T25" i="12"/>
  <c r="U25" i="12" s="1"/>
  <c r="R25" i="12"/>
  <c r="S25" i="12" s="1"/>
  <c r="M25" i="12"/>
  <c r="N25" i="12"/>
  <c r="L25" i="12"/>
  <c r="A26" i="12"/>
  <c r="S31" i="6"/>
  <c r="AE188" i="3"/>
  <c r="D189" i="3"/>
  <c r="AF189" i="3" s="1"/>
  <c r="AE335" i="3"/>
  <c r="D143" i="3"/>
  <c r="AF143" i="3" s="1"/>
  <c r="M49" i="4" s="1"/>
  <c r="AE142" i="3"/>
  <c r="D261" i="3"/>
  <c r="AF261" i="3" s="1"/>
  <c r="AE260" i="3"/>
  <c r="AE111" i="3"/>
  <c r="D338" i="3" l="1"/>
  <c r="AF337" i="3"/>
  <c r="Q41" i="4" s="1"/>
  <c r="R340" i="3"/>
  <c r="R270" i="3"/>
  <c r="R143" i="3"/>
  <c r="R193" i="3"/>
  <c r="R215" i="3"/>
  <c r="W25" i="12"/>
  <c r="X25" i="12" s="1"/>
  <c r="G26" i="12"/>
  <c r="F26" i="12"/>
  <c r="D26" i="12"/>
  <c r="H26" i="12"/>
  <c r="J26" i="12"/>
  <c r="C26" i="12"/>
  <c r="Q26" i="12" s="1"/>
  <c r="B26" i="12"/>
  <c r="E26" i="12"/>
  <c r="N52" i="4"/>
  <c r="L52" i="4"/>
  <c r="O38" i="6"/>
  <c r="S32" i="6"/>
  <c r="D190" i="3"/>
  <c r="AF190" i="3" s="1"/>
  <c r="Q47" i="4" s="1"/>
  <c r="AE189" i="3"/>
  <c r="AE336" i="3"/>
  <c r="D262" i="3"/>
  <c r="AF262" i="3" s="1"/>
  <c r="AE261" i="3"/>
  <c r="D144" i="3"/>
  <c r="AF144" i="3" s="1"/>
  <c r="M50" i="4" s="1"/>
  <c r="AE143" i="3"/>
  <c r="D339" i="3" l="1"/>
  <c r="AF338" i="3"/>
  <c r="Q52" i="4" s="1"/>
  <c r="R144" i="3"/>
  <c r="R271" i="3"/>
  <c r="R194" i="3"/>
  <c r="R216" i="3"/>
  <c r="R341" i="3"/>
  <c r="R26" i="12"/>
  <c r="S26" i="12" s="1"/>
  <c r="T26" i="12"/>
  <c r="U26" i="12" s="1"/>
  <c r="M26" i="12"/>
  <c r="N26" i="12"/>
  <c r="L26" i="12"/>
  <c r="A27" i="12"/>
  <c r="S33" i="6"/>
  <c r="S141" i="3"/>
  <c r="S338" i="3"/>
  <c r="S191" i="3"/>
  <c r="S268" i="3"/>
  <c r="S214" i="3"/>
  <c r="N38" i="6"/>
  <c r="L20" i="12"/>
  <c r="N48" i="4"/>
  <c r="L48" i="4"/>
  <c r="O34" i="6"/>
  <c r="AE190" i="3"/>
  <c r="D191" i="3"/>
  <c r="AF191" i="3" s="1"/>
  <c r="AE337" i="3"/>
  <c r="D145" i="3"/>
  <c r="AF145" i="3" s="1"/>
  <c r="M51" i="4" s="1"/>
  <c r="AE144" i="3"/>
  <c r="D263" i="3"/>
  <c r="AF263" i="3" s="1"/>
  <c r="AE262" i="3"/>
  <c r="R195" i="3" l="1"/>
  <c r="R221" i="3"/>
  <c r="R272" i="3"/>
  <c r="R145" i="3"/>
  <c r="R342" i="3"/>
  <c r="D340" i="3"/>
  <c r="AF339" i="3"/>
  <c r="Q48" i="4" s="1"/>
  <c r="W26" i="12"/>
  <c r="X26" i="12" s="1"/>
  <c r="B27" i="12"/>
  <c r="E27" i="12"/>
  <c r="G27" i="12"/>
  <c r="C27" i="12"/>
  <c r="Q27" i="12" s="1"/>
  <c r="F27" i="12"/>
  <c r="H27" i="12"/>
  <c r="D27" i="12"/>
  <c r="J27" i="12"/>
  <c r="S20" i="6"/>
  <c r="S339" i="3"/>
  <c r="S142" i="3"/>
  <c r="S220" i="3"/>
  <c r="S269" i="3"/>
  <c r="S192" i="3"/>
  <c r="N34" i="6"/>
  <c r="Y214" i="3"/>
  <c r="AN214" i="3"/>
  <c r="AO214" i="3"/>
  <c r="AP214" i="3"/>
  <c r="L49" i="4"/>
  <c r="N49" i="4"/>
  <c r="O35" i="6"/>
  <c r="Y268" i="3"/>
  <c r="Z268" i="3" s="1"/>
  <c r="AA268" i="3" s="1"/>
  <c r="U268" i="3" s="1"/>
  <c r="AN268" i="3"/>
  <c r="AO268" i="3"/>
  <c r="AP268" i="3"/>
  <c r="Y141" i="3"/>
  <c r="AP141" i="3"/>
  <c r="AN141" i="3"/>
  <c r="AO141" i="3"/>
  <c r="AN191" i="3"/>
  <c r="AP191" i="3"/>
  <c r="Y191" i="3"/>
  <c r="AO191" i="3"/>
  <c r="Y338" i="3"/>
  <c r="AN338" i="3"/>
  <c r="AO338" i="3"/>
  <c r="AP338" i="3"/>
  <c r="D192" i="3"/>
  <c r="AF192" i="3" s="1"/>
  <c r="AE191" i="3"/>
  <c r="AE338" i="3"/>
  <c r="D264" i="3"/>
  <c r="AF264" i="3" s="1"/>
  <c r="AE263" i="3"/>
  <c r="D146" i="3"/>
  <c r="AF146" i="3" s="1"/>
  <c r="M53" i="4" s="1"/>
  <c r="AE145" i="3"/>
  <c r="D341" i="3" l="1"/>
  <c r="AF340" i="3"/>
  <c r="Q49" i="4" s="1"/>
  <c r="R224" i="3"/>
  <c r="R196" i="3"/>
  <c r="R146" i="3"/>
  <c r="T27" i="12"/>
  <c r="U27" i="12" s="1"/>
  <c r="R27" i="12"/>
  <c r="S27" i="12" s="1"/>
  <c r="M27" i="12"/>
  <c r="N27" i="12"/>
  <c r="A28" i="12"/>
  <c r="L27" i="12"/>
  <c r="D381" i="3"/>
  <c r="AF381" i="3" s="1"/>
  <c r="AM191" i="3"/>
  <c r="AQ191" i="3" s="1"/>
  <c r="AM338" i="3"/>
  <c r="AQ338" i="3" s="1"/>
  <c r="Y269" i="3"/>
  <c r="AN269" i="3"/>
  <c r="AO269" i="3"/>
  <c r="AP269" i="3"/>
  <c r="AM141" i="3"/>
  <c r="AQ141" i="3" s="1"/>
  <c r="Y220" i="3"/>
  <c r="AP220" i="3"/>
  <c r="AN220" i="3"/>
  <c r="AO220" i="3"/>
  <c r="S143" i="3"/>
  <c r="S270" i="3"/>
  <c r="S215" i="3"/>
  <c r="S193" i="3"/>
  <c r="S340" i="3"/>
  <c r="N35" i="6"/>
  <c r="Z191" i="3"/>
  <c r="AA191" i="3" s="1"/>
  <c r="AO142" i="3"/>
  <c r="AP142" i="3"/>
  <c r="Y142" i="3"/>
  <c r="AN142" i="3"/>
  <c r="Z141" i="3"/>
  <c r="AA141" i="3" s="1"/>
  <c r="AN339" i="3"/>
  <c r="Y339" i="3"/>
  <c r="AP339" i="3"/>
  <c r="AO339" i="3"/>
  <c r="AM214" i="3"/>
  <c r="AQ214" i="3" s="1"/>
  <c r="Z338" i="3"/>
  <c r="AA338" i="3" s="1"/>
  <c r="Z214" i="3"/>
  <c r="AA214" i="3" s="1"/>
  <c r="N50" i="4"/>
  <c r="L50" i="4"/>
  <c r="O36" i="6"/>
  <c r="AM268" i="3"/>
  <c r="AQ268" i="3" s="1"/>
  <c r="S28" i="6"/>
  <c r="Y192" i="3"/>
  <c r="AP192" i="3"/>
  <c r="AO192" i="3"/>
  <c r="AN192" i="3"/>
  <c r="D193" i="3"/>
  <c r="AF193" i="3" s="1"/>
  <c r="AE192" i="3"/>
  <c r="AE339" i="3"/>
  <c r="D265" i="3"/>
  <c r="AF265" i="3" s="1"/>
  <c r="AE264" i="3"/>
  <c r="D147" i="3"/>
  <c r="AF147" i="3" s="1"/>
  <c r="M54" i="4" s="1"/>
  <c r="AE146" i="3"/>
  <c r="R147" i="3" l="1"/>
  <c r="R273" i="3"/>
  <c r="R197" i="3"/>
  <c r="R223" i="3"/>
  <c r="D342" i="3"/>
  <c r="AF341" i="3"/>
  <c r="Q50" i="4" s="1"/>
  <c r="W27" i="12"/>
  <c r="X27" i="12" s="1"/>
  <c r="E28" i="12"/>
  <c r="D28" i="12"/>
  <c r="B28" i="12"/>
  <c r="F28" i="12"/>
  <c r="H28" i="12"/>
  <c r="G28" i="12"/>
  <c r="C28" i="12"/>
  <c r="Q28" i="12" s="1"/>
  <c r="D382" i="3"/>
  <c r="AF382" i="3" s="1"/>
  <c r="AE381" i="3"/>
  <c r="AM192" i="3"/>
  <c r="AQ192" i="3" s="1"/>
  <c r="U338" i="3"/>
  <c r="AM269" i="3"/>
  <c r="AQ269" i="3" s="1"/>
  <c r="AM220" i="3"/>
  <c r="AQ220" i="3" s="1"/>
  <c r="S38" i="6"/>
  <c r="Y340" i="3"/>
  <c r="AO340" i="3"/>
  <c r="AP340" i="3"/>
  <c r="AN340" i="3"/>
  <c r="Z220" i="3"/>
  <c r="AA220" i="3" s="1"/>
  <c r="L51" i="4"/>
  <c r="N51" i="4"/>
  <c r="O37" i="6"/>
  <c r="AM142" i="3"/>
  <c r="AQ142" i="3" s="1"/>
  <c r="AO193" i="3"/>
  <c r="AP193" i="3"/>
  <c r="Y193" i="3"/>
  <c r="AN193" i="3"/>
  <c r="Z192" i="3"/>
  <c r="AA192" i="3" s="1"/>
  <c r="Z142" i="3"/>
  <c r="AA142" i="3" s="1"/>
  <c r="Y215" i="3"/>
  <c r="AN215" i="3"/>
  <c r="AP215" i="3"/>
  <c r="AO215" i="3"/>
  <c r="S271" i="3"/>
  <c r="S341" i="3"/>
  <c r="S144" i="3"/>
  <c r="S194" i="3"/>
  <c r="S216" i="3"/>
  <c r="N36" i="6"/>
  <c r="U214" i="3"/>
  <c r="AP270" i="3"/>
  <c r="AO270" i="3"/>
  <c r="AN270" i="3"/>
  <c r="Y270" i="3"/>
  <c r="AP143" i="3"/>
  <c r="AO143" i="3"/>
  <c r="AN143" i="3"/>
  <c r="Y143" i="3"/>
  <c r="Z339" i="3"/>
  <c r="AA339" i="3" s="1"/>
  <c r="U191" i="3"/>
  <c r="Z269" i="3"/>
  <c r="AA269" i="3" s="1"/>
  <c r="AM339" i="3"/>
  <c r="AQ339" i="3" s="1"/>
  <c r="U141" i="3"/>
  <c r="D194" i="3"/>
  <c r="AF194" i="3" s="1"/>
  <c r="AE193" i="3"/>
  <c r="AE340" i="3"/>
  <c r="D148" i="3"/>
  <c r="AF148" i="3" s="1"/>
  <c r="AE147" i="3"/>
  <c r="D266" i="3"/>
  <c r="AF266" i="3" s="1"/>
  <c r="AE265" i="3"/>
  <c r="Q82" i="4" l="1"/>
  <c r="O82" i="4"/>
  <c r="Q56" i="4"/>
  <c r="R56" i="4" s="1"/>
  <c r="M56" i="4"/>
  <c r="R148" i="3" s="1"/>
  <c r="D343" i="3"/>
  <c r="AF342" i="3"/>
  <c r="Q51" i="4" s="1"/>
  <c r="O98" i="4"/>
  <c r="Q101" i="4"/>
  <c r="R101" i="4" s="1"/>
  <c r="O100" i="4"/>
  <c r="P100" i="4" s="1"/>
  <c r="O101" i="4"/>
  <c r="P101" i="4" s="1"/>
  <c r="Q100" i="4"/>
  <c r="R100" i="4" s="1"/>
  <c r="R28" i="12"/>
  <c r="S28" i="12" s="1"/>
  <c r="T28" i="12"/>
  <c r="U28" i="12" s="1"/>
  <c r="M28" i="12"/>
  <c r="N28" i="12"/>
  <c r="A29" i="12"/>
  <c r="L28" i="12"/>
  <c r="D383" i="3"/>
  <c r="AF383" i="3" s="1"/>
  <c r="M98" i="4" s="1"/>
  <c r="AE382" i="3"/>
  <c r="U142" i="3"/>
  <c r="U220" i="3"/>
  <c r="AM340" i="3"/>
  <c r="AQ340" i="3" s="1"/>
  <c r="AM270" i="3"/>
  <c r="AQ270" i="3" s="1"/>
  <c r="U339" i="3"/>
  <c r="Z143" i="3"/>
  <c r="AA143" i="3" s="1"/>
  <c r="AM143" i="3"/>
  <c r="AQ143" i="3" s="1"/>
  <c r="AM193" i="3"/>
  <c r="AQ193" i="3" s="1"/>
  <c r="AO216" i="3"/>
  <c r="AP216" i="3"/>
  <c r="Y216" i="3"/>
  <c r="AN216" i="3"/>
  <c r="Z193" i="3"/>
  <c r="AA193" i="3" s="1"/>
  <c r="U269" i="3"/>
  <c r="Y194" i="3"/>
  <c r="AN194" i="3"/>
  <c r="AP194" i="3"/>
  <c r="AO194" i="3"/>
  <c r="AM215" i="3"/>
  <c r="AQ215" i="3" s="1"/>
  <c r="Z270" i="3"/>
  <c r="AA270" i="3" s="1"/>
  <c r="Y144" i="3"/>
  <c r="AO144" i="3"/>
  <c r="AN144" i="3"/>
  <c r="AP144" i="3"/>
  <c r="Z215" i="3"/>
  <c r="AA215" i="3" s="1"/>
  <c r="AO341" i="3"/>
  <c r="AP341" i="3"/>
  <c r="Y341" i="3"/>
  <c r="AN341" i="3"/>
  <c r="S342" i="3"/>
  <c r="S195" i="3"/>
  <c r="S221" i="3"/>
  <c r="S145" i="3"/>
  <c r="S272" i="3"/>
  <c r="N37" i="6"/>
  <c r="Z340" i="3"/>
  <c r="AA340" i="3" s="1"/>
  <c r="AN271" i="3"/>
  <c r="AO271" i="3"/>
  <c r="AP271" i="3"/>
  <c r="Y271" i="3"/>
  <c r="S34" i="6"/>
  <c r="N53" i="4"/>
  <c r="L53" i="4"/>
  <c r="U192" i="3"/>
  <c r="D195" i="3"/>
  <c r="AF195" i="3" s="1"/>
  <c r="AE194" i="3"/>
  <c r="AE341" i="3"/>
  <c r="D149" i="3"/>
  <c r="AF149" i="3" s="1"/>
  <c r="M55" i="4" s="1"/>
  <c r="AE148" i="3"/>
  <c r="D267" i="3"/>
  <c r="AF267" i="3" s="1"/>
  <c r="AE266" i="3"/>
  <c r="AF343" i="3" l="1"/>
  <c r="Q55" i="4" s="1"/>
  <c r="AE343" i="3"/>
  <c r="D344" i="3"/>
  <c r="Q58" i="6"/>
  <c r="S58" i="6"/>
  <c r="R149" i="3"/>
  <c r="R198" i="3"/>
  <c r="R274" i="3"/>
  <c r="R343" i="3"/>
  <c r="R225" i="3"/>
  <c r="R383" i="3"/>
  <c r="O74" i="6"/>
  <c r="Q98" i="4"/>
  <c r="S74" i="6" s="1"/>
  <c r="P98" i="4"/>
  <c r="P74" i="6" s="1"/>
  <c r="Q74" i="6"/>
  <c r="W28" i="12"/>
  <c r="X28" i="12" s="1"/>
  <c r="H29" i="12"/>
  <c r="C29" i="12"/>
  <c r="Q29" i="12" s="1"/>
  <c r="G29" i="12"/>
  <c r="B29" i="12"/>
  <c r="F29" i="12"/>
  <c r="E29" i="12"/>
  <c r="J29" i="12"/>
  <c r="D29" i="12"/>
  <c r="D384" i="3"/>
  <c r="AF384" i="3" s="1"/>
  <c r="AE383" i="3"/>
  <c r="U270" i="3"/>
  <c r="U340" i="3"/>
  <c r="AM216" i="3"/>
  <c r="AQ216" i="3" s="1"/>
  <c r="AM341" i="3"/>
  <c r="AQ341" i="3" s="1"/>
  <c r="N54" i="4"/>
  <c r="L54" i="4"/>
  <c r="Y195" i="3"/>
  <c r="AP195" i="3"/>
  <c r="AN195" i="3"/>
  <c r="AO195" i="3"/>
  <c r="S224" i="3"/>
  <c r="S146" i="3"/>
  <c r="S196" i="3"/>
  <c r="AM271" i="3"/>
  <c r="AQ271" i="3" s="1"/>
  <c r="AO342" i="3"/>
  <c r="AP342" i="3"/>
  <c r="Y342" i="3"/>
  <c r="AN342" i="3"/>
  <c r="AM144" i="3"/>
  <c r="AQ144" i="3" s="1"/>
  <c r="Z216" i="3"/>
  <c r="AA216" i="3" s="1"/>
  <c r="Z341" i="3"/>
  <c r="AA341" i="3" s="1"/>
  <c r="Z144" i="3"/>
  <c r="AA144" i="3" s="1"/>
  <c r="AM194" i="3"/>
  <c r="AQ194" i="3" s="1"/>
  <c r="Z194" i="3"/>
  <c r="AA194" i="3" s="1"/>
  <c r="Y272" i="3"/>
  <c r="AO272" i="3"/>
  <c r="AP272" i="3"/>
  <c r="AN272" i="3"/>
  <c r="Z271" i="3"/>
  <c r="AA271" i="3" s="1"/>
  <c r="AO145" i="3"/>
  <c r="AP145" i="3"/>
  <c r="Y145" i="3"/>
  <c r="AN145" i="3"/>
  <c r="U215" i="3"/>
  <c r="S35" i="6"/>
  <c r="U193" i="3"/>
  <c r="U143" i="3"/>
  <c r="Y221" i="3"/>
  <c r="AO221" i="3"/>
  <c r="AN221" i="3"/>
  <c r="AP221" i="3"/>
  <c r="AE195" i="3"/>
  <c r="D196" i="3"/>
  <c r="AF196" i="3" s="1"/>
  <c r="AE342" i="3"/>
  <c r="D268" i="3"/>
  <c r="AF268" i="3" s="1"/>
  <c r="AE267" i="3"/>
  <c r="D150" i="3"/>
  <c r="AF150" i="3" s="1"/>
  <c r="M58" i="4" s="1"/>
  <c r="AE149" i="3"/>
  <c r="R150" i="3" l="1"/>
  <c r="R275" i="3"/>
  <c r="R304" i="3"/>
  <c r="R222" i="3"/>
  <c r="R199" i="3"/>
  <c r="P33" i="4"/>
  <c r="P13" i="4"/>
  <c r="P36" i="4"/>
  <c r="P12" i="4"/>
  <c r="P27" i="4"/>
  <c r="P15" i="4"/>
  <c r="P34" i="4"/>
  <c r="P43" i="4"/>
  <c r="P35" i="4"/>
  <c r="P37" i="4"/>
  <c r="P39" i="4"/>
  <c r="P38" i="4"/>
  <c r="P40" i="4"/>
  <c r="P28" i="4"/>
  <c r="P42" i="4"/>
  <c r="P32" i="4"/>
  <c r="P30" i="4"/>
  <c r="P41" i="4"/>
  <c r="P29" i="4"/>
  <c r="D345" i="3"/>
  <c r="AF344" i="3"/>
  <c r="Q57" i="4" s="1"/>
  <c r="AE344" i="3"/>
  <c r="T29" i="12"/>
  <c r="U29" i="12" s="1"/>
  <c r="R29" i="12"/>
  <c r="S29" i="12" s="1"/>
  <c r="M29" i="12"/>
  <c r="N29" i="12"/>
  <c r="A30" i="12"/>
  <c r="L29" i="12"/>
  <c r="AE384" i="3"/>
  <c r="U144" i="3"/>
  <c r="AM145" i="3"/>
  <c r="AQ145" i="3" s="1"/>
  <c r="U194" i="3"/>
  <c r="AM221" i="3"/>
  <c r="AQ221" i="3" s="1"/>
  <c r="U216" i="3"/>
  <c r="Z272" i="3"/>
  <c r="AA272" i="3" s="1"/>
  <c r="Z221" i="3"/>
  <c r="AA221" i="3" s="1"/>
  <c r="Y146" i="3"/>
  <c r="AN146" i="3"/>
  <c r="AO146" i="3"/>
  <c r="AP146" i="3"/>
  <c r="U271" i="3"/>
  <c r="Y224" i="3"/>
  <c r="AN224" i="3"/>
  <c r="AO224" i="3"/>
  <c r="AP224" i="3"/>
  <c r="AM342" i="3"/>
  <c r="AQ342" i="3" s="1"/>
  <c r="N56" i="4"/>
  <c r="L56" i="4"/>
  <c r="S148" i="3" s="1"/>
  <c r="AM272" i="3"/>
  <c r="AQ272" i="3" s="1"/>
  <c r="Z342" i="3"/>
  <c r="AA342" i="3" s="1"/>
  <c r="U341" i="3"/>
  <c r="S197" i="3"/>
  <c r="S147" i="3"/>
  <c r="S273" i="3"/>
  <c r="S223" i="3"/>
  <c r="AM195" i="3"/>
  <c r="AQ195" i="3" s="1"/>
  <c r="S36" i="6"/>
  <c r="Z145" i="3"/>
  <c r="AA145" i="3" s="1"/>
  <c r="Y196" i="3"/>
  <c r="AP196" i="3"/>
  <c r="AN196" i="3"/>
  <c r="AO196" i="3"/>
  <c r="Z195" i="3"/>
  <c r="AA195" i="3" s="1"/>
  <c r="AE196" i="3"/>
  <c r="D197" i="3"/>
  <c r="AF197" i="3" s="1"/>
  <c r="D151" i="3"/>
  <c r="AF151" i="3" s="1"/>
  <c r="M63" i="4" s="1"/>
  <c r="AE150" i="3"/>
  <c r="D269" i="3"/>
  <c r="AF269" i="3" s="1"/>
  <c r="AE268" i="3"/>
  <c r="P15" i="6" l="1"/>
  <c r="I15" i="12"/>
  <c r="P14" i="6"/>
  <c r="I14" i="12"/>
  <c r="P26" i="6"/>
  <c r="I26" i="12"/>
  <c r="AF345" i="3"/>
  <c r="Q62" i="4" s="1"/>
  <c r="AE345" i="3"/>
  <c r="D346" i="3"/>
  <c r="R350" i="3"/>
  <c r="R151" i="3"/>
  <c r="R283" i="3"/>
  <c r="R294" i="3"/>
  <c r="R200" i="3"/>
  <c r="P25" i="6"/>
  <c r="I25" i="12"/>
  <c r="P24" i="6"/>
  <c r="I24" i="12"/>
  <c r="P23" i="6"/>
  <c r="I23" i="12"/>
  <c r="I18" i="12"/>
  <c r="P18" i="6"/>
  <c r="P19" i="6"/>
  <c r="I19" i="12"/>
  <c r="P17" i="6"/>
  <c r="I17" i="12"/>
  <c r="P29" i="6"/>
  <c r="I29" i="12"/>
  <c r="P27" i="6"/>
  <c r="I27" i="12"/>
  <c r="P22" i="6"/>
  <c r="I22" i="12"/>
  <c r="P21" i="6"/>
  <c r="I21" i="12"/>
  <c r="W29" i="12"/>
  <c r="X29" i="12" s="1"/>
  <c r="C30" i="12"/>
  <c r="Q30" i="12" s="1"/>
  <c r="J30" i="12"/>
  <c r="G30" i="12"/>
  <c r="F30" i="12"/>
  <c r="D30" i="12"/>
  <c r="H30" i="12"/>
  <c r="E30" i="12"/>
  <c r="B30" i="12"/>
  <c r="AM196" i="3"/>
  <c r="AQ196" i="3" s="1"/>
  <c r="Z146" i="3"/>
  <c r="AA146" i="3" s="1"/>
  <c r="U195" i="3"/>
  <c r="U342" i="3"/>
  <c r="U221" i="3"/>
  <c r="N55" i="4"/>
  <c r="L55" i="4"/>
  <c r="O39" i="6"/>
  <c r="AM224" i="3"/>
  <c r="AQ224" i="3" s="1"/>
  <c r="Z224" i="3"/>
  <c r="AA224" i="3" s="1"/>
  <c r="U272" i="3"/>
  <c r="AO223" i="3"/>
  <c r="AP223" i="3"/>
  <c r="Y223" i="3"/>
  <c r="AN223" i="3"/>
  <c r="AO148" i="3"/>
  <c r="Y148" i="3"/>
  <c r="AP148" i="3"/>
  <c r="AN148" i="3"/>
  <c r="S37" i="6"/>
  <c r="Y147" i="3"/>
  <c r="AP147" i="3"/>
  <c r="AO147" i="3"/>
  <c r="AN147" i="3"/>
  <c r="S39" i="6"/>
  <c r="Y273" i="3"/>
  <c r="AP273" i="3"/>
  <c r="AN273" i="3"/>
  <c r="AO273" i="3"/>
  <c r="Z196" i="3"/>
  <c r="AA196" i="3" s="1"/>
  <c r="U145" i="3"/>
  <c r="AN197" i="3"/>
  <c r="AP197" i="3"/>
  <c r="Y197" i="3"/>
  <c r="AO197" i="3"/>
  <c r="AM146" i="3"/>
  <c r="AQ146" i="3" s="1"/>
  <c r="D198" i="3"/>
  <c r="AF198" i="3" s="1"/>
  <c r="AE197" i="3"/>
  <c r="D270" i="3"/>
  <c r="AF270" i="3" s="1"/>
  <c r="AE269" i="3"/>
  <c r="D152" i="3"/>
  <c r="AF152" i="3" s="1"/>
  <c r="AE151" i="3"/>
  <c r="AF346" i="3" l="1"/>
  <c r="Q70" i="4" s="1"/>
  <c r="AE346" i="3"/>
  <c r="D347" i="3"/>
  <c r="M57" i="4"/>
  <c r="T30" i="12"/>
  <c r="U30" i="12" s="1"/>
  <c r="R30" i="12"/>
  <c r="S30" i="12" s="1"/>
  <c r="M30" i="12"/>
  <c r="N30" i="12"/>
  <c r="A31" i="12"/>
  <c r="L30" i="12"/>
  <c r="AM197" i="3"/>
  <c r="AQ197" i="3" s="1"/>
  <c r="U196" i="3"/>
  <c r="U224" i="3"/>
  <c r="AM223" i="3"/>
  <c r="AQ223" i="3" s="1"/>
  <c r="AM273" i="3"/>
  <c r="AQ273" i="3" s="1"/>
  <c r="Z223" i="3"/>
  <c r="AA223" i="3" s="1"/>
  <c r="Z273" i="3"/>
  <c r="AA273" i="3" s="1"/>
  <c r="AM148" i="3"/>
  <c r="AQ148" i="3" s="1"/>
  <c r="S149" i="3"/>
  <c r="S274" i="3"/>
  <c r="S225" i="3"/>
  <c r="S198" i="3"/>
  <c r="S343" i="3"/>
  <c r="N39" i="6"/>
  <c r="Z147" i="3"/>
  <c r="AA147" i="3" s="1"/>
  <c r="Z197" i="3"/>
  <c r="AA197" i="3" s="1"/>
  <c r="N58" i="4"/>
  <c r="L58" i="4"/>
  <c r="AM147" i="3"/>
  <c r="AQ147" i="3" s="1"/>
  <c r="Z148" i="3"/>
  <c r="AA148" i="3" s="1"/>
  <c r="U146" i="3"/>
  <c r="AE198" i="3"/>
  <c r="D199" i="3"/>
  <c r="AF199" i="3" s="1"/>
  <c r="D153" i="3"/>
  <c r="AF153" i="3" s="1"/>
  <c r="AE152" i="3"/>
  <c r="D271" i="3"/>
  <c r="AF271" i="3" s="1"/>
  <c r="AE270" i="3"/>
  <c r="O44" i="4" l="1"/>
  <c r="P44" i="4" s="1"/>
  <c r="R276" i="3"/>
  <c r="R152" i="3"/>
  <c r="R203" i="3"/>
  <c r="R344" i="3"/>
  <c r="R218" i="3"/>
  <c r="AF347" i="3"/>
  <c r="Q71" i="4" s="1"/>
  <c r="D348" i="3"/>
  <c r="AE347" i="3"/>
  <c r="W30" i="12"/>
  <c r="X30" i="12" s="1"/>
  <c r="H31" i="12"/>
  <c r="D31" i="12"/>
  <c r="B31" i="12"/>
  <c r="E31" i="12"/>
  <c r="F31" i="12"/>
  <c r="C31" i="12"/>
  <c r="Q31" i="12" s="1"/>
  <c r="G31" i="12"/>
  <c r="U273" i="3"/>
  <c r="U148" i="3"/>
  <c r="U147" i="3"/>
  <c r="U197" i="3"/>
  <c r="Y343" i="3"/>
  <c r="AN343" i="3"/>
  <c r="AP343" i="3"/>
  <c r="AO343" i="3"/>
  <c r="AP198" i="3"/>
  <c r="AO198" i="3"/>
  <c r="Y198" i="3"/>
  <c r="AN198" i="3"/>
  <c r="U223" i="3"/>
  <c r="S40" i="6"/>
  <c r="AO225" i="3"/>
  <c r="AN225" i="3"/>
  <c r="Y225" i="3"/>
  <c r="AP225" i="3"/>
  <c r="N63" i="4"/>
  <c r="L63" i="4"/>
  <c r="O44" i="6"/>
  <c r="Y274" i="3"/>
  <c r="AN274" i="3"/>
  <c r="AO274" i="3"/>
  <c r="AP274" i="3"/>
  <c r="AN149" i="3"/>
  <c r="AP149" i="3"/>
  <c r="Y149" i="3"/>
  <c r="AO149" i="3"/>
  <c r="S43" i="6"/>
  <c r="S222" i="3"/>
  <c r="S150" i="3"/>
  <c r="S304" i="3"/>
  <c r="S275" i="3"/>
  <c r="S199" i="3"/>
  <c r="D200" i="3"/>
  <c r="AF200" i="3" s="1"/>
  <c r="AE199" i="3"/>
  <c r="D154" i="3"/>
  <c r="AF154" i="3" s="1"/>
  <c r="AE153" i="3"/>
  <c r="D272" i="3"/>
  <c r="AF272" i="3" s="1"/>
  <c r="AE271" i="3"/>
  <c r="AF348" i="3" l="1"/>
  <c r="Q69" i="4" s="1"/>
  <c r="D349" i="3"/>
  <c r="AE348" i="3"/>
  <c r="O45" i="4"/>
  <c r="P45" i="4" s="1"/>
  <c r="R31" i="12"/>
  <c r="S31" i="12" s="1"/>
  <c r="T31" i="12"/>
  <c r="U31" i="12" s="1"/>
  <c r="M31" i="12"/>
  <c r="N31" i="12"/>
  <c r="A32" i="12"/>
  <c r="L31" i="12"/>
  <c r="N57" i="4"/>
  <c r="L57" i="4"/>
  <c r="O40" i="6"/>
  <c r="AN150" i="3"/>
  <c r="AO150" i="3"/>
  <c r="Y150" i="3"/>
  <c r="AP150" i="3"/>
  <c r="AM149" i="3"/>
  <c r="AQ149" i="3" s="1"/>
  <c r="S294" i="3"/>
  <c r="S283" i="3"/>
  <c r="S151" i="3"/>
  <c r="S200" i="3"/>
  <c r="S350" i="3"/>
  <c r="N44" i="6"/>
  <c r="AM225" i="3"/>
  <c r="AQ225" i="3" s="1"/>
  <c r="Z225" i="3"/>
  <c r="AA225" i="3" s="1"/>
  <c r="AO222" i="3"/>
  <c r="AP222" i="3"/>
  <c r="Y222" i="3"/>
  <c r="AN222" i="3"/>
  <c r="AN304" i="3"/>
  <c r="AP304" i="3"/>
  <c r="AO304" i="3"/>
  <c r="Y304" i="3"/>
  <c r="AM274" i="3"/>
  <c r="AQ274" i="3" s="1"/>
  <c r="Y199" i="3"/>
  <c r="AN199" i="3"/>
  <c r="AP199" i="3"/>
  <c r="AO199" i="3"/>
  <c r="AM198" i="3"/>
  <c r="AQ198" i="3" s="1"/>
  <c r="AM343" i="3"/>
  <c r="AQ343" i="3" s="1"/>
  <c r="Z274" i="3"/>
  <c r="AA274" i="3" s="1"/>
  <c r="AN275" i="3"/>
  <c r="AP275" i="3"/>
  <c r="AO275" i="3"/>
  <c r="Y275" i="3"/>
  <c r="Z149" i="3"/>
  <c r="AA149" i="3" s="1"/>
  <c r="Z198" i="3"/>
  <c r="AA198" i="3" s="1"/>
  <c r="Z343" i="3"/>
  <c r="AA343" i="3" s="1"/>
  <c r="AE200" i="3"/>
  <c r="D201" i="3"/>
  <c r="AF201" i="3" s="1"/>
  <c r="D273" i="3"/>
  <c r="AF273" i="3" s="1"/>
  <c r="Q54" i="4" s="1"/>
  <c r="AE272" i="3"/>
  <c r="D155" i="3"/>
  <c r="AF155" i="3" s="1"/>
  <c r="AE154" i="3"/>
  <c r="AF349" i="3" l="1"/>
  <c r="D350" i="3"/>
  <c r="AE349" i="3"/>
  <c r="O46" i="4"/>
  <c r="P46" i="4" s="1"/>
  <c r="W31" i="12"/>
  <c r="X31" i="12" s="1"/>
  <c r="F32" i="12"/>
  <c r="D32" i="12"/>
  <c r="H32" i="12"/>
  <c r="C32" i="12"/>
  <c r="Q32" i="12" s="1"/>
  <c r="E32" i="12"/>
  <c r="B32" i="12"/>
  <c r="G32" i="12"/>
  <c r="S152" i="3"/>
  <c r="AP152" i="3" s="1"/>
  <c r="J31" i="12"/>
  <c r="S218" i="3"/>
  <c r="AO218" i="3" s="1"/>
  <c r="S276" i="3"/>
  <c r="Y276" i="3" s="1"/>
  <c r="S344" i="3"/>
  <c r="Y344" i="3" s="1"/>
  <c r="S203" i="3"/>
  <c r="Y203" i="3" s="1"/>
  <c r="N40" i="6"/>
  <c r="Q31" i="6"/>
  <c r="U343" i="3"/>
  <c r="U225" i="3"/>
  <c r="AM222" i="3"/>
  <c r="AQ222" i="3" s="1"/>
  <c r="Y151" i="3"/>
  <c r="AP151" i="3"/>
  <c r="AO151" i="3"/>
  <c r="AN151" i="3"/>
  <c r="U149" i="3"/>
  <c r="U274" i="3"/>
  <c r="AM199" i="3"/>
  <c r="AQ199" i="3" s="1"/>
  <c r="Y283" i="3"/>
  <c r="AN283" i="3"/>
  <c r="AP283" i="3"/>
  <c r="AO283" i="3"/>
  <c r="AM275" i="3"/>
  <c r="AQ275" i="3" s="1"/>
  <c r="J32" i="12"/>
  <c r="Z199" i="3"/>
  <c r="AA199" i="3" s="1"/>
  <c r="Y294" i="3"/>
  <c r="AO294" i="3"/>
  <c r="AN294" i="3"/>
  <c r="AP294" i="3"/>
  <c r="S49" i="6"/>
  <c r="Z275" i="3"/>
  <c r="AA275" i="3" s="1"/>
  <c r="S48" i="6"/>
  <c r="Z304" i="3"/>
  <c r="AA304" i="3" s="1"/>
  <c r="Z150" i="3"/>
  <c r="AA150" i="3" s="1"/>
  <c r="Y350" i="3"/>
  <c r="AN350" i="3"/>
  <c r="AP350" i="3"/>
  <c r="AO350" i="3"/>
  <c r="U198" i="3"/>
  <c r="AM304" i="3"/>
  <c r="AQ304" i="3" s="1"/>
  <c r="Z222" i="3"/>
  <c r="AA222" i="3" s="1"/>
  <c r="AO200" i="3"/>
  <c r="AN200" i="3"/>
  <c r="Y200" i="3"/>
  <c r="AP200" i="3"/>
  <c r="AM150" i="3"/>
  <c r="AQ150" i="3" s="1"/>
  <c r="D202" i="3"/>
  <c r="AF202" i="3" s="1"/>
  <c r="AE201" i="3"/>
  <c r="D156" i="3"/>
  <c r="AF156" i="3" s="1"/>
  <c r="AE155" i="3"/>
  <c r="D274" i="3"/>
  <c r="AF274" i="3" s="1"/>
  <c r="AE273" i="3"/>
  <c r="AF350" i="3" l="1"/>
  <c r="Q63" i="4" s="1"/>
  <c r="D351" i="3"/>
  <c r="AE350" i="3"/>
  <c r="O47" i="4"/>
  <c r="P47" i="4" s="1"/>
  <c r="T32" i="12"/>
  <c r="U32" i="12" s="1"/>
  <c r="R32" i="12"/>
  <c r="S32" i="12" s="1"/>
  <c r="M32" i="12"/>
  <c r="N32" i="12"/>
  <c r="A33" i="12"/>
  <c r="L32" i="12"/>
  <c r="AO152" i="3"/>
  <c r="AN152" i="3"/>
  <c r="Y152" i="3"/>
  <c r="Z152" i="3" s="1"/>
  <c r="AA152" i="3" s="1"/>
  <c r="P31" i="6"/>
  <c r="I31" i="12"/>
  <c r="AP218" i="3"/>
  <c r="Y218" i="3"/>
  <c r="Z218" i="3" s="1"/>
  <c r="AA218" i="3" s="1"/>
  <c r="AO203" i="3"/>
  <c r="AN218" i="3"/>
  <c r="AN276" i="3"/>
  <c r="AO276" i="3"/>
  <c r="AP276" i="3"/>
  <c r="AO344" i="3"/>
  <c r="AP203" i="3"/>
  <c r="AN203" i="3"/>
  <c r="AN344" i="3"/>
  <c r="AP344" i="3"/>
  <c r="AM294" i="3"/>
  <c r="AQ294" i="3" s="1"/>
  <c r="AM151" i="3"/>
  <c r="AQ151" i="3" s="1"/>
  <c r="Z344" i="3"/>
  <c r="AA344" i="3" s="1"/>
  <c r="U222" i="3"/>
  <c r="U150" i="3"/>
  <c r="Z350" i="3"/>
  <c r="AA350" i="3" s="1"/>
  <c r="Z276" i="3"/>
  <c r="AA276" i="3" s="1"/>
  <c r="Z294" i="3"/>
  <c r="AA294" i="3" s="1"/>
  <c r="Q33" i="6"/>
  <c r="U304" i="3"/>
  <c r="U275" i="3"/>
  <c r="AM283" i="3"/>
  <c r="AQ283" i="3" s="1"/>
  <c r="Z283" i="3"/>
  <c r="AA283" i="3" s="1"/>
  <c r="Z200" i="3"/>
  <c r="AA200" i="3" s="1"/>
  <c r="Z203" i="3"/>
  <c r="AA203" i="3" s="1"/>
  <c r="AM200" i="3"/>
  <c r="AQ200" i="3" s="1"/>
  <c r="AM350" i="3"/>
  <c r="AQ350" i="3" s="1"/>
  <c r="U199" i="3"/>
  <c r="Q32" i="6"/>
  <c r="Z151" i="3"/>
  <c r="AA151" i="3" s="1"/>
  <c r="U151" i="3" s="1"/>
  <c r="AE202" i="3"/>
  <c r="D203" i="3"/>
  <c r="AF203" i="3" s="1"/>
  <c r="D275" i="3"/>
  <c r="AF275" i="3" s="1"/>
  <c r="Q58" i="4" s="1"/>
  <c r="AE274" i="3"/>
  <c r="D157" i="3"/>
  <c r="AF157" i="3" s="1"/>
  <c r="AE156" i="3"/>
  <c r="AF351" i="3" l="1"/>
  <c r="Q60" i="4" s="1"/>
  <c r="D352" i="3"/>
  <c r="AE351" i="3"/>
  <c r="AM152" i="3"/>
  <c r="AQ152" i="3" s="1"/>
  <c r="D33" i="12"/>
  <c r="H33" i="12"/>
  <c r="E33" i="12"/>
  <c r="B33" i="12"/>
  <c r="F33" i="12"/>
  <c r="C33" i="12"/>
  <c r="Q33" i="12" s="1"/>
  <c r="G33" i="12"/>
  <c r="W32" i="12"/>
  <c r="X32" i="12" s="1"/>
  <c r="J33" i="12"/>
  <c r="P33" i="6"/>
  <c r="I33" i="12"/>
  <c r="P32" i="6"/>
  <c r="I32" i="12"/>
  <c r="AM218" i="3"/>
  <c r="AQ218" i="3" s="1"/>
  <c r="AM276" i="3"/>
  <c r="AQ276" i="3" s="1"/>
  <c r="AM203" i="3"/>
  <c r="AQ203" i="3" s="1"/>
  <c r="AM344" i="3"/>
  <c r="AQ344" i="3" s="1"/>
  <c r="U344" i="3"/>
  <c r="U218" i="3"/>
  <c r="U294" i="3"/>
  <c r="U283" i="3"/>
  <c r="U203" i="3"/>
  <c r="U152" i="3"/>
  <c r="U276" i="3"/>
  <c r="S47" i="6"/>
  <c r="U200" i="3"/>
  <c r="U350" i="3"/>
  <c r="AE203" i="3"/>
  <c r="D204" i="3"/>
  <c r="AF204" i="3" s="1"/>
  <c r="AE157" i="3"/>
  <c r="D276" i="3"/>
  <c r="AF276" i="3" s="1"/>
  <c r="AE275" i="3"/>
  <c r="AF352" i="3" l="1"/>
  <c r="Q61" i="4" s="1"/>
  <c r="D353" i="3"/>
  <c r="AE352" i="3"/>
  <c r="T33" i="12"/>
  <c r="U33" i="12" s="1"/>
  <c r="R33" i="12"/>
  <c r="S33" i="12" s="1"/>
  <c r="M33" i="12"/>
  <c r="N33" i="12"/>
  <c r="A34" i="12"/>
  <c r="L33" i="12"/>
  <c r="D205" i="3"/>
  <c r="AF205" i="3" s="1"/>
  <c r="AE204" i="3"/>
  <c r="D277" i="3"/>
  <c r="AF277" i="3" s="1"/>
  <c r="AE276" i="3"/>
  <c r="AF353" i="3" l="1"/>
  <c r="Q32" i="4" s="1"/>
  <c r="AE353" i="3"/>
  <c r="D354" i="3"/>
  <c r="H34" i="12"/>
  <c r="D34" i="12"/>
  <c r="B34" i="12"/>
  <c r="F34" i="12"/>
  <c r="E34" i="12"/>
  <c r="C34" i="12"/>
  <c r="Q34" i="12" s="1"/>
  <c r="G34" i="12"/>
  <c r="W33" i="12"/>
  <c r="X33" i="12" s="1"/>
  <c r="S44" i="6"/>
  <c r="AE205" i="3"/>
  <c r="D206" i="3"/>
  <c r="AF206" i="3" s="1"/>
  <c r="D278" i="3"/>
  <c r="AF278" i="3" s="1"/>
  <c r="AE277" i="3"/>
  <c r="D355" i="3" l="1"/>
  <c r="AF354" i="3"/>
  <c r="Q36" i="4" s="1"/>
  <c r="AE354" i="3"/>
  <c r="R34" i="12"/>
  <c r="S34" i="12" s="1"/>
  <c r="T34" i="12"/>
  <c r="U34" i="12" s="1"/>
  <c r="M34" i="12"/>
  <c r="N34" i="12"/>
  <c r="A35" i="12"/>
  <c r="L34" i="12"/>
  <c r="S41" i="6"/>
  <c r="D207" i="3"/>
  <c r="AF207" i="3" s="1"/>
  <c r="AE206" i="3"/>
  <c r="D279" i="3"/>
  <c r="AF279" i="3" s="1"/>
  <c r="AE278" i="3"/>
  <c r="AF355" i="3" l="1"/>
  <c r="Q66" i="4" s="1"/>
  <c r="D356" i="3"/>
  <c r="AE355" i="3"/>
  <c r="E35" i="12"/>
  <c r="D35" i="12"/>
  <c r="H35" i="12"/>
  <c r="G35" i="12"/>
  <c r="B35" i="12"/>
  <c r="C35" i="12"/>
  <c r="Q35" i="12" s="1"/>
  <c r="F35" i="12"/>
  <c r="W34" i="12"/>
  <c r="X34" i="12" s="1"/>
  <c r="L21" i="12"/>
  <c r="S42" i="6"/>
  <c r="AE207" i="3"/>
  <c r="D208" i="3"/>
  <c r="AF208" i="3" s="1"/>
  <c r="D280" i="3"/>
  <c r="AF280" i="3" s="1"/>
  <c r="AE279" i="3"/>
  <c r="AF356" i="3" l="1"/>
  <c r="Q65" i="4" s="1"/>
  <c r="AE356" i="3"/>
  <c r="D357" i="3"/>
  <c r="T35" i="12"/>
  <c r="U35" i="12" s="1"/>
  <c r="R35" i="12"/>
  <c r="S35" i="12" s="1"/>
  <c r="M35" i="12"/>
  <c r="N35" i="12"/>
  <c r="L35" i="12"/>
  <c r="A36" i="12"/>
  <c r="L24" i="12"/>
  <c r="S21" i="6"/>
  <c r="AE208" i="3"/>
  <c r="D209" i="3"/>
  <c r="AF209" i="3" s="1"/>
  <c r="D281" i="3"/>
  <c r="AF281" i="3" s="1"/>
  <c r="AE280" i="3"/>
  <c r="AF357" i="3" l="1"/>
  <c r="Q74" i="4" s="1"/>
  <c r="D358" i="3"/>
  <c r="AE357" i="3"/>
  <c r="Q67" i="4"/>
  <c r="R67" i="4" s="1"/>
  <c r="M67" i="4"/>
  <c r="R209" i="3" s="1"/>
  <c r="D36" i="12"/>
  <c r="F36" i="12"/>
  <c r="C36" i="12"/>
  <c r="Q36" i="12" s="1"/>
  <c r="E36" i="12"/>
  <c r="H36" i="12"/>
  <c r="G36" i="12"/>
  <c r="B36" i="12"/>
  <c r="W35" i="12"/>
  <c r="X35" i="12" s="1"/>
  <c r="S24" i="6"/>
  <c r="D210" i="3"/>
  <c r="AF210" i="3" s="1"/>
  <c r="M62" i="4" s="1"/>
  <c r="AE209" i="3"/>
  <c r="D282" i="3"/>
  <c r="AE281" i="3"/>
  <c r="D283" i="3" l="1"/>
  <c r="AF282" i="3"/>
  <c r="AF358" i="3"/>
  <c r="Q73" i="4" s="1"/>
  <c r="AE358" i="3"/>
  <c r="D359" i="3"/>
  <c r="R210" i="3"/>
  <c r="R293" i="3"/>
  <c r="R345" i="3"/>
  <c r="R278" i="3"/>
  <c r="R36" i="12"/>
  <c r="S36" i="12" s="1"/>
  <c r="T36" i="12"/>
  <c r="U36" i="12" s="1"/>
  <c r="M36" i="12"/>
  <c r="N36" i="12"/>
  <c r="A37" i="12"/>
  <c r="L36" i="12"/>
  <c r="S46" i="6"/>
  <c r="D211" i="3"/>
  <c r="AF211" i="3" s="1"/>
  <c r="M64" i="4" s="1"/>
  <c r="AE210" i="3"/>
  <c r="AE282" i="3"/>
  <c r="AF359" i="3" l="1"/>
  <c r="AE359" i="3"/>
  <c r="D360" i="3"/>
  <c r="R211" i="3"/>
  <c r="R277" i="3"/>
  <c r="R295" i="3"/>
  <c r="D284" i="3"/>
  <c r="AF283" i="3"/>
  <c r="F37" i="12"/>
  <c r="D37" i="12"/>
  <c r="C37" i="12"/>
  <c r="Q37" i="12" s="1"/>
  <c r="E37" i="12"/>
  <c r="G37" i="12"/>
  <c r="B37" i="12"/>
  <c r="H37" i="12"/>
  <c r="W36" i="12"/>
  <c r="X36" i="12" s="1"/>
  <c r="L67" i="4"/>
  <c r="S209" i="3" s="1"/>
  <c r="N67" i="4"/>
  <c r="S45" i="6"/>
  <c r="AE211" i="3"/>
  <c r="D212" i="3"/>
  <c r="AF212" i="3" s="1"/>
  <c r="M65" i="4" s="1"/>
  <c r="R297" i="3" l="1"/>
  <c r="R356" i="3"/>
  <c r="R212" i="3"/>
  <c r="R289" i="3"/>
  <c r="D285" i="3"/>
  <c r="AF284" i="3"/>
  <c r="AF360" i="3"/>
  <c r="D361" i="3"/>
  <c r="AE360" i="3"/>
  <c r="T37" i="12"/>
  <c r="U37" i="12" s="1"/>
  <c r="R37" i="12"/>
  <c r="S37" i="12" s="1"/>
  <c r="M37" i="12"/>
  <c r="N37" i="12"/>
  <c r="A38" i="12"/>
  <c r="L37" i="12"/>
  <c r="AP209" i="3"/>
  <c r="AO209" i="3"/>
  <c r="Y209" i="3"/>
  <c r="AN209" i="3"/>
  <c r="S51" i="6"/>
  <c r="L62" i="4"/>
  <c r="N62" i="4"/>
  <c r="O43" i="6"/>
  <c r="AE212" i="3"/>
  <c r="D213" i="3"/>
  <c r="AF213" i="3" s="1"/>
  <c r="M66" i="4" s="1"/>
  <c r="AE283" i="3"/>
  <c r="AF361" i="3" l="1"/>
  <c r="D362" i="3"/>
  <c r="AE361" i="3"/>
  <c r="O75" i="4"/>
  <c r="Q75" i="4"/>
  <c r="R298" i="3"/>
  <c r="R355" i="3"/>
  <c r="R213" i="3"/>
  <c r="R288" i="3"/>
  <c r="D286" i="3"/>
  <c r="AF285" i="3"/>
  <c r="F38" i="12"/>
  <c r="B38" i="12"/>
  <c r="D38" i="12"/>
  <c r="E38" i="12"/>
  <c r="C38" i="12"/>
  <c r="Q38" i="12" s="1"/>
  <c r="H38" i="12"/>
  <c r="G38" i="12"/>
  <c r="W37" i="12"/>
  <c r="X37" i="12" s="1"/>
  <c r="AM209" i="3"/>
  <c r="AQ209" i="3" s="1"/>
  <c r="N64" i="4"/>
  <c r="L64" i="4"/>
  <c r="S210" i="3"/>
  <c r="S278" i="3"/>
  <c r="S345" i="3"/>
  <c r="S293" i="3"/>
  <c r="N43" i="6"/>
  <c r="S50" i="6"/>
  <c r="Z209" i="3"/>
  <c r="AA209" i="3" s="1"/>
  <c r="AE213" i="3"/>
  <c r="D214" i="3"/>
  <c r="AF214" i="3" s="1"/>
  <c r="O52" i="4" s="1"/>
  <c r="P52" i="4" s="1"/>
  <c r="AE284" i="3"/>
  <c r="Q52" i="6" l="1"/>
  <c r="D287" i="3"/>
  <c r="AF286" i="3"/>
  <c r="AF362" i="3"/>
  <c r="M86" i="4" s="1"/>
  <c r="D363" i="3"/>
  <c r="AE362" i="3"/>
  <c r="Q76" i="4"/>
  <c r="O76" i="4"/>
  <c r="T38" i="12"/>
  <c r="U38" i="12" s="1"/>
  <c r="R38" i="12"/>
  <c r="S38" i="12" s="1"/>
  <c r="M38" i="12"/>
  <c r="N38" i="12"/>
  <c r="L38" i="12"/>
  <c r="A39" i="12"/>
  <c r="AO278" i="3"/>
  <c r="AP278" i="3"/>
  <c r="Y278" i="3"/>
  <c r="AN278" i="3"/>
  <c r="N65" i="4"/>
  <c r="L65" i="4"/>
  <c r="O45" i="6"/>
  <c r="Y210" i="3"/>
  <c r="AP210" i="3"/>
  <c r="AN210" i="3"/>
  <c r="AO210" i="3"/>
  <c r="S211" i="3"/>
  <c r="S295" i="3"/>
  <c r="S277" i="3"/>
  <c r="U209" i="3"/>
  <c r="AO293" i="3"/>
  <c r="AP293" i="3"/>
  <c r="Y293" i="3"/>
  <c r="AN293" i="3"/>
  <c r="Y345" i="3"/>
  <c r="AP345" i="3"/>
  <c r="AN345" i="3"/>
  <c r="AO345" i="3"/>
  <c r="AE214" i="3"/>
  <c r="D215" i="3"/>
  <c r="AF215" i="3" s="1"/>
  <c r="O49" i="4" s="1"/>
  <c r="P49" i="4" s="1"/>
  <c r="AE285" i="3"/>
  <c r="AE363" i="3" l="1"/>
  <c r="AF363" i="3"/>
  <c r="D364" i="3"/>
  <c r="D288" i="3"/>
  <c r="AF287" i="3"/>
  <c r="R363" i="3"/>
  <c r="R362" i="3"/>
  <c r="C39" i="12"/>
  <c r="Q39" i="12" s="1"/>
  <c r="D39" i="12"/>
  <c r="F39" i="12"/>
  <c r="H39" i="12"/>
  <c r="G39" i="12"/>
  <c r="B39" i="12"/>
  <c r="E39" i="12"/>
  <c r="W38" i="12"/>
  <c r="X38" i="12" s="1"/>
  <c r="AM278" i="3"/>
  <c r="AQ278" i="3" s="1"/>
  <c r="J38" i="12"/>
  <c r="Z210" i="3"/>
  <c r="AA210" i="3" s="1"/>
  <c r="Z345" i="3"/>
  <c r="AA345" i="3" s="1"/>
  <c r="L66" i="4"/>
  <c r="N66" i="4"/>
  <c r="O46" i="6"/>
  <c r="AM293" i="3"/>
  <c r="AQ293" i="3" s="1"/>
  <c r="Z293" i="3"/>
  <c r="AA293" i="3" s="1"/>
  <c r="U293" i="3" s="1"/>
  <c r="Z278" i="3"/>
  <c r="AA278" i="3" s="1"/>
  <c r="AM210" i="3"/>
  <c r="AQ210" i="3" s="1"/>
  <c r="AO277" i="3"/>
  <c r="AN277" i="3"/>
  <c r="Y277" i="3"/>
  <c r="AP277" i="3"/>
  <c r="Y295" i="3"/>
  <c r="AO295" i="3"/>
  <c r="AN295" i="3"/>
  <c r="AP295" i="3"/>
  <c r="S297" i="3"/>
  <c r="S356" i="3"/>
  <c r="S212" i="3"/>
  <c r="S289" i="3"/>
  <c r="N45" i="6"/>
  <c r="AM345" i="3"/>
  <c r="AQ345" i="3" s="1"/>
  <c r="S52" i="6"/>
  <c r="Y211" i="3"/>
  <c r="AN211" i="3"/>
  <c r="AO211" i="3"/>
  <c r="AP211" i="3"/>
  <c r="J35" i="12"/>
  <c r="AE215" i="3"/>
  <c r="D216" i="3"/>
  <c r="AF216" i="3" s="1"/>
  <c r="O50" i="4" s="1"/>
  <c r="P50" i="4" s="1"/>
  <c r="AE286" i="3"/>
  <c r="AE364" i="3" l="1"/>
  <c r="AF364" i="3"/>
  <c r="D365" i="3"/>
  <c r="D289" i="3"/>
  <c r="AF288" i="3"/>
  <c r="Q86" i="4"/>
  <c r="O86" i="4"/>
  <c r="T39" i="12"/>
  <c r="U39" i="12" s="1"/>
  <c r="R39" i="12"/>
  <c r="S39" i="12" s="1"/>
  <c r="M39" i="12"/>
  <c r="N39" i="12"/>
  <c r="A40" i="12"/>
  <c r="L39" i="12"/>
  <c r="U345" i="3"/>
  <c r="AM211" i="3"/>
  <c r="AQ211" i="3" s="1"/>
  <c r="U210" i="3"/>
  <c r="U278" i="3"/>
  <c r="S213" i="3"/>
  <c r="S288" i="3"/>
  <c r="S298" i="3"/>
  <c r="S355" i="3"/>
  <c r="N46" i="6"/>
  <c r="Z295" i="3"/>
  <c r="AA295" i="3" s="1"/>
  <c r="Z211" i="3"/>
  <c r="AA211" i="3" s="1"/>
  <c r="Y297" i="3"/>
  <c r="AN297" i="3"/>
  <c r="AO297" i="3"/>
  <c r="AP297" i="3"/>
  <c r="AM295" i="3"/>
  <c r="AQ295" i="3" s="1"/>
  <c r="AO289" i="3"/>
  <c r="AN289" i="3"/>
  <c r="Y289" i="3"/>
  <c r="AP289" i="3"/>
  <c r="Q35" i="6"/>
  <c r="AO212" i="3"/>
  <c r="Y212" i="3"/>
  <c r="AN212" i="3"/>
  <c r="AP212" i="3"/>
  <c r="Z277" i="3"/>
  <c r="AA277" i="3" s="1"/>
  <c r="Y356" i="3"/>
  <c r="AP356" i="3"/>
  <c r="AN356" i="3"/>
  <c r="AO356" i="3"/>
  <c r="AM277" i="3"/>
  <c r="AQ277" i="3" s="1"/>
  <c r="S53" i="6"/>
  <c r="Q38" i="6"/>
  <c r="Q53" i="6"/>
  <c r="D217" i="3"/>
  <c r="AF217" i="3" s="1"/>
  <c r="O60" i="4" s="1"/>
  <c r="P60" i="4" s="1"/>
  <c r="AE216" i="3"/>
  <c r="AE287" i="3"/>
  <c r="D290" i="3" l="1"/>
  <c r="AF289" i="3"/>
  <c r="AF365" i="3"/>
  <c r="AE365" i="3"/>
  <c r="D366" i="3"/>
  <c r="M87" i="4"/>
  <c r="R364" i="3" s="1"/>
  <c r="Q87" i="4"/>
  <c r="G40" i="12"/>
  <c r="C40" i="12"/>
  <c r="Q40" i="12" s="1"/>
  <c r="B40" i="12"/>
  <c r="E40" i="12"/>
  <c r="D40" i="12"/>
  <c r="F40" i="12"/>
  <c r="H40" i="12"/>
  <c r="W39" i="12"/>
  <c r="X39" i="12" s="1"/>
  <c r="P35" i="6"/>
  <c r="I35" i="12"/>
  <c r="P38" i="6"/>
  <c r="I38" i="12"/>
  <c r="U277" i="3"/>
  <c r="U211" i="3"/>
  <c r="U295" i="3"/>
  <c r="O62" i="6"/>
  <c r="J36" i="12"/>
  <c r="Z212" i="3"/>
  <c r="AA212" i="3" s="1"/>
  <c r="AM297" i="3"/>
  <c r="AQ297" i="3" s="1"/>
  <c r="Y355" i="3"/>
  <c r="AN355" i="3"/>
  <c r="AO355" i="3"/>
  <c r="AP355" i="3"/>
  <c r="Z356" i="3"/>
  <c r="AA356" i="3" s="1"/>
  <c r="Z297" i="3"/>
  <c r="AA297" i="3" s="1"/>
  <c r="Y298" i="3"/>
  <c r="AP298" i="3"/>
  <c r="AN298" i="3"/>
  <c r="AO298" i="3"/>
  <c r="AM356" i="3"/>
  <c r="AQ356" i="3" s="1"/>
  <c r="Z289" i="3"/>
  <c r="AA289" i="3" s="1"/>
  <c r="Y288" i="3"/>
  <c r="AO288" i="3"/>
  <c r="AN288" i="3"/>
  <c r="AP288" i="3"/>
  <c r="AM212" i="3"/>
  <c r="AQ212" i="3" s="1"/>
  <c r="AM289" i="3"/>
  <c r="AQ289" i="3" s="1"/>
  <c r="AN213" i="3"/>
  <c r="AP213" i="3"/>
  <c r="Y213" i="3"/>
  <c r="AO213" i="3"/>
  <c r="AE217" i="3"/>
  <c r="D218" i="3"/>
  <c r="AF218" i="3" s="1"/>
  <c r="O57" i="4" s="1"/>
  <c r="P57" i="4" s="1"/>
  <c r="AF366" i="3" l="1"/>
  <c r="D367" i="3"/>
  <c r="AE366" i="3"/>
  <c r="M88" i="4"/>
  <c r="R365" i="3" s="1"/>
  <c r="Q88" i="4"/>
  <c r="D291" i="3"/>
  <c r="AF290" i="3"/>
  <c r="S63" i="6"/>
  <c r="T40" i="12"/>
  <c r="U40" i="12" s="1"/>
  <c r="R40" i="12"/>
  <c r="S40" i="12" s="1"/>
  <c r="M40" i="12"/>
  <c r="N40" i="12"/>
  <c r="A41" i="12"/>
  <c r="L40" i="12"/>
  <c r="S62" i="6"/>
  <c r="Q62" i="6"/>
  <c r="U289" i="3"/>
  <c r="AM288" i="3"/>
  <c r="AQ288" i="3" s="1"/>
  <c r="AM355" i="3"/>
  <c r="AQ355" i="3" s="1"/>
  <c r="Q36" i="6"/>
  <c r="Z298" i="3"/>
  <c r="AA298" i="3" s="1"/>
  <c r="Z355" i="3"/>
  <c r="AA355" i="3" s="1"/>
  <c r="Z213" i="3"/>
  <c r="AA213" i="3" s="1"/>
  <c r="Z288" i="3"/>
  <c r="AA288" i="3" s="1"/>
  <c r="U297" i="3"/>
  <c r="AM298" i="3"/>
  <c r="AQ298" i="3" s="1"/>
  <c r="AM213" i="3"/>
  <c r="AQ213" i="3" s="1"/>
  <c r="U356" i="3"/>
  <c r="U212" i="3"/>
  <c r="AE218" i="3"/>
  <c r="D219" i="3"/>
  <c r="AF219" i="3" s="1"/>
  <c r="AE288" i="3"/>
  <c r="D368" i="3" l="1"/>
  <c r="AF367" i="3"/>
  <c r="AE367" i="3"/>
  <c r="S64" i="6"/>
  <c r="M89" i="4"/>
  <c r="Q89" i="4"/>
  <c r="D292" i="3"/>
  <c r="AF291" i="3"/>
  <c r="J41" i="12"/>
  <c r="D41" i="12"/>
  <c r="B41" i="12"/>
  <c r="C41" i="12"/>
  <c r="Q41" i="12" s="1"/>
  <c r="F41" i="12"/>
  <c r="E41" i="12"/>
  <c r="H41" i="12"/>
  <c r="W40" i="12"/>
  <c r="X40" i="12" s="1"/>
  <c r="P36" i="6"/>
  <c r="I36" i="12"/>
  <c r="O63" i="6"/>
  <c r="U298" i="3"/>
  <c r="U288" i="3"/>
  <c r="U213" i="3"/>
  <c r="J40" i="12"/>
  <c r="R34" i="4"/>
  <c r="R27" i="4"/>
  <c r="N59" i="4"/>
  <c r="R19" i="4"/>
  <c r="L59" i="4"/>
  <c r="N61" i="4"/>
  <c r="N60" i="4"/>
  <c r="L60" i="4"/>
  <c r="G41" i="12" s="1"/>
  <c r="L61" i="4"/>
  <c r="R47" i="4"/>
  <c r="Q41" i="6"/>
  <c r="U355" i="3"/>
  <c r="AE219" i="3"/>
  <c r="D220" i="3"/>
  <c r="AF220" i="3" s="1"/>
  <c r="AE289" i="3"/>
  <c r="R366" i="3" l="1"/>
  <c r="O65" i="6"/>
  <c r="O48" i="4"/>
  <c r="P48" i="4" s="1"/>
  <c r="Q90" i="4"/>
  <c r="M90" i="4"/>
  <c r="D293" i="3"/>
  <c r="AF292" i="3"/>
  <c r="O61" i="4" s="1"/>
  <c r="AF368" i="3"/>
  <c r="D369" i="3"/>
  <c r="AE368" i="3"/>
  <c r="S65" i="6"/>
  <c r="R41" i="12"/>
  <c r="S41" i="12" s="1"/>
  <c r="T41" i="12"/>
  <c r="U41" i="12" s="1"/>
  <c r="M41" i="12"/>
  <c r="N41" i="12"/>
  <c r="A42" i="12"/>
  <c r="G42" i="12" s="1"/>
  <c r="L41" i="12"/>
  <c r="P16" i="6"/>
  <c r="I16" i="12"/>
  <c r="P41" i="6"/>
  <c r="I41" i="12"/>
  <c r="P30" i="6"/>
  <c r="I30" i="12"/>
  <c r="O64" i="6"/>
  <c r="S204" i="3"/>
  <c r="S160" i="3"/>
  <c r="S240" i="3"/>
  <c r="Q40" i="6"/>
  <c r="S161" i="3"/>
  <c r="S292" i="3"/>
  <c r="S352" i="3"/>
  <c r="S202" i="3"/>
  <c r="S285" i="3"/>
  <c r="N42" i="6"/>
  <c r="S217" i="3"/>
  <c r="S284" i="3"/>
  <c r="S159" i="3"/>
  <c r="S351" i="3"/>
  <c r="S201" i="3"/>
  <c r="N41" i="6"/>
  <c r="AE220" i="3"/>
  <c r="D221" i="3"/>
  <c r="AF221" i="3" s="1"/>
  <c r="O51" i="4" s="1"/>
  <c r="P51" i="4" s="1"/>
  <c r="AE290" i="3"/>
  <c r="S66" i="6" l="1"/>
  <c r="AF369" i="3"/>
  <c r="D370" i="3"/>
  <c r="AE369" i="3"/>
  <c r="Q91" i="4"/>
  <c r="M91" i="4"/>
  <c r="R367" i="3"/>
  <c r="O66" i="6"/>
  <c r="D294" i="3"/>
  <c r="AF293" i="3"/>
  <c r="O62" i="4" s="1"/>
  <c r="D42" i="12"/>
  <c r="E42" i="12"/>
  <c r="C42" i="12"/>
  <c r="Q42" i="12" s="1"/>
  <c r="H42" i="12"/>
  <c r="F42" i="12"/>
  <c r="B42" i="12"/>
  <c r="W41" i="12"/>
  <c r="X41" i="12" s="1"/>
  <c r="P40" i="6"/>
  <c r="I40" i="12"/>
  <c r="Y217" i="3"/>
  <c r="AP217" i="3"/>
  <c r="AO217" i="3"/>
  <c r="AN217" i="3"/>
  <c r="AP161" i="3"/>
  <c r="AN161" i="3"/>
  <c r="Y161" i="3"/>
  <c r="AO161" i="3"/>
  <c r="Y285" i="3"/>
  <c r="AO285" i="3"/>
  <c r="AP285" i="3"/>
  <c r="AN285" i="3"/>
  <c r="Y240" i="3"/>
  <c r="AP240" i="3"/>
  <c r="AN240" i="3"/>
  <c r="AO240" i="3"/>
  <c r="AO202" i="3"/>
  <c r="AP202" i="3"/>
  <c r="Y202" i="3"/>
  <c r="AN202" i="3"/>
  <c r="Y160" i="3"/>
  <c r="AO160" i="3"/>
  <c r="AN160" i="3"/>
  <c r="AP160" i="3"/>
  <c r="AN284" i="3"/>
  <c r="AP284" i="3"/>
  <c r="Y284" i="3"/>
  <c r="AO284" i="3"/>
  <c r="Y201" i="3"/>
  <c r="AP201" i="3"/>
  <c r="AN201" i="3"/>
  <c r="AO201" i="3"/>
  <c r="AP352" i="3"/>
  <c r="AN352" i="3"/>
  <c r="AO352" i="3"/>
  <c r="Y352" i="3"/>
  <c r="Y204" i="3"/>
  <c r="AO204" i="3"/>
  <c r="AP204" i="3"/>
  <c r="AN204" i="3"/>
  <c r="AN159" i="3"/>
  <c r="AP159" i="3"/>
  <c r="Y159" i="3"/>
  <c r="AO159" i="3"/>
  <c r="AN351" i="3"/>
  <c r="AO351" i="3"/>
  <c r="Y351" i="3"/>
  <c r="AP351" i="3"/>
  <c r="Y292" i="3"/>
  <c r="AN292" i="3"/>
  <c r="AP292" i="3"/>
  <c r="AO292" i="3"/>
  <c r="AE221" i="3"/>
  <c r="D222" i="3"/>
  <c r="AF222" i="3" s="1"/>
  <c r="AE291" i="3"/>
  <c r="O58" i="4" l="1"/>
  <c r="P58" i="4" s="1"/>
  <c r="AF370" i="3"/>
  <c r="AE370" i="3"/>
  <c r="D371" i="3"/>
  <c r="M92" i="4"/>
  <c r="Q92" i="4"/>
  <c r="R368" i="3"/>
  <c r="O67" i="6"/>
  <c r="D295" i="3"/>
  <c r="AF294" i="3"/>
  <c r="O63" i="4" s="1"/>
  <c r="S67" i="6"/>
  <c r="R42" i="12"/>
  <c r="S42" i="12" s="1"/>
  <c r="T42" i="12"/>
  <c r="U42" i="12" s="1"/>
  <c r="M42" i="12"/>
  <c r="N42" i="12"/>
  <c r="A43" i="12"/>
  <c r="L42" i="12"/>
  <c r="J34" i="12"/>
  <c r="Q34" i="6"/>
  <c r="AM352" i="3"/>
  <c r="AQ352" i="3" s="1"/>
  <c r="AM285" i="3"/>
  <c r="AQ285" i="3" s="1"/>
  <c r="AM217" i="3"/>
  <c r="AQ217" i="3" s="1"/>
  <c r="AM292" i="3"/>
  <c r="AQ292" i="3" s="1"/>
  <c r="AM160" i="3"/>
  <c r="AQ160" i="3" s="1"/>
  <c r="Z204" i="3"/>
  <c r="AA204" i="3" s="1"/>
  <c r="U204" i="3" s="1"/>
  <c r="Z160" i="3"/>
  <c r="AA160" i="3" s="1"/>
  <c r="U160" i="3" s="1"/>
  <c r="AM351" i="3"/>
  <c r="AQ351" i="3" s="1"/>
  <c r="Z201" i="3"/>
  <c r="AA201" i="3" s="1"/>
  <c r="AM284" i="3"/>
  <c r="AQ284" i="3" s="1"/>
  <c r="AM240" i="3"/>
  <c r="AQ240" i="3" s="1"/>
  <c r="AM201" i="3"/>
  <c r="AQ201" i="3" s="1"/>
  <c r="Z352" i="3"/>
  <c r="AA352" i="3" s="1"/>
  <c r="U352" i="3" s="1"/>
  <c r="Z161" i="3"/>
  <c r="AA161" i="3" s="1"/>
  <c r="Z217" i="3"/>
  <c r="AA217" i="3" s="1"/>
  <c r="Z351" i="3"/>
  <c r="AA351" i="3" s="1"/>
  <c r="Z284" i="3"/>
  <c r="AA284" i="3" s="1"/>
  <c r="AM204" i="3"/>
  <c r="AQ204" i="3" s="1"/>
  <c r="Z240" i="3"/>
  <c r="AA240" i="3" s="1"/>
  <c r="Z285" i="3"/>
  <c r="AA285" i="3" s="1"/>
  <c r="AM161" i="3"/>
  <c r="AQ161" i="3" s="1"/>
  <c r="AM159" i="3"/>
  <c r="AQ159" i="3" s="1"/>
  <c r="J37" i="12"/>
  <c r="AM202" i="3"/>
  <c r="AQ202" i="3" s="1"/>
  <c r="Z292" i="3"/>
  <c r="AA292" i="3" s="1"/>
  <c r="Z159" i="3"/>
  <c r="AA159" i="3" s="1"/>
  <c r="Z202" i="3"/>
  <c r="AA202" i="3" s="1"/>
  <c r="U202" i="3" s="1"/>
  <c r="AE222" i="3"/>
  <c r="D223" i="3"/>
  <c r="AF223" i="3" s="1"/>
  <c r="O54" i="4" s="1"/>
  <c r="P54" i="4" s="1"/>
  <c r="AF371" i="3" l="1"/>
  <c r="D372" i="3"/>
  <c r="AE371" i="3"/>
  <c r="S68" i="6"/>
  <c r="M93" i="4"/>
  <c r="Q93" i="4"/>
  <c r="D296" i="3"/>
  <c r="AF295" i="3"/>
  <c r="R369" i="3"/>
  <c r="O68" i="6"/>
  <c r="D43" i="12"/>
  <c r="B43" i="12"/>
  <c r="E43" i="12"/>
  <c r="C43" i="12"/>
  <c r="Q43" i="12" s="1"/>
  <c r="F43" i="12"/>
  <c r="H43" i="12"/>
  <c r="G43" i="12"/>
  <c r="W42" i="12"/>
  <c r="X42" i="12" s="1"/>
  <c r="P34" i="6"/>
  <c r="I34" i="12"/>
  <c r="U217" i="3"/>
  <c r="U240" i="3"/>
  <c r="U161" i="3"/>
  <c r="U292" i="3"/>
  <c r="U284" i="3"/>
  <c r="U159" i="3"/>
  <c r="U285" i="3"/>
  <c r="Q37" i="6"/>
  <c r="U201" i="3"/>
  <c r="U351" i="3"/>
  <c r="AE223" i="3"/>
  <c r="D224" i="3"/>
  <c r="AF224" i="3" s="1"/>
  <c r="O64" i="4" l="1"/>
  <c r="Q64" i="4"/>
  <c r="D297" i="3"/>
  <c r="AF296" i="3"/>
  <c r="O53" i="4"/>
  <c r="P53" i="4" s="1"/>
  <c r="Q53" i="4"/>
  <c r="S69" i="6"/>
  <c r="R370" i="3"/>
  <c r="O69" i="6"/>
  <c r="D373" i="3"/>
  <c r="AF372" i="3"/>
  <c r="AE372" i="3"/>
  <c r="M94" i="4"/>
  <c r="Q94" i="4"/>
  <c r="T43" i="12"/>
  <c r="U43" i="12" s="1"/>
  <c r="R43" i="12"/>
  <c r="S43" i="12" s="1"/>
  <c r="M43" i="12"/>
  <c r="N43" i="12"/>
  <c r="L43" i="12"/>
  <c r="A44" i="12"/>
  <c r="P37" i="6"/>
  <c r="I37" i="12"/>
  <c r="J42" i="12"/>
  <c r="D225" i="3"/>
  <c r="AF225" i="3" s="1"/>
  <c r="AE224" i="3"/>
  <c r="AE292" i="3"/>
  <c r="R371" i="3" l="1"/>
  <c r="O70" i="6"/>
  <c r="D298" i="3"/>
  <c r="AF297" i="3"/>
  <c r="O65" i="4" s="1"/>
  <c r="M95" i="4"/>
  <c r="Q95" i="4"/>
  <c r="S70" i="6"/>
  <c r="Q77" i="4"/>
  <c r="M77" i="4"/>
  <c r="R296" i="3" s="1"/>
  <c r="D374" i="3"/>
  <c r="AF373" i="3"/>
  <c r="AE373" i="3"/>
  <c r="O55" i="4"/>
  <c r="P55" i="4" s="1"/>
  <c r="B44" i="12"/>
  <c r="F44" i="12"/>
  <c r="D44" i="12"/>
  <c r="E44" i="12"/>
  <c r="C44" i="12"/>
  <c r="Q44" i="12" s="1"/>
  <c r="H44" i="12"/>
  <c r="G44" i="12"/>
  <c r="W43" i="12"/>
  <c r="X43" i="12" s="1"/>
  <c r="R53" i="4"/>
  <c r="Q42" i="6"/>
  <c r="J43" i="12"/>
  <c r="AE225" i="3"/>
  <c r="D226" i="3"/>
  <c r="AF226" i="3" s="1"/>
  <c r="AE293" i="3"/>
  <c r="AF374" i="3" l="1"/>
  <c r="D375" i="3"/>
  <c r="AE374" i="3"/>
  <c r="D299" i="3"/>
  <c r="AF298" i="3"/>
  <c r="O66" i="4" s="1"/>
  <c r="Q45" i="6"/>
  <c r="R372" i="3"/>
  <c r="O71" i="6"/>
  <c r="S71" i="6"/>
  <c r="R44" i="12"/>
  <c r="S44" i="12" s="1"/>
  <c r="T44" i="12"/>
  <c r="U44" i="12" s="1"/>
  <c r="M44" i="12"/>
  <c r="N44" i="12"/>
  <c r="L44" i="12"/>
  <c r="A45" i="12"/>
  <c r="Q43" i="6"/>
  <c r="J44" i="12"/>
  <c r="D227" i="3"/>
  <c r="AF227" i="3" s="1"/>
  <c r="AE226" i="3"/>
  <c r="AE294" i="3"/>
  <c r="Q46" i="6" l="1"/>
  <c r="D300" i="3"/>
  <c r="AF299" i="3"/>
  <c r="M78" i="4" s="1"/>
  <c r="P65" i="4"/>
  <c r="P45" i="6" s="1"/>
  <c r="AF375" i="3"/>
  <c r="AE375" i="3"/>
  <c r="D376" i="3"/>
  <c r="H45" i="12"/>
  <c r="C45" i="12"/>
  <c r="Q45" i="12" s="1"/>
  <c r="G45" i="12"/>
  <c r="J45" i="12"/>
  <c r="F45" i="12"/>
  <c r="B45" i="12"/>
  <c r="D45" i="12"/>
  <c r="E45" i="12"/>
  <c r="W44" i="12"/>
  <c r="X44" i="12" s="1"/>
  <c r="J39" i="12"/>
  <c r="Q39" i="6"/>
  <c r="Q44" i="6"/>
  <c r="D228" i="3"/>
  <c r="AF228" i="3" s="1"/>
  <c r="P64" i="4" s="1"/>
  <c r="AE227" i="3"/>
  <c r="AE295" i="3"/>
  <c r="R378" i="3" l="1"/>
  <c r="R299" i="3"/>
  <c r="P66" i="4"/>
  <c r="P46" i="6" s="1"/>
  <c r="M70" i="4"/>
  <c r="R77" i="4"/>
  <c r="AF376" i="3"/>
  <c r="AE376" i="3"/>
  <c r="D377" i="3"/>
  <c r="I45" i="12"/>
  <c r="Q79" i="4"/>
  <c r="S55" i="6" s="1"/>
  <c r="O79" i="4"/>
  <c r="D301" i="3"/>
  <c r="AF300" i="3"/>
  <c r="P63" i="4"/>
  <c r="T45" i="12"/>
  <c r="U45" i="12" s="1"/>
  <c r="R45" i="12"/>
  <c r="S45" i="12" s="1"/>
  <c r="M45" i="12"/>
  <c r="N45" i="12"/>
  <c r="A46" i="12"/>
  <c r="L45" i="12"/>
  <c r="J28" i="12"/>
  <c r="P39" i="6"/>
  <c r="I39" i="12"/>
  <c r="Q28" i="6"/>
  <c r="J20" i="12"/>
  <c r="AE228" i="3"/>
  <c r="AE296" i="3"/>
  <c r="M79" i="4" l="1"/>
  <c r="R95" i="4"/>
  <c r="R71" i="6" s="1"/>
  <c r="O81" i="4"/>
  <c r="Q81" i="4"/>
  <c r="S57" i="6" s="1"/>
  <c r="R279" i="3"/>
  <c r="R228" i="3"/>
  <c r="R306" i="3"/>
  <c r="R346" i="3"/>
  <c r="D302" i="3"/>
  <c r="AF302" i="3" s="1"/>
  <c r="M81" i="4" s="1"/>
  <c r="AF301" i="3"/>
  <c r="P79" i="4"/>
  <c r="Q55" i="6"/>
  <c r="AF377" i="3"/>
  <c r="D378" i="3"/>
  <c r="AE377" i="3"/>
  <c r="H46" i="12"/>
  <c r="J46" i="12"/>
  <c r="B46" i="12"/>
  <c r="G46" i="12"/>
  <c r="D46" i="12"/>
  <c r="I46" i="12"/>
  <c r="C46" i="12"/>
  <c r="Q46" i="12" s="1"/>
  <c r="F46" i="12"/>
  <c r="E46" i="12"/>
  <c r="W45" i="12"/>
  <c r="X45" i="12" s="1"/>
  <c r="P28" i="6"/>
  <c r="I28" i="12"/>
  <c r="R64" i="4"/>
  <c r="Q20" i="6"/>
  <c r="AE297" i="3"/>
  <c r="AF378" i="3" l="1"/>
  <c r="D379" i="3"/>
  <c r="AE378" i="3"/>
  <c r="Q80" i="4"/>
  <c r="S56" i="6" s="1"/>
  <c r="O80" i="4"/>
  <c r="M80" i="4"/>
  <c r="R90" i="4"/>
  <c r="R66" i="6" s="1"/>
  <c r="R91" i="4"/>
  <c r="R67" i="6" s="1"/>
  <c r="R92" i="4"/>
  <c r="R68" i="6" s="1"/>
  <c r="R94" i="4"/>
  <c r="R70" i="6" s="1"/>
  <c r="P81" i="4"/>
  <c r="Q57" i="6"/>
  <c r="R376" i="3"/>
  <c r="R302" i="3"/>
  <c r="R93" i="4"/>
  <c r="R69" i="6" s="1"/>
  <c r="R300" i="3"/>
  <c r="R375" i="3"/>
  <c r="T46" i="12"/>
  <c r="U46" i="12" s="1"/>
  <c r="R46" i="12"/>
  <c r="S46" i="12" s="1"/>
  <c r="M46" i="12"/>
  <c r="N46" i="12"/>
  <c r="A47" i="12"/>
  <c r="L46" i="12"/>
  <c r="P44" i="6"/>
  <c r="I44" i="12"/>
  <c r="P20" i="6"/>
  <c r="I20" i="12"/>
  <c r="N70" i="4"/>
  <c r="L70" i="4"/>
  <c r="O48" i="6"/>
  <c r="L77" i="4"/>
  <c r="S296" i="3" s="1"/>
  <c r="N77" i="4"/>
  <c r="AE298" i="3"/>
  <c r="P80" i="4" l="1"/>
  <c r="P56" i="6" s="1"/>
  <c r="Q56" i="6"/>
  <c r="R377" i="3"/>
  <c r="R301" i="3"/>
  <c r="AF379" i="3"/>
  <c r="AE379" i="3"/>
  <c r="D380" i="3"/>
  <c r="Q78" i="4"/>
  <c r="S54" i="6" s="1"/>
  <c r="O78" i="4"/>
  <c r="J47" i="12"/>
  <c r="H47" i="12"/>
  <c r="B47" i="12"/>
  <c r="C47" i="12"/>
  <c r="Q47" i="12" s="1"/>
  <c r="F47" i="12"/>
  <c r="E47" i="12"/>
  <c r="D47" i="12"/>
  <c r="W46" i="12"/>
  <c r="X46" i="12" s="1"/>
  <c r="Y296" i="3"/>
  <c r="AO296" i="3"/>
  <c r="AN296" i="3"/>
  <c r="AP296" i="3"/>
  <c r="S346" i="3"/>
  <c r="S279" i="3"/>
  <c r="S228" i="3"/>
  <c r="S306" i="3"/>
  <c r="N48" i="6"/>
  <c r="AE299" i="3"/>
  <c r="AF380" i="3" l="1"/>
  <c r="AE380" i="3"/>
  <c r="P78" i="4"/>
  <c r="Q54" i="6"/>
  <c r="M96" i="4"/>
  <c r="Q96" i="4"/>
  <c r="T47" i="12"/>
  <c r="U47" i="12" s="1"/>
  <c r="M47" i="12"/>
  <c r="N47" i="12"/>
  <c r="L47" i="12"/>
  <c r="A48" i="12"/>
  <c r="Y228" i="3"/>
  <c r="AO228" i="3"/>
  <c r="AN228" i="3"/>
  <c r="AP228" i="3"/>
  <c r="Y306" i="3"/>
  <c r="AO306" i="3"/>
  <c r="AP306" i="3"/>
  <c r="AN306" i="3"/>
  <c r="Y279" i="3"/>
  <c r="AN279" i="3"/>
  <c r="AO279" i="3"/>
  <c r="AP279" i="3"/>
  <c r="Y346" i="3"/>
  <c r="AN346" i="3"/>
  <c r="AP346" i="3"/>
  <c r="AO346" i="3"/>
  <c r="AM296" i="3"/>
  <c r="AQ296" i="3" s="1"/>
  <c r="N78" i="4"/>
  <c r="L78" i="4"/>
  <c r="O54" i="6"/>
  <c r="Z296" i="3"/>
  <c r="AA296" i="3" s="1"/>
  <c r="AE300" i="3"/>
  <c r="R379" i="3" l="1"/>
  <c r="L96" i="4"/>
  <c r="N96" i="4"/>
  <c r="O72" i="6"/>
  <c r="R96" i="4"/>
  <c r="R72" i="6" s="1"/>
  <c r="S72" i="6"/>
  <c r="Q97" i="4"/>
  <c r="M97" i="4"/>
  <c r="P71" i="4"/>
  <c r="R84" i="4"/>
  <c r="R60" i="6" s="1"/>
  <c r="P70" i="4"/>
  <c r="R82" i="4"/>
  <c r="R58" i="6" s="1"/>
  <c r="P74" i="4"/>
  <c r="P51" i="6" s="1"/>
  <c r="P69" i="4"/>
  <c r="R98" i="4"/>
  <c r="R74" i="6" s="1"/>
  <c r="N98" i="4"/>
  <c r="P59" i="4"/>
  <c r="P72" i="4"/>
  <c r="P73" i="4"/>
  <c r="P50" i="6" s="1"/>
  <c r="L98" i="4"/>
  <c r="P82" i="4"/>
  <c r="P58" i="6" s="1"/>
  <c r="R83" i="4"/>
  <c r="R59" i="6" s="1"/>
  <c r="R85" i="4"/>
  <c r="R61" i="6" s="1"/>
  <c r="P76" i="4"/>
  <c r="P75" i="4"/>
  <c r="P52" i="6" s="1"/>
  <c r="P86" i="4"/>
  <c r="R87" i="4"/>
  <c r="R63" i="6" s="1"/>
  <c r="P61" i="4"/>
  <c r="R88" i="4"/>
  <c r="R64" i="6" s="1"/>
  <c r="P62" i="4"/>
  <c r="R89" i="4"/>
  <c r="R65" i="6" s="1"/>
  <c r="F48" i="12"/>
  <c r="J48" i="12"/>
  <c r="D48" i="12"/>
  <c r="C48" i="12"/>
  <c r="Q48" i="12" s="1"/>
  <c r="E48" i="12"/>
  <c r="B48" i="12"/>
  <c r="H48" i="12"/>
  <c r="G48" i="12"/>
  <c r="W47" i="12"/>
  <c r="X47" i="12" s="1"/>
  <c r="S374" i="3"/>
  <c r="Y374" i="3" s="1"/>
  <c r="S378" i="3"/>
  <c r="AM306" i="3"/>
  <c r="AQ306" i="3" s="1"/>
  <c r="U296" i="3"/>
  <c r="AM228" i="3"/>
  <c r="AQ228" i="3" s="1"/>
  <c r="AM346" i="3"/>
  <c r="AQ346" i="3" s="1"/>
  <c r="Z346" i="3"/>
  <c r="AA346" i="3" s="1"/>
  <c r="Z306" i="3"/>
  <c r="AA306" i="3" s="1"/>
  <c r="S299" i="3"/>
  <c r="N54" i="6"/>
  <c r="AM279" i="3"/>
  <c r="AQ279" i="3" s="1"/>
  <c r="N79" i="4"/>
  <c r="L79" i="4"/>
  <c r="O55" i="6"/>
  <c r="Z279" i="3"/>
  <c r="AA279" i="3" s="1"/>
  <c r="Z228" i="3"/>
  <c r="AA228" i="3" s="1"/>
  <c r="AE301" i="3"/>
  <c r="I42" i="12" l="1"/>
  <c r="P42" i="6"/>
  <c r="S379" i="3"/>
  <c r="N72" i="6"/>
  <c r="P43" i="6"/>
  <c r="I43" i="12"/>
  <c r="R380" i="3"/>
  <c r="N97" i="4"/>
  <c r="L97" i="4"/>
  <c r="O73" i="6"/>
  <c r="N74" i="6"/>
  <c r="S383" i="3"/>
  <c r="R97" i="4"/>
  <c r="R73" i="6" s="1"/>
  <c r="S73" i="6"/>
  <c r="T48" i="12"/>
  <c r="U48" i="12" s="1"/>
  <c r="R48" i="12"/>
  <c r="S48" i="12" s="1"/>
  <c r="M48" i="12"/>
  <c r="N48" i="12"/>
  <c r="L48" i="12"/>
  <c r="A49" i="12"/>
  <c r="S375" i="3"/>
  <c r="AN375" i="3" s="1"/>
  <c r="AO374" i="3"/>
  <c r="AP374" i="3"/>
  <c r="AN374" i="3"/>
  <c r="Y378" i="3"/>
  <c r="AO378" i="3"/>
  <c r="AN378" i="3"/>
  <c r="AP378" i="3"/>
  <c r="Z374" i="3"/>
  <c r="U279" i="3"/>
  <c r="U228" i="3"/>
  <c r="Y299" i="3"/>
  <c r="AP299" i="3"/>
  <c r="AN299" i="3"/>
  <c r="AO299" i="3"/>
  <c r="U306" i="3"/>
  <c r="N80" i="4"/>
  <c r="L80" i="4"/>
  <c r="O56" i="6"/>
  <c r="S300" i="3"/>
  <c r="N55" i="6"/>
  <c r="U346" i="3"/>
  <c r="AE302" i="3"/>
  <c r="Y48" i="12" s="1"/>
  <c r="Y28" i="12" l="1"/>
  <c r="Y25" i="12"/>
  <c r="Y16" i="12"/>
  <c r="Y17" i="12"/>
  <c r="Y46" i="12"/>
  <c r="Y44" i="12"/>
  <c r="Y23" i="12"/>
  <c r="Y21" i="12"/>
  <c r="Y18" i="12"/>
  <c r="Y12" i="12"/>
  <c r="Y40" i="12"/>
  <c r="Y29" i="12"/>
  <c r="Y39" i="12"/>
  <c r="Y43" i="12"/>
  <c r="Y36" i="12"/>
  <c r="Y38" i="12"/>
  <c r="Y19" i="12"/>
  <c r="Y41" i="12"/>
  <c r="Y10" i="12"/>
  <c r="Y22" i="12"/>
  <c r="Y45" i="12"/>
  <c r="Y32" i="12"/>
  <c r="Y37" i="12"/>
  <c r="Y47" i="12"/>
  <c r="Y26" i="12"/>
  <c r="AP379" i="3"/>
  <c r="AN379" i="3"/>
  <c r="Y379" i="3"/>
  <c r="Z379" i="3" s="1"/>
  <c r="AA379" i="3" s="1"/>
  <c r="U379" i="3" s="1"/>
  <c r="AO379" i="3"/>
  <c r="Y35" i="12"/>
  <c r="Y14" i="12"/>
  <c r="Y13" i="12"/>
  <c r="Y30" i="12"/>
  <c r="AP383" i="3"/>
  <c r="AN383" i="3"/>
  <c r="AO383" i="3"/>
  <c r="Y383" i="3"/>
  <c r="Y11" i="12"/>
  <c r="Y31" i="12"/>
  <c r="Y42" i="12"/>
  <c r="Y33" i="12"/>
  <c r="Y20" i="12"/>
  <c r="Y15" i="12"/>
  <c r="Y24" i="12"/>
  <c r="Y34" i="12"/>
  <c r="N73" i="6"/>
  <c r="S380" i="3"/>
  <c r="Y9" i="12"/>
  <c r="Y27" i="12"/>
  <c r="Y375" i="3"/>
  <c r="Z375" i="3" s="1"/>
  <c r="AA375" i="3" s="1"/>
  <c r="AO375" i="3"/>
  <c r="AP375" i="3"/>
  <c r="H49" i="12"/>
  <c r="D49" i="12"/>
  <c r="C49" i="12"/>
  <c r="Q49" i="12" s="1"/>
  <c r="E49" i="12"/>
  <c r="J49" i="12"/>
  <c r="B49" i="12"/>
  <c r="F49" i="12"/>
  <c r="W48" i="12"/>
  <c r="X48" i="12" s="1"/>
  <c r="S377" i="3"/>
  <c r="Y377" i="3" s="1"/>
  <c r="AM374" i="3"/>
  <c r="AQ374" i="3" s="1"/>
  <c r="AM378" i="3"/>
  <c r="AQ378" i="3" s="1"/>
  <c r="Z378" i="3"/>
  <c r="AA378" i="3" s="1"/>
  <c r="R78" i="4"/>
  <c r="R81" i="4"/>
  <c r="R80" i="4"/>
  <c r="R79" i="4"/>
  <c r="AA374" i="3"/>
  <c r="U374" i="3" s="1"/>
  <c r="N93" i="4"/>
  <c r="N89" i="4"/>
  <c r="L87" i="4"/>
  <c r="L93" i="4"/>
  <c r="N91" i="4"/>
  <c r="N90" i="4"/>
  <c r="L90" i="4"/>
  <c r="N95" i="4"/>
  <c r="L94" i="4"/>
  <c r="N92" i="4"/>
  <c r="N94" i="4"/>
  <c r="L89" i="4"/>
  <c r="L91" i="4"/>
  <c r="N87" i="4"/>
  <c r="L95" i="4"/>
  <c r="L92" i="4"/>
  <c r="N88" i="4"/>
  <c r="L88" i="4"/>
  <c r="R86" i="4"/>
  <c r="R62" i="6" s="1"/>
  <c r="S301" i="3"/>
  <c r="N56" i="6"/>
  <c r="R36" i="4"/>
  <c r="R73" i="4"/>
  <c r="R65" i="4"/>
  <c r="L86" i="4"/>
  <c r="R63" i="4"/>
  <c r="N86" i="4"/>
  <c r="R40" i="4"/>
  <c r="R11" i="4"/>
  <c r="N76" i="4"/>
  <c r="R59" i="4"/>
  <c r="R72" i="4"/>
  <c r="L74" i="4"/>
  <c r="L75" i="4"/>
  <c r="R6" i="4"/>
  <c r="R20" i="4"/>
  <c r="R69" i="4"/>
  <c r="R35" i="4"/>
  <c r="R46" i="4"/>
  <c r="L76" i="4"/>
  <c r="L82" i="4"/>
  <c r="N74" i="4"/>
  <c r="L84" i="4"/>
  <c r="R71" i="4"/>
  <c r="N72" i="4"/>
  <c r="N83" i="4"/>
  <c r="R70" i="4"/>
  <c r="R57" i="4"/>
  <c r="R50" i="4"/>
  <c r="R39" i="4"/>
  <c r="R37" i="4"/>
  <c r="R30" i="4"/>
  <c r="N85" i="4"/>
  <c r="R32" i="4"/>
  <c r="R31" i="4"/>
  <c r="N71" i="4"/>
  <c r="R55" i="4"/>
  <c r="R21" i="4"/>
  <c r="R75" i="4"/>
  <c r="N69" i="4"/>
  <c r="L72" i="4"/>
  <c r="R76" i="4"/>
  <c r="L85" i="4"/>
  <c r="L71" i="4"/>
  <c r="G49" i="12" s="1"/>
  <c r="N73" i="4"/>
  <c r="R28" i="4"/>
  <c r="R62" i="4"/>
  <c r="L73" i="4"/>
  <c r="N84" i="4"/>
  <c r="R33" i="4"/>
  <c r="R45" i="4"/>
  <c r="R43" i="4"/>
  <c r="R18" i="4"/>
  <c r="R42" i="4"/>
  <c r="L69" i="4"/>
  <c r="G47" i="12" s="1"/>
  <c r="R47" i="12" s="1"/>
  <c r="S47" i="12" s="1"/>
  <c r="R58" i="4"/>
  <c r="R60" i="4"/>
  <c r="R22" i="4"/>
  <c r="R26" i="4"/>
  <c r="R54" i="4"/>
  <c r="R48" i="4"/>
  <c r="N75" i="4"/>
  <c r="R66" i="4"/>
  <c r="R52" i="4"/>
  <c r="R15" i="4"/>
  <c r="R41" i="4"/>
  <c r="R9" i="4"/>
  <c r="R49" i="4"/>
  <c r="N82" i="4"/>
  <c r="R61" i="4"/>
  <c r="R51" i="4"/>
  <c r="R44" i="4"/>
  <c r="R74" i="4"/>
  <c r="R29" i="4"/>
  <c r="L83" i="4"/>
  <c r="AM299" i="3"/>
  <c r="AQ299" i="3" s="1"/>
  <c r="Y300" i="3"/>
  <c r="AP300" i="3"/>
  <c r="AN300" i="3"/>
  <c r="AO300" i="3"/>
  <c r="Z299" i="3"/>
  <c r="AA299" i="3" s="1"/>
  <c r="AM379" i="3" l="1"/>
  <c r="AQ379" i="3" s="1"/>
  <c r="AN380" i="3"/>
  <c r="AO380" i="3"/>
  <c r="Y380" i="3"/>
  <c r="Z380" i="3" s="1"/>
  <c r="AA380" i="3" s="1"/>
  <c r="U380" i="3" s="1"/>
  <c r="AP380" i="3"/>
  <c r="AM383" i="3"/>
  <c r="AQ383" i="3" s="1"/>
  <c r="Z383" i="3"/>
  <c r="AA383" i="3" s="1"/>
  <c r="U383" i="3" s="1"/>
  <c r="T49" i="12"/>
  <c r="U49" i="12" s="1"/>
  <c r="R49" i="12"/>
  <c r="S49" i="12" s="1"/>
  <c r="M49" i="12"/>
  <c r="N49" i="12"/>
  <c r="AM375" i="3"/>
  <c r="AQ375" i="3" s="1"/>
  <c r="L49" i="12"/>
  <c r="A50" i="12"/>
  <c r="Y49" i="12"/>
  <c r="AP377" i="3"/>
  <c r="AO377" i="3"/>
  <c r="AN377" i="3"/>
  <c r="R37" i="6"/>
  <c r="K37" i="12"/>
  <c r="R46" i="6"/>
  <c r="K46" i="12"/>
  <c r="R43" i="6"/>
  <c r="K43" i="12"/>
  <c r="R47" i="6"/>
  <c r="K47" i="12"/>
  <c r="R50" i="6"/>
  <c r="R55" i="6"/>
  <c r="R42" i="6"/>
  <c r="K42" i="12"/>
  <c r="R29" i="6"/>
  <c r="K29" i="12"/>
  <c r="R17" i="6"/>
  <c r="K17" i="12"/>
  <c r="R52" i="6"/>
  <c r="R19" i="6"/>
  <c r="K19" i="12"/>
  <c r="R49" i="6"/>
  <c r="K49" i="12"/>
  <c r="R13" i="6"/>
  <c r="K13" i="12"/>
  <c r="R11" i="6"/>
  <c r="K11" i="12"/>
  <c r="R24" i="6"/>
  <c r="K24" i="12"/>
  <c r="P57" i="6"/>
  <c r="R34" i="6"/>
  <c r="K34" i="12"/>
  <c r="R12" i="6"/>
  <c r="K12" i="12"/>
  <c r="P48" i="6"/>
  <c r="I48" i="12"/>
  <c r="R25" i="6"/>
  <c r="K25" i="12"/>
  <c r="R9" i="6"/>
  <c r="K9" i="12"/>
  <c r="R27" i="6"/>
  <c r="K27" i="12"/>
  <c r="P55" i="6"/>
  <c r="R35" i="6"/>
  <c r="K35" i="12"/>
  <c r="R30" i="6"/>
  <c r="K30" i="12"/>
  <c r="R14" i="6"/>
  <c r="K14" i="12"/>
  <c r="R26" i="6"/>
  <c r="K26" i="12"/>
  <c r="P49" i="6"/>
  <c r="I49" i="12"/>
  <c r="P54" i="6"/>
  <c r="R18" i="6"/>
  <c r="K18" i="12"/>
  <c r="R10" i="6"/>
  <c r="K10" i="12"/>
  <c r="R16" i="6"/>
  <c r="K16" i="12"/>
  <c r="R32" i="6"/>
  <c r="K32" i="12"/>
  <c r="P47" i="6"/>
  <c r="I47" i="12"/>
  <c r="R39" i="6"/>
  <c r="K39" i="12"/>
  <c r="R36" i="6"/>
  <c r="K36" i="12"/>
  <c r="R44" i="6"/>
  <c r="K44" i="12"/>
  <c r="R56" i="6"/>
  <c r="R51" i="6"/>
  <c r="R28" i="6"/>
  <c r="K28" i="12"/>
  <c r="R15" i="6"/>
  <c r="K15" i="12"/>
  <c r="R22" i="6"/>
  <c r="K22" i="12"/>
  <c r="R40" i="6"/>
  <c r="K40" i="12"/>
  <c r="P62" i="6"/>
  <c r="R57" i="6"/>
  <c r="R41" i="6"/>
  <c r="K41" i="12"/>
  <c r="R53" i="6"/>
  <c r="R20" i="6"/>
  <c r="K20" i="12"/>
  <c r="R48" i="6"/>
  <c r="K48" i="12"/>
  <c r="R33" i="6"/>
  <c r="K33" i="12"/>
  <c r="P53" i="6"/>
  <c r="R54" i="6"/>
  <c r="R31" i="6"/>
  <c r="K31" i="12"/>
  <c r="R38" i="6"/>
  <c r="K38" i="12"/>
  <c r="R21" i="6"/>
  <c r="K21" i="12"/>
  <c r="R23" i="6"/>
  <c r="K23" i="12"/>
  <c r="R45" i="6"/>
  <c r="K45" i="12"/>
  <c r="U378" i="3"/>
  <c r="Z377" i="3"/>
  <c r="AA377" i="3" s="1"/>
  <c r="U375" i="3"/>
  <c r="S372" i="3"/>
  <c r="N71" i="6"/>
  <c r="S371" i="3"/>
  <c r="N70" i="6"/>
  <c r="N69" i="6"/>
  <c r="S370" i="3"/>
  <c r="S369" i="3"/>
  <c r="N68" i="6"/>
  <c r="N63" i="6"/>
  <c r="S364" i="3"/>
  <c r="N64" i="6"/>
  <c r="S365" i="3"/>
  <c r="N67" i="6"/>
  <c r="S368" i="3"/>
  <c r="N66" i="6"/>
  <c r="S367" i="3"/>
  <c r="N65" i="6"/>
  <c r="S366" i="3"/>
  <c r="AO363" i="3"/>
  <c r="Y363" i="3"/>
  <c r="AN363" i="3"/>
  <c r="AP363" i="3"/>
  <c r="AM300" i="3"/>
  <c r="AQ300" i="3" s="1"/>
  <c r="S310" i="3"/>
  <c r="N61" i="6"/>
  <c r="S239" i="3"/>
  <c r="S349" i="3"/>
  <c r="S361" i="3"/>
  <c r="N53" i="6"/>
  <c r="S237" i="3"/>
  <c r="S290" i="3"/>
  <c r="S357" i="3"/>
  <c r="S314" i="3"/>
  <c r="N51" i="6"/>
  <c r="S362" i="3"/>
  <c r="N62" i="6"/>
  <c r="S282" i="3"/>
  <c r="S235" i="3"/>
  <c r="S312" i="3"/>
  <c r="S281" i="3"/>
  <c r="S305" i="3"/>
  <c r="S234" i="3"/>
  <c r="S348" i="3"/>
  <c r="N47" i="6"/>
  <c r="S313" i="3"/>
  <c r="S291" i="3"/>
  <c r="S358" i="3"/>
  <c r="S236" i="3"/>
  <c r="N50" i="6"/>
  <c r="Z300" i="3"/>
  <c r="AA300" i="3" s="1"/>
  <c r="S309" i="3"/>
  <c r="N60" i="6"/>
  <c r="N81" i="4"/>
  <c r="L81" i="4"/>
  <c r="S382" i="3" s="1"/>
  <c r="O57" i="6"/>
  <c r="S308" i="3"/>
  <c r="N59" i="6"/>
  <c r="S311" i="3"/>
  <c r="S233" i="3"/>
  <c r="S280" i="3"/>
  <c r="S347" i="3"/>
  <c r="N49" i="6"/>
  <c r="U299" i="3"/>
  <c r="S307" i="3"/>
  <c r="N58" i="6"/>
  <c r="S359" i="3"/>
  <c r="S238" i="3"/>
  <c r="S360" i="3"/>
  <c r="N52" i="6"/>
  <c r="Y301" i="3"/>
  <c r="AO301" i="3"/>
  <c r="AN301" i="3"/>
  <c r="AP301" i="3"/>
  <c r="L6" i="4"/>
  <c r="O9" i="6"/>
  <c r="AM380" i="3" l="1"/>
  <c r="AQ380" i="3" s="1"/>
  <c r="AP382" i="3"/>
  <c r="AN382" i="3"/>
  <c r="AO382" i="3"/>
  <c r="Y382" i="3"/>
  <c r="Z382" i="3" s="1"/>
  <c r="AM377" i="3"/>
  <c r="AQ377" i="3" s="1"/>
  <c r="H50" i="12"/>
  <c r="I50" i="12"/>
  <c r="B50" i="12"/>
  <c r="F50" i="12"/>
  <c r="C50" i="12"/>
  <c r="Q50" i="12" s="1"/>
  <c r="J50" i="12"/>
  <c r="E50" i="12"/>
  <c r="D50" i="12"/>
  <c r="W49" i="12"/>
  <c r="X49" i="12" s="1"/>
  <c r="G50" i="12"/>
  <c r="P21" i="12"/>
  <c r="O21" i="12"/>
  <c r="P39" i="12"/>
  <c r="O39" i="12"/>
  <c r="P49" i="12"/>
  <c r="O49" i="12"/>
  <c r="P33" i="12"/>
  <c r="O33" i="12"/>
  <c r="P45" i="12"/>
  <c r="O45" i="12"/>
  <c r="P31" i="12"/>
  <c r="O31" i="12"/>
  <c r="O48" i="12"/>
  <c r="P48" i="12"/>
  <c r="P15" i="12"/>
  <c r="O15" i="12"/>
  <c r="T15" i="12" s="1"/>
  <c r="U15" i="12" s="1"/>
  <c r="W15" i="12" s="1"/>
  <c r="X15" i="12" s="1"/>
  <c r="O40" i="12"/>
  <c r="P40" i="12"/>
  <c r="O26" i="12"/>
  <c r="P26" i="12"/>
  <c r="P41" i="12"/>
  <c r="O41" i="12"/>
  <c r="O14" i="12"/>
  <c r="T14" i="12" s="1"/>
  <c r="U14" i="12" s="1"/>
  <c r="P14" i="12"/>
  <c r="P24" i="12"/>
  <c r="O24" i="12"/>
  <c r="O42" i="12"/>
  <c r="P42" i="12"/>
  <c r="O44" i="12"/>
  <c r="P44" i="12"/>
  <c r="P32" i="12"/>
  <c r="O32" i="12"/>
  <c r="O30" i="12"/>
  <c r="P30" i="12"/>
  <c r="P27" i="12"/>
  <c r="O27" i="12"/>
  <c r="O12" i="12"/>
  <c r="P12" i="12"/>
  <c r="P11" i="12"/>
  <c r="O11" i="12"/>
  <c r="O46" i="12"/>
  <c r="P46" i="12"/>
  <c r="O10" i="12"/>
  <c r="P10" i="12"/>
  <c r="P47" i="12"/>
  <c r="O47" i="12"/>
  <c r="O38" i="12"/>
  <c r="P38" i="12"/>
  <c r="O22" i="12"/>
  <c r="P22" i="12"/>
  <c r="O18" i="12"/>
  <c r="T18" i="12" s="1"/>
  <c r="U18" i="12" s="1"/>
  <c r="W18" i="12" s="1"/>
  <c r="X18" i="12" s="1"/>
  <c r="P18" i="12"/>
  <c r="P19" i="12"/>
  <c r="O19" i="12"/>
  <c r="T19" i="12" s="1"/>
  <c r="U19" i="12" s="1"/>
  <c r="W19" i="12" s="1"/>
  <c r="X19" i="12" s="1"/>
  <c r="P23" i="12"/>
  <c r="O23" i="12"/>
  <c r="O20" i="12"/>
  <c r="P20" i="12"/>
  <c r="O28" i="12"/>
  <c r="P28" i="12"/>
  <c r="P25" i="12"/>
  <c r="O25" i="12"/>
  <c r="P29" i="12"/>
  <c r="O29" i="12"/>
  <c r="P43" i="12"/>
  <c r="O43" i="12"/>
  <c r="O36" i="12"/>
  <c r="P36" i="12"/>
  <c r="O16" i="12"/>
  <c r="T16" i="12" s="1"/>
  <c r="U16" i="12" s="1"/>
  <c r="W16" i="12" s="1"/>
  <c r="X16" i="12" s="1"/>
  <c r="P16" i="12"/>
  <c r="P35" i="12"/>
  <c r="O35" i="12"/>
  <c r="O9" i="12"/>
  <c r="P9" i="12"/>
  <c r="O34" i="12"/>
  <c r="P34" i="12"/>
  <c r="P13" i="12"/>
  <c r="O13" i="12"/>
  <c r="P17" i="12"/>
  <c r="O17" i="12"/>
  <c r="T17" i="12" s="1"/>
  <c r="U17" i="12" s="1"/>
  <c r="W17" i="12" s="1"/>
  <c r="X17" i="12" s="1"/>
  <c r="P37" i="12"/>
  <c r="O37" i="12"/>
  <c r="S376" i="3"/>
  <c r="AN376" i="3" s="1"/>
  <c r="S315" i="3"/>
  <c r="AO315" i="3" s="1"/>
  <c r="G9" i="12"/>
  <c r="R9" i="12" s="1"/>
  <c r="S9" i="12" s="1"/>
  <c r="U377" i="3"/>
  <c r="AN367" i="3"/>
  <c r="Y367" i="3"/>
  <c r="AP367" i="3"/>
  <c r="AO367" i="3"/>
  <c r="AN369" i="3"/>
  <c r="AO369" i="3"/>
  <c r="AP369" i="3"/>
  <c r="Y369" i="3"/>
  <c r="AP368" i="3"/>
  <c r="AN368" i="3"/>
  <c r="Y368" i="3"/>
  <c r="Z368" i="3" s="1"/>
  <c r="AA368" i="3" s="1"/>
  <c r="U368" i="3" s="1"/>
  <c r="AO368" i="3"/>
  <c r="AP370" i="3"/>
  <c r="AO370" i="3"/>
  <c r="AN370" i="3"/>
  <c r="Y370" i="3"/>
  <c r="Z370" i="3" s="1"/>
  <c r="AA370" i="3" s="1"/>
  <c r="U370" i="3" s="1"/>
  <c r="AP365" i="3"/>
  <c r="AO365" i="3"/>
  <c r="AN365" i="3"/>
  <c r="Y365" i="3"/>
  <c r="AN371" i="3"/>
  <c r="Y371" i="3"/>
  <c r="Z371" i="3" s="1"/>
  <c r="AA371" i="3" s="1"/>
  <c r="U371" i="3" s="1"/>
  <c r="AO371" i="3"/>
  <c r="AP371" i="3"/>
  <c r="Y366" i="3"/>
  <c r="AO366" i="3"/>
  <c r="AP366" i="3"/>
  <c r="AN366" i="3"/>
  <c r="Y364" i="3"/>
  <c r="AO364" i="3"/>
  <c r="AN364" i="3"/>
  <c r="AP364" i="3"/>
  <c r="AN372" i="3"/>
  <c r="AO372" i="3"/>
  <c r="AP372" i="3"/>
  <c r="Y372" i="3"/>
  <c r="Z372" i="3" s="1"/>
  <c r="AA372" i="3" s="1"/>
  <c r="U372" i="3" s="1"/>
  <c r="AM363" i="3"/>
  <c r="AQ363" i="3" s="1"/>
  <c r="Z363" i="3"/>
  <c r="AA363" i="3" s="1"/>
  <c r="Y291" i="3"/>
  <c r="Z291" i="3" s="1"/>
  <c r="AA291" i="3" s="1"/>
  <c r="U291" i="3" s="1"/>
  <c r="AP291" i="3"/>
  <c r="AN291" i="3"/>
  <c r="AO291" i="3"/>
  <c r="AP235" i="3"/>
  <c r="AN235" i="3"/>
  <c r="Y235" i="3"/>
  <c r="AO235" i="3"/>
  <c r="Y237" i="3"/>
  <c r="AP237" i="3"/>
  <c r="AN237" i="3"/>
  <c r="AO237" i="3"/>
  <c r="Y347" i="3"/>
  <c r="AP347" i="3"/>
  <c r="AN347" i="3"/>
  <c r="AO347" i="3"/>
  <c r="Y360" i="3"/>
  <c r="AO360" i="3"/>
  <c r="AP360" i="3"/>
  <c r="AN360" i="3"/>
  <c r="Y313" i="3"/>
  <c r="AO313" i="3"/>
  <c r="AN313" i="3"/>
  <c r="AP313" i="3"/>
  <c r="Y282" i="3"/>
  <c r="AP282" i="3"/>
  <c r="AO282" i="3"/>
  <c r="AN282" i="3"/>
  <c r="AP358" i="3"/>
  <c r="AO358" i="3"/>
  <c r="AN358" i="3"/>
  <c r="Y358" i="3"/>
  <c r="Y359" i="3"/>
  <c r="AO359" i="3"/>
  <c r="AN359" i="3"/>
  <c r="AP359" i="3"/>
  <c r="Y311" i="3"/>
  <c r="AP311" i="3"/>
  <c r="AN311" i="3"/>
  <c r="AO311" i="3"/>
  <c r="AN309" i="3"/>
  <c r="AO309" i="3"/>
  <c r="Y309" i="3"/>
  <c r="AP309" i="3"/>
  <c r="Y361" i="3"/>
  <c r="AP361" i="3"/>
  <c r="AN361" i="3"/>
  <c r="AO361" i="3"/>
  <c r="Y312" i="3"/>
  <c r="AN312" i="3"/>
  <c r="AP312" i="3"/>
  <c r="AO312" i="3"/>
  <c r="U300" i="3"/>
  <c r="AN348" i="3"/>
  <c r="AP348" i="3"/>
  <c r="AO348" i="3"/>
  <c r="Y348" i="3"/>
  <c r="AO362" i="3"/>
  <c r="Y362" i="3"/>
  <c r="AP362" i="3"/>
  <c r="AN362" i="3"/>
  <c r="Y349" i="3"/>
  <c r="AN349" i="3"/>
  <c r="AO349" i="3"/>
  <c r="AP349" i="3"/>
  <c r="Y280" i="3"/>
  <c r="AP280" i="3"/>
  <c r="AO280" i="3"/>
  <c r="AN280" i="3"/>
  <c r="AM301" i="3"/>
  <c r="AQ301" i="3" s="1"/>
  <c r="AN234" i="3"/>
  <c r="AO234" i="3"/>
  <c r="Y234" i="3"/>
  <c r="AP234" i="3"/>
  <c r="AN239" i="3"/>
  <c r="AO239" i="3"/>
  <c r="AP239" i="3"/>
  <c r="Y239" i="3"/>
  <c r="S302" i="3"/>
  <c r="N57" i="6"/>
  <c r="Y290" i="3"/>
  <c r="Z290" i="3" s="1"/>
  <c r="AA290" i="3" s="1"/>
  <c r="U290" i="3" s="1"/>
  <c r="AP290" i="3"/>
  <c r="AO290" i="3"/>
  <c r="AN290" i="3"/>
  <c r="AP238" i="3"/>
  <c r="AO238" i="3"/>
  <c r="Y238" i="3"/>
  <c r="AN238" i="3"/>
  <c r="Y233" i="3"/>
  <c r="AO233" i="3"/>
  <c r="AN233" i="3"/>
  <c r="AP233" i="3"/>
  <c r="Y307" i="3"/>
  <c r="AP307" i="3"/>
  <c r="AO307" i="3"/>
  <c r="AN307" i="3"/>
  <c r="Y308" i="3"/>
  <c r="AP308" i="3"/>
  <c r="AN308" i="3"/>
  <c r="AO308" i="3"/>
  <c r="AN305" i="3"/>
  <c r="Y305" i="3"/>
  <c r="AO305" i="3"/>
  <c r="AP305" i="3"/>
  <c r="AO314" i="3"/>
  <c r="AP314" i="3"/>
  <c r="AN314" i="3"/>
  <c r="Y314" i="3"/>
  <c r="Z301" i="3"/>
  <c r="AA301" i="3" s="1"/>
  <c r="Y236" i="3"/>
  <c r="AP236" i="3"/>
  <c r="AN236" i="3"/>
  <c r="AO236" i="3"/>
  <c r="Y281" i="3"/>
  <c r="AN281" i="3"/>
  <c r="AP281" i="3"/>
  <c r="AO281" i="3"/>
  <c r="AO357" i="3"/>
  <c r="AN357" i="3"/>
  <c r="Y357" i="3"/>
  <c r="AP357" i="3"/>
  <c r="AP310" i="3"/>
  <c r="AO310" i="3"/>
  <c r="Y310" i="3"/>
  <c r="AN310" i="3"/>
  <c r="N9" i="6"/>
  <c r="S2" i="3"/>
  <c r="AP2" i="3" s="1"/>
  <c r="S98" i="3"/>
  <c r="AN98" i="3" s="1"/>
  <c r="S42" i="3"/>
  <c r="S116" i="3"/>
  <c r="S67" i="3"/>
  <c r="S163" i="3"/>
  <c r="S11" i="3"/>
  <c r="S6" i="3"/>
  <c r="S244" i="3"/>
  <c r="V49" i="12" l="1"/>
  <c r="W14" i="12"/>
  <c r="X14" i="12" s="1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AM382" i="3"/>
  <c r="AQ382" i="3" s="1"/>
  <c r="AA382" i="3"/>
  <c r="U382" i="3" s="1"/>
  <c r="R50" i="12"/>
  <c r="S50" i="12" s="1"/>
  <c r="T50" i="12"/>
  <c r="U50" i="12" s="1"/>
  <c r="M50" i="12"/>
  <c r="N50" i="12"/>
  <c r="Y315" i="3"/>
  <c r="Z315" i="3" s="1"/>
  <c r="AA315" i="3" s="1"/>
  <c r="Y50" i="12"/>
  <c r="A51" i="12"/>
  <c r="L50" i="12"/>
  <c r="K50" i="12"/>
  <c r="AP376" i="3"/>
  <c r="AN315" i="3"/>
  <c r="AP315" i="3"/>
  <c r="AO376" i="3"/>
  <c r="Y376" i="3"/>
  <c r="Z376" i="3" s="1"/>
  <c r="AA376" i="3" s="1"/>
  <c r="AM370" i="3"/>
  <c r="AQ370" i="3" s="1"/>
  <c r="AM367" i="3"/>
  <c r="AQ367" i="3" s="1"/>
  <c r="Z369" i="3"/>
  <c r="AA369" i="3" s="1"/>
  <c r="AM364" i="3"/>
  <c r="AQ364" i="3" s="1"/>
  <c r="Z364" i="3"/>
  <c r="AA364" i="3" s="1"/>
  <c r="AM371" i="3"/>
  <c r="AQ371" i="3" s="1"/>
  <c r="AM369" i="3"/>
  <c r="AQ369" i="3" s="1"/>
  <c r="AM366" i="3"/>
  <c r="AQ366" i="3" s="1"/>
  <c r="Z365" i="3"/>
  <c r="AA365" i="3" s="1"/>
  <c r="AM365" i="3"/>
  <c r="AQ365" i="3" s="1"/>
  <c r="AM368" i="3"/>
  <c r="AQ368" i="3" s="1"/>
  <c r="Z367" i="3"/>
  <c r="AA367" i="3" s="1"/>
  <c r="AM372" i="3"/>
  <c r="AQ372" i="3" s="1"/>
  <c r="Z366" i="3"/>
  <c r="AA366" i="3" s="1"/>
  <c r="U363" i="3"/>
  <c r="AM357" i="3"/>
  <c r="AQ357" i="3" s="1"/>
  <c r="AM307" i="3"/>
  <c r="AQ307" i="3" s="1"/>
  <c r="AM238" i="3"/>
  <c r="AQ238" i="3" s="1"/>
  <c r="U301" i="3"/>
  <c r="AM312" i="3"/>
  <c r="AQ312" i="3" s="1"/>
  <c r="AM281" i="3"/>
  <c r="AQ281" i="3" s="1"/>
  <c r="Y98" i="3"/>
  <c r="Z98" i="3" s="1"/>
  <c r="AA98" i="3" s="1"/>
  <c r="U98" i="3" s="1"/>
  <c r="AM314" i="3"/>
  <c r="AQ314" i="3" s="1"/>
  <c r="AM239" i="3"/>
  <c r="AQ239" i="3" s="1"/>
  <c r="AP98" i="3"/>
  <c r="Z236" i="3"/>
  <c r="AA236" i="3" s="1"/>
  <c r="Z238" i="3"/>
  <c r="AA238" i="3" s="1"/>
  <c r="AN302" i="3"/>
  <c r="AP302" i="3"/>
  <c r="Y302" i="3"/>
  <c r="AO302" i="3"/>
  <c r="AM234" i="3"/>
  <c r="AQ234" i="3" s="1"/>
  <c r="AM349" i="3"/>
  <c r="AQ349" i="3" s="1"/>
  <c r="AM361" i="3"/>
  <c r="AQ361" i="3" s="1"/>
  <c r="AM311" i="3"/>
  <c r="AQ311" i="3" s="1"/>
  <c r="AM358" i="3"/>
  <c r="AQ358" i="3" s="1"/>
  <c r="AM313" i="3"/>
  <c r="AQ313" i="3" s="1"/>
  <c r="AM347" i="3"/>
  <c r="AQ347" i="3" s="1"/>
  <c r="Z235" i="3"/>
  <c r="AA235" i="3" s="1"/>
  <c r="AM310" i="3"/>
  <c r="AQ310" i="3" s="1"/>
  <c r="Z305" i="3"/>
  <c r="AA305" i="3" s="1"/>
  <c r="Z239" i="3"/>
  <c r="AA239" i="3" s="1"/>
  <c r="Z349" i="3"/>
  <c r="AA349" i="3" s="1"/>
  <c r="AM235" i="3"/>
  <c r="AQ235" i="3" s="1"/>
  <c r="Z358" i="3"/>
  <c r="AA358" i="3" s="1"/>
  <c r="AM348" i="3"/>
  <c r="AQ348" i="3" s="1"/>
  <c r="Z310" i="3"/>
  <c r="AA310" i="3" s="1"/>
  <c r="AM305" i="3"/>
  <c r="AQ305" i="3" s="1"/>
  <c r="Z307" i="3"/>
  <c r="AA307" i="3" s="1"/>
  <c r="AM280" i="3"/>
  <c r="AQ280" i="3" s="1"/>
  <c r="AM362" i="3"/>
  <c r="AQ362" i="3" s="1"/>
  <c r="Z361" i="3"/>
  <c r="AA361" i="3" s="1"/>
  <c r="Z311" i="3"/>
  <c r="AA311" i="3" s="1"/>
  <c r="Z313" i="3"/>
  <c r="AA313" i="3" s="1"/>
  <c r="Z347" i="3"/>
  <c r="AA347" i="3" s="1"/>
  <c r="Z314" i="3"/>
  <c r="AA314" i="3" s="1"/>
  <c r="AM290" i="3"/>
  <c r="AQ290" i="3" s="1"/>
  <c r="AM282" i="3"/>
  <c r="AQ282" i="3" s="1"/>
  <c r="AM360" i="3"/>
  <c r="AQ360" i="3" s="1"/>
  <c r="Z281" i="3"/>
  <c r="AA281" i="3" s="1"/>
  <c r="AM308" i="3"/>
  <c r="AQ308" i="3" s="1"/>
  <c r="AM233" i="3"/>
  <c r="AQ233" i="3" s="1"/>
  <c r="Z362" i="3"/>
  <c r="AA362" i="3" s="1"/>
  <c r="Z309" i="3"/>
  <c r="AA309" i="3" s="1"/>
  <c r="AM359" i="3"/>
  <c r="AQ359" i="3" s="1"/>
  <c r="AM237" i="3"/>
  <c r="AQ237" i="3" s="1"/>
  <c r="AM291" i="3"/>
  <c r="AQ291" i="3" s="1"/>
  <c r="Z280" i="3"/>
  <c r="AA280" i="3" s="1"/>
  <c r="Z357" i="3"/>
  <c r="AA357" i="3" s="1"/>
  <c r="AM236" i="3"/>
  <c r="AQ236" i="3" s="1"/>
  <c r="Z308" i="3"/>
  <c r="AA308" i="3" s="1"/>
  <c r="Z233" i="3"/>
  <c r="AA233" i="3" s="1"/>
  <c r="Z234" i="3"/>
  <c r="AA234" i="3" s="1"/>
  <c r="Z348" i="3"/>
  <c r="AA348" i="3" s="1"/>
  <c r="Z312" i="3"/>
  <c r="AA312" i="3" s="1"/>
  <c r="AM309" i="3"/>
  <c r="AQ309" i="3" s="1"/>
  <c r="Z359" i="3"/>
  <c r="AA359" i="3" s="1"/>
  <c r="Z282" i="3"/>
  <c r="AA282" i="3" s="1"/>
  <c r="Z360" i="3"/>
  <c r="AA360" i="3" s="1"/>
  <c r="Z237" i="3"/>
  <c r="AA237" i="3" s="1"/>
  <c r="AO98" i="3"/>
  <c r="Y2" i="3"/>
  <c r="Z2" i="3" s="1"/>
  <c r="AA2" i="3" s="1"/>
  <c r="AO2" i="3"/>
  <c r="AN2" i="3"/>
  <c r="Y42" i="3"/>
  <c r="AP42" i="3"/>
  <c r="AO42" i="3"/>
  <c r="AN42" i="3"/>
  <c r="Y6" i="3"/>
  <c r="AP6" i="3"/>
  <c r="AN6" i="3"/>
  <c r="AO6" i="3"/>
  <c r="AP11" i="3"/>
  <c r="AO11" i="3"/>
  <c r="Y11" i="3"/>
  <c r="AN11" i="3"/>
  <c r="AN67" i="3"/>
  <c r="Y67" i="3"/>
  <c r="AP67" i="3"/>
  <c r="AO67" i="3"/>
  <c r="AN116" i="3"/>
  <c r="Y116" i="3"/>
  <c r="AP116" i="3"/>
  <c r="AO116" i="3"/>
  <c r="AO163" i="3"/>
  <c r="AP163" i="3"/>
  <c r="AN163" i="3"/>
  <c r="Y163" i="3"/>
  <c r="AO244" i="3"/>
  <c r="AP244" i="3"/>
  <c r="Y244" i="3"/>
  <c r="AN244" i="3"/>
  <c r="AM315" i="3" l="1"/>
  <c r="AQ315" i="3" s="1"/>
  <c r="AM376" i="3"/>
  <c r="AQ376" i="3" s="1"/>
  <c r="C51" i="12"/>
  <c r="Q51" i="12" s="1"/>
  <c r="D51" i="12"/>
  <c r="I51" i="12"/>
  <c r="J51" i="12"/>
  <c r="B51" i="12"/>
  <c r="H51" i="12"/>
  <c r="F51" i="12"/>
  <c r="E51" i="12"/>
  <c r="G51" i="12"/>
  <c r="W50" i="12"/>
  <c r="X50" i="12" s="1"/>
  <c r="V50" i="12"/>
  <c r="O50" i="12"/>
  <c r="P50" i="12"/>
  <c r="U376" i="3"/>
  <c r="U367" i="3"/>
  <c r="U364" i="3"/>
  <c r="U365" i="3"/>
  <c r="U369" i="3"/>
  <c r="U366" i="3"/>
  <c r="U233" i="3"/>
  <c r="U235" i="3"/>
  <c r="U239" i="3"/>
  <c r="U234" i="3"/>
  <c r="U349" i="3"/>
  <c r="U362" i="3"/>
  <c r="U307" i="3"/>
  <c r="U348" i="3"/>
  <c r="U313" i="3"/>
  <c r="AM98" i="3"/>
  <c r="AQ98" i="3" s="1"/>
  <c r="U305" i="3"/>
  <c r="U238" i="3"/>
  <c r="U312" i="3"/>
  <c r="U308" i="3"/>
  <c r="U309" i="3"/>
  <c r="U360" i="3"/>
  <c r="U310" i="3"/>
  <c r="U282" i="3"/>
  <c r="U357" i="3"/>
  <c r="U311" i="3"/>
  <c r="Z302" i="3"/>
  <c r="AA302" i="3" s="1"/>
  <c r="U359" i="3"/>
  <c r="U280" i="3"/>
  <c r="U314" i="3"/>
  <c r="U361" i="3"/>
  <c r="AM302" i="3"/>
  <c r="AQ302" i="3" s="1"/>
  <c r="U237" i="3"/>
  <c r="U347" i="3"/>
  <c r="U358" i="3"/>
  <c r="U281" i="3"/>
  <c r="U236" i="3"/>
  <c r="AM2" i="3"/>
  <c r="AQ2" i="3" s="1"/>
  <c r="AM11" i="3"/>
  <c r="AQ11" i="3" s="1"/>
  <c r="AM42" i="3"/>
  <c r="AQ42" i="3" s="1"/>
  <c r="AM163" i="3"/>
  <c r="AQ163" i="3" s="1"/>
  <c r="AM244" i="3"/>
  <c r="AQ244" i="3" s="1"/>
  <c r="Z67" i="3"/>
  <c r="AA67" i="3" s="1"/>
  <c r="U2" i="3"/>
  <c r="U315" i="3"/>
  <c r="Z11" i="3"/>
  <c r="Z116" i="3"/>
  <c r="AA116" i="3" s="1"/>
  <c r="AM6" i="3"/>
  <c r="AQ6" i="3" s="1"/>
  <c r="AM67" i="3"/>
  <c r="AQ67" i="3" s="1"/>
  <c r="Z6" i="3"/>
  <c r="AA6" i="3" s="1"/>
  <c r="Z244" i="3"/>
  <c r="Z163" i="3"/>
  <c r="AM116" i="3"/>
  <c r="AQ116" i="3" s="1"/>
  <c r="Z42" i="3"/>
  <c r="AA42" i="3" s="1"/>
  <c r="U42" i="3" s="1"/>
  <c r="T51" i="12" l="1"/>
  <c r="U51" i="12" s="1"/>
  <c r="R51" i="12"/>
  <c r="S51" i="12" s="1"/>
  <c r="M51" i="12"/>
  <c r="N51" i="12"/>
  <c r="L51" i="12"/>
  <c r="A52" i="12"/>
  <c r="K51" i="12"/>
  <c r="Y51" i="12"/>
  <c r="U302" i="3"/>
  <c r="AA11" i="3"/>
  <c r="U11" i="3" s="1"/>
  <c r="AA163" i="3"/>
  <c r="U163" i="3" s="1"/>
  <c r="U6" i="3"/>
  <c r="AA244" i="3"/>
  <c r="U244" i="3" s="1"/>
  <c r="U116" i="3"/>
  <c r="U67" i="3"/>
  <c r="O51" i="12" l="1"/>
  <c r="P51" i="12"/>
  <c r="H52" i="12"/>
  <c r="I52" i="12"/>
  <c r="J52" i="12"/>
  <c r="D52" i="12"/>
  <c r="C52" i="12"/>
  <c r="Q52" i="12" s="1"/>
  <c r="F52" i="12"/>
  <c r="E52" i="12"/>
  <c r="G52" i="12"/>
  <c r="B52" i="12"/>
  <c r="V51" i="12"/>
  <c r="W51" i="12"/>
  <c r="X51" i="12" s="1"/>
  <c r="R52" i="12" l="1"/>
  <c r="S52" i="12" s="1"/>
  <c r="T52" i="12"/>
  <c r="U52" i="12" s="1"/>
  <c r="M52" i="12"/>
  <c r="N52" i="12"/>
  <c r="Y52" i="12"/>
  <c r="K52" i="12"/>
  <c r="L52" i="12"/>
  <c r="A53" i="12"/>
  <c r="O52" i="12" l="1"/>
  <c r="W52" i="12"/>
  <c r="X52" i="12" s="1"/>
  <c r="V52" i="12"/>
  <c r="D53" i="12"/>
  <c r="I53" i="12"/>
  <c r="J53" i="12"/>
  <c r="B53" i="12"/>
  <c r="E53" i="12"/>
  <c r="F53" i="12"/>
  <c r="H53" i="12"/>
  <c r="G53" i="12"/>
  <c r="C53" i="12"/>
  <c r="Q53" i="12" s="1"/>
  <c r="P52" i="12"/>
  <c r="T53" i="12" l="1"/>
  <c r="U53" i="12" s="1"/>
  <c r="R53" i="12"/>
  <c r="S53" i="12" s="1"/>
  <c r="M53" i="12"/>
  <c r="N53" i="12"/>
  <c r="K53" i="12"/>
  <c r="A54" i="12"/>
  <c r="L53" i="12"/>
  <c r="Y53" i="12"/>
  <c r="W53" i="12" l="1"/>
  <c r="X53" i="12" s="1"/>
  <c r="V53" i="12"/>
  <c r="D54" i="12"/>
  <c r="J54" i="12"/>
  <c r="B54" i="12"/>
  <c r="E54" i="12"/>
  <c r="C54" i="12"/>
  <c r="Q54" i="12" s="1"/>
  <c r="H54" i="12"/>
  <c r="G54" i="12"/>
  <c r="F54" i="12"/>
  <c r="I54" i="12"/>
  <c r="P53" i="12"/>
  <c r="O53" i="12"/>
  <c r="T54" i="12" l="1"/>
  <c r="U54" i="12" s="1"/>
  <c r="R54" i="12"/>
  <c r="S54" i="12" s="1"/>
  <c r="M54" i="12"/>
  <c r="N54" i="12"/>
  <c r="Y54" i="12"/>
  <c r="L54" i="12"/>
  <c r="A55" i="12"/>
  <c r="K54" i="12"/>
  <c r="P54" i="12" l="1"/>
  <c r="O54" i="12"/>
  <c r="V54" i="12"/>
  <c r="W54" i="12"/>
  <c r="X54" i="12" s="1"/>
  <c r="G55" i="12"/>
  <c r="C55" i="12"/>
  <c r="Q55" i="12" s="1"/>
  <c r="I55" i="12"/>
  <c r="F55" i="12"/>
  <c r="E55" i="12"/>
  <c r="J55" i="12"/>
  <c r="D55" i="12"/>
  <c r="B55" i="12"/>
  <c r="H55" i="12"/>
  <c r="R55" i="12" l="1"/>
  <c r="S55" i="12" s="1"/>
  <c r="T55" i="12"/>
  <c r="U55" i="12" s="1"/>
  <c r="M55" i="12"/>
  <c r="N55" i="12"/>
  <c r="K55" i="12"/>
  <c r="A56" i="12"/>
  <c r="L55" i="12"/>
  <c r="Y55" i="12"/>
  <c r="P55" i="12" l="1"/>
  <c r="O55" i="12"/>
  <c r="W55" i="12"/>
  <c r="X55" i="12" s="1"/>
  <c r="V55" i="12"/>
  <c r="D56" i="12"/>
  <c r="I56" i="12"/>
  <c r="E56" i="12"/>
  <c r="J56" i="12"/>
  <c r="C56" i="12"/>
  <c r="Q56" i="12" s="1"/>
  <c r="H56" i="12"/>
  <c r="B56" i="12"/>
  <c r="G56" i="12"/>
  <c r="F56" i="12"/>
  <c r="T56" i="12" l="1"/>
  <c r="U56" i="12" s="1"/>
  <c r="R56" i="12"/>
  <c r="S56" i="12" s="1"/>
  <c r="M56" i="12"/>
  <c r="N56" i="12"/>
  <c r="A57" i="12"/>
  <c r="L56" i="12"/>
  <c r="K56" i="12"/>
  <c r="Y56" i="12"/>
  <c r="P56" i="12" l="1"/>
  <c r="O56" i="12"/>
  <c r="W56" i="12"/>
  <c r="X56" i="12" s="1"/>
  <c r="V56" i="12"/>
  <c r="E57" i="12"/>
  <c r="H57" i="12"/>
  <c r="C57" i="12"/>
  <c r="Q57" i="12" s="1"/>
  <c r="F57" i="12"/>
  <c r="J57" i="12"/>
  <c r="D57" i="12"/>
  <c r="B57" i="12"/>
  <c r="I57" i="12"/>
  <c r="G57" i="12"/>
  <c r="T57" i="12" l="1"/>
  <c r="U57" i="12" s="1"/>
  <c r="R57" i="12"/>
  <c r="S57" i="12" s="1"/>
  <c r="M57" i="12"/>
  <c r="N57" i="12"/>
  <c r="Y57" i="12"/>
  <c r="L57" i="12"/>
  <c r="A58" i="12"/>
  <c r="K57" i="12"/>
  <c r="P57" i="12" l="1"/>
  <c r="O57" i="12"/>
  <c r="B58" i="12"/>
  <c r="D58" i="12"/>
  <c r="J58" i="12"/>
  <c r="C58" i="12"/>
  <c r="Q58" i="12" s="1"/>
  <c r="H58" i="12"/>
  <c r="G58" i="12"/>
  <c r="E58" i="12"/>
  <c r="I58" i="12"/>
  <c r="F58" i="12"/>
  <c r="V57" i="12"/>
  <c r="W57" i="12"/>
  <c r="X57" i="12" s="1"/>
  <c r="R58" i="12" l="1"/>
  <c r="S58" i="12" s="1"/>
  <c r="M58" i="12"/>
  <c r="N58" i="12"/>
  <c r="Y58" i="12"/>
  <c r="A59" i="12"/>
  <c r="K58" i="12"/>
  <c r="L58" i="12"/>
  <c r="O58" i="12" l="1"/>
  <c r="P58" i="12"/>
  <c r="B59" i="12"/>
  <c r="E59" i="12"/>
  <c r="I59" i="12"/>
  <c r="F59" i="12"/>
  <c r="C59" i="12"/>
  <c r="Q59" i="12" s="1"/>
  <c r="G59" i="12"/>
  <c r="D59" i="12"/>
  <c r="H59" i="12"/>
  <c r="J59" i="12"/>
  <c r="T58" i="12" l="1"/>
  <c r="U58" i="12" s="1"/>
  <c r="V58" i="12" s="1"/>
  <c r="R59" i="12"/>
  <c r="S59" i="12" s="1"/>
  <c r="M59" i="12"/>
  <c r="N59" i="12"/>
  <c r="Y59" i="12"/>
  <c r="A60" i="12"/>
  <c r="L59" i="12"/>
  <c r="K59" i="12"/>
  <c r="W58" i="12" l="1"/>
  <c r="X58" i="12" s="1"/>
  <c r="O59" i="12"/>
  <c r="P59" i="12"/>
  <c r="J60" i="12"/>
  <c r="B60" i="12"/>
  <c r="H60" i="12"/>
  <c r="E60" i="12"/>
  <c r="F60" i="12"/>
  <c r="C60" i="12"/>
  <c r="Q60" i="12" s="1"/>
  <c r="I60" i="12"/>
  <c r="D60" i="12"/>
  <c r="G60" i="12"/>
  <c r="R60" i="12" l="1"/>
  <c r="S60" i="12" s="1"/>
  <c r="T59" i="12"/>
  <c r="U59" i="12" s="1"/>
  <c r="M60" i="12"/>
  <c r="N60" i="12"/>
  <c r="Y60" i="12"/>
  <c r="A61" i="12"/>
  <c r="L60" i="12"/>
  <c r="K60" i="12"/>
  <c r="W59" i="12" l="1"/>
  <c r="X59" i="12" s="1"/>
  <c r="V59" i="12"/>
  <c r="O60" i="12"/>
  <c r="P60" i="12"/>
  <c r="B61" i="12"/>
  <c r="E61" i="12"/>
  <c r="G61" i="12"/>
  <c r="F61" i="12"/>
  <c r="I61" i="12"/>
  <c r="H61" i="12"/>
  <c r="J61" i="12"/>
  <c r="C61" i="12"/>
  <c r="Q61" i="12" s="1"/>
  <c r="D61" i="12"/>
  <c r="R61" i="12" l="1"/>
  <c r="S61" i="12" s="1"/>
  <c r="T60" i="12"/>
  <c r="U60" i="12" s="1"/>
  <c r="M61" i="12"/>
  <c r="N61" i="12"/>
  <c r="Y61" i="12"/>
  <c r="K61" i="12"/>
  <c r="A62" i="12"/>
  <c r="L61" i="12"/>
  <c r="V60" i="12" l="1"/>
  <c r="W60" i="12"/>
  <c r="X60" i="12" s="1"/>
  <c r="P61" i="12"/>
  <c r="O61" i="12"/>
  <c r="H62" i="12"/>
  <c r="E62" i="12"/>
  <c r="J62" i="12"/>
  <c r="I62" i="12"/>
  <c r="B62" i="12"/>
  <c r="C62" i="12"/>
  <c r="Q62" i="12" s="1"/>
  <c r="G62" i="12"/>
  <c r="D62" i="12"/>
  <c r="F62" i="12"/>
  <c r="R62" i="12" l="1"/>
  <c r="S62" i="12" s="1"/>
  <c r="T61" i="12"/>
  <c r="U61" i="12" s="1"/>
  <c r="M62" i="12"/>
  <c r="N62" i="12"/>
  <c r="Y62" i="12"/>
  <c r="L62" i="12"/>
  <c r="K62" i="12"/>
  <c r="A63" i="12"/>
  <c r="W61" i="12" l="1"/>
  <c r="X61" i="12" s="1"/>
  <c r="V61" i="12"/>
  <c r="F63" i="12"/>
  <c r="C63" i="12"/>
  <c r="Q63" i="12" s="1"/>
  <c r="G63" i="12"/>
  <c r="J63" i="12"/>
  <c r="I63" i="12"/>
  <c r="E63" i="12"/>
  <c r="H63" i="12"/>
  <c r="B63" i="12"/>
  <c r="D63" i="12"/>
  <c r="O62" i="12"/>
  <c r="P62" i="12"/>
  <c r="T62" i="12" l="1"/>
  <c r="U62" i="12" s="1"/>
  <c r="R63" i="12"/>
  <c r="S63" i="12" s="1"/>
  <c r="M63" i="12"/>
  <c r="N63" i="12"/>
  <c r="L63" i="12"/>
  <c r="K63" i="12"/>
  <c r="A64" i="12"/>
  <c r="Y63" i="12"/>
  <c r="V62" i="12" l="1"/>
  <c r="W62" i="12"/>
  <c r="X62" i="12" s="1"/>
  <c r="B64" i="12"/>
  <c r="J64" i="12"/>
  <c r="D64" i="12"/>
  <c r="H64" i="12"/>
  <c r="F64" i="12"/>
  <c r="I64" i="12"/>
  <c r="E64" i="12"/>
  <c r="G64" i="12"/>
  <c r="C64" i="12"/>
  <c r="Q64" i="12" s="1"/>
  <c r="P63" i="12"/>
  <c r="O63" i="12"/>
  <c r="T63" i="12" l="1"/>
  <c r="U63" i="12" s="1"/>
  <c r="R64" i="12"/>
  <c r="S64" i="12" s="1"/>
  <c r="M64" i="12"/>
  <c r="N64" i="12"/>
  <c r="Y64" i="12"/>
  <c r="L64" i="12"/>
  <c r="K64" i="12"/>
  <c r="A65" i="12"/>
  <c r="V63" i="12" l="1"/>
  <c r="W63" i="12"/>
  <c r="X63" i="12" s="1"/>
  <c r="D65" i="12"/>
  <c r="I65" i="12"/>
  <c r="F65" i="12"/>
  <c r="G65" i="12"/>
  <c r="J65" i="12"/>
  <c r="C65" i="12"/>
  <c r="Q65" i="12" s="1"/>
  <c r="B65" i="12"/>
  <c r="H65" i="12"/>
  <c r="E65" i="12"/>
  <c r="O64" i="12"/>
  <c r="P64" i="12"/>
  <c r="R65" i="12" l="1"/>
  <c r="S65" i="12" s="1"/>
  <c r="T64" i="12"/>
  <c r="U64" i="12" s="1"/>
  <c r="M65" i="12"/>
  <c r="N65" i="12"/>
  <c r="K65" i="12"/>
  <c r="L65" i="12"/>
  <c r="A66" i="12"/>
  <c r="Y65" i="12"/>
  <c r="V64" i="12" l="1"/>
  <c r="W64" i="12"/>
  <c r="X64" i="12" s="1"/>
  <c r="I66" i="12"/>
  <c r="F66" i="12"/>
  <c r="G66" i="12"/>
  <c r="H66" i="12"/>
  <c r="B66" i="12"/>
  <c r="J66" i="12"/>
  <c r="E66" i="12"/>
  <c r="D66" i="12"/>
  <c r="C66" i="12"/>
  <c r="Q66" i="12" s="1"/>
  <c r="P65" i="12"/>
  <c r="O65" i="12"/>
  <c r="R66" i="12" l="1"/>
  <c r="S66" i="12" s="1"/>
  <c r="T65" i="12"/>
  <c r="U65" i="12" s="1"/>
  <c r="M66" i="12"/>
  <c r="N66" i="12"/>
  <c r="Y66" i="12"/>
  <c r="L66" i="12"/>
  <c r="A67" i="12"/>
  <c r="K66" i="12"/>
  <c r="W65" i="12" l="1"/>
  <c r="X65" i="12" s="1"/>
  <c r="V65" i="12"/>
  <c r="I67" i="12"/>
  <c r="H67" i="12"/>
  <c r="B67" i="12"/>
  <c r="J67" i="12"/>
  <c r="G67" i="12"/>
  <c r="E67" i="12"/>
  <c r="C67" i="12"/>
  <c r="Q67" i="12" s="1"/>
  <c r="D67" i="12"/>
  <c r="F67" i="12"/>
  <c r="O66" i="12"/>
  <c r="P66" i="12"/>
  <c r="R67" i="12" l="1"/>
  <c r="S67" i="12" s="1"/>
  <c r="T66" i="12"/>
  <c r="U66" i="12" s="1"/>
  <c r="M67" i="12"/>
  <c r="N67" i="12"/>
  <c r="Y67" i="12"/>
  <c r="L67" i="12"/>
  <c r="A68" i="12"/>
  <c r="K67" i="12"/>
  <c r="W66" i="12" l="1"/>
  <c r="X66" i="12" s="1"/>
  <c r="V66" i="12"/>
  <c r="P67" i="12"/>
  <c r="O67" i="12"/>
  <c r="H68" i="12"/>
  <c r="B68" i="12"/>
  <c r="J68" i="12"/>
  <c r="F68" i="12"/>
  <c r="E68" i="12"/>
  <c r="I68" i="12"/>
  <c r="C68" i="12"/>
  <c r="Q68" i="12" s="1"/>
  <c r="D68" i="12"/>
  <c r="G68" i="12"/>
  <c r="R68" i="12" l="1"/>
  <c r="S68" i="12" s="1"/>
  <c r="T67" i="12"/>
  <c r="U67" i="12" s="1"/>
  <c r="M68" i="12"/>
  <c r="N68" i="12"/>
  <c r="L68" i="12"/>
  <c r="A69" i="12"/>
  <c r="K68" i="12"/>
  <c r="Y68" i="12"/>
  <c r="W67" i="12" l="1"/>
  <c r="X67" i="12" s="1"/>
  <c r="V67" i="12"/>
  <c r="P68" i="12"/>
  <c r="O68" i="12"/>
  <c r="F69" i="12"/>
  <c r="E69" i="12"/>
  <c r="G69" i="12"/>
  <c r="I69" i="12"/>
  <c r="D69" i="12"/>
  <c r="J69" i="12"/>
  <c r="B69" i="12"/>
  <c r="H69" i="12"/>
  <c r="C69" i="12"/>
  <c r="Q69" i="12" s="1"/>
  <c r="T68" i="12" l="1"/>
  <c r="U68" i="12" s="1"/>
  <c r="R69" i="12"/>
  <c r="S69" i="12" s="1"/>
  <c r="M69" i="12"/>
  <c r="N69" i="12"/>
  <c r="Y69" i="12"/>
  <c r="K69" i="12"/>
  <c r="A70" i="12"/>
  <c r="L69" i="12"/>
  <c r="W68" i="12" l="1"/>
  <c r="X68" i="12" s="1"/>
  <c r="V68" i="12"/>
  <c r="F70" i="12"/>
  <c r="I70" i="12"/>
  <c r="E70" i="12"/>
  <c r="C70" i="12"/>
  <c r="Q70" i="12" s="1"/>
  <c r="B70" i="12"/>
  <c r="H70" i="12"/>
  <c r="D70" i="12"/>
  <c r="J70" i="12"/>
  <c r="G70" i="12"/>
  <c r="P69" i="12"/>
  <c r="O69" i="12"/>
  <c r="T69" i="12" l="1"/>
  <c r="U69" i="12" s="1"/>
  <c r="R70" i="12"/>
  <c r="S70" i="12" s="1"/>
  <c r="M70" i="12"/>
  <c r="N70" i="12"/>
  <c r="K70" i="12"/>
  <c r="L70" i="12"/>
  <c r="A71" i="12"/>
  <c r="Y70" i="12"/>
  <c r="V69" i="12" l="1"/>
  <c r="W69" i="12"/>
  <c r="X69" i="12" s="1"/>
  <c r="I71" i="12"/>
  <c r="G71" i="12"/>
  <c r="E71" i="12"/>
  <c r="J71" i="12"/>
  <c r="C71" i="12"/>
  <c r="Q71" i="12" s="1"/>
  <c r="H71" i="12"/>
  <c r="B71" i="12"/>
  <c r="D71" i="12"/>
  <c r="F71" i="12"/>
  <c r="O70" i="12"/>
  <c r="P70" i="12"/>
  <c r="T70" i="12" l="1"/>
  <c r="U70" i="12" s="1"/>
  <c r="R71" i="12"/>
  <c r="S71" i="12" s="1"/>
  <c r="M71" i="12"/>
  <c r="N71" i="12"/>
  <c r="L71" i="12"/>
  <c r="A72" i="12"/>
  <c r="K71" i="12"/>
  <c r="Y71" i="12"/>
  <c r="V70" i="12" l="1"/>
  <c r="W70" i="12"/>
  <c r="X70" i="12" s="1"/>
  <c r="P71" i="12"/>
  <c r="O71" i="12"/>
  <c r="F72" i="12"/>
  <c r="J72" i="12"/>
  <c r="G72" i="12"/>
  <c r="D72" i="12"/>
  <c r="B72" i="12"/>
  <c r="I72" i="12"/>
  <c r="H72" i="12"/>
  <c r="E72" i="12"/>
  <c r="C72" i="12"/>
  <c r="Q72" i="12" s="1"/>
  <c r="T71" i="12" l="1"/>
  <c r="U71" i="12" s="1"/>
  <c r="R72" i="12"/>
  <c r="S72" i="12" s="1"/>
  <c r="M72" i="12"/>
  <c r="N72" i="12"/>
  <c r="Y72" i="12"/>
  <c r="L72" i="12"/>
  <c r="A73" i="12"/>
  <c r="K72" i="12"/>
  <c r="V71" i="12" l="1"/>
  <c r="W71" i="12"/>
  <c r="X71" i="12" s="1"/>
  <c r="G73" i="12"/>
  <c r="C73" i="12"/>
  <c r="Q73" i="12" s="1"/>
  <c r="F73" i="12"/>
  <c r="H73" i="12"/>
  <c r="B73" i="12"/>
  <c r="I73" i="12"/>
  <c r="E73" i="12"/>
  <c r="D73" i="12"/>
  <c r="J73" i="12"/>
  <c r="O72" i="12"/>
  <c r="P72" i="12"/>
  <c r="R73" i="12" l="1"/>
  <c r="S73" i="12" s="1"/>
  <c r="T72" i="12"/>
  <c r="U72" i="12" s="1"/>
  <c r="M73" i="12"/>
  <c r="N73" i="12"/>
  <c r="L73" i="12"/>
  <c r="A74" i="12"/>
  <c r="K73" i="12"/>
  <c r="Y73" i="12"/>
  <c r="V72" i="12" l="1"/>
  <c r="W72" i="12"/>
  <c r="X72" i="12" s="1"/>
  <c r="P73" i="12"/>
  <c r="O73" i="12"/>
  <c r="G74" i="12"/>
  <c r="H74" i="12"/>
  <c r="C74" i="12"/>
  <c r="Q74" i="12" s="1"/>
  <c r="D74" i="12"/>
  <c r="B74" i="12"/>
  <c r="J74" i="12"/>
  <c r="F74" i="12"/>
  <c r="E74" i="12"/>
  <c r="I74" i="12"/>
  <c r="T73" i="12" l="1"/>
  <c r="U73" i="12" s="1"/>
  <c r="R74" i="12"/>
  <c r="S74" i="12" s="1"/>
  <c r="M74" i="12"/>
  <c r="N74" i="12"/>
  <c r="A75" i="12"/>
  <c r="K74" i="12"/>
  <c r="L74" i="12"/>
  <c r="Y74" i="12"/>
  <c r="V73" i="12" l="1"/>
  <c r="W73" i="12"/>
  <c r="X73" i="12" s="1"/>
  <c r="O74" i="12"/>
  <c r="P74" i="12"/>
  <c r="I75" i="12"/>
  <c r="E75" i="12"/>
  <c r="B75" i="12"/>
  <c r="C75" i="12"/>
  <c r="Q75" i="12" s="1"/>
  <c r="J75" i="12"/>
  <c r="G75" i="12"/>
  <c r="F75" i="12"/>
  <c r="D75" i="12"/>
  <c r="H75" i="12"/>
  <c r="T74" i="12" l="1"/>
  <c r="U74" i="12" s="1"/>
  <c r="V74" i="12" s="1"/>
  <c r="S75" i="12"/>
  <c r="T75" i="12"/>
  <c r="U75" i="12" s="1"/>
  <c r="R75" i="12"/>
  <c r="M75" i="12"/>
  <c r="N75" i="12"/>
  <c r="Y75" i="12"/>
  <c r="K75" i="12"/>
  <c r="A76" i="12"/>
  <c r="L75" i="12"/>
  <c r="W74" i="12" l="1"/>
  <c r="X74" i="12" s="1"/>
  <c r="V75" i="12"/>
  <c r="W75" i="12"/>
  <c r="X75" i="12" s="1"/>
  <c r="B76" i="12"/>
  <c r="G76" i="12"/>
  <c r="F76" i="12"/>
  <c r="E76" i="12"/>
  <c r="C76" i="12"/>
  <c r="Q76" i="12" s="1"/>
  <c r="J76" i="12"/>
  <c r="I76" i="12"/>
  <c r="D76" i="12"/>
  <c r="H76" i="12"/>
  <c r="P75" i="12"/>
  <c r="O75" i="12"/>
  <c r="S76" i="12" l="1"/>
  <c r="R76" i="12"/>
  <c r="T76" i="12"/>
  <c r="U76" i="12" s="1"/>
  <c r="M76" i="12"/>
  <c r="N76" i="12"/>
  <c r="Y76" i="12"/>
  <c r="A77" i="12"/>
  <c r="K76" i="12"/>
  <c r="L76" i="12"/>
  <c r="W76" i="12" l="1"/>
  <c r="X76" i="12" s="1"/>
  <c r="V76" i="12"/>
  <c r="O76" i="12"/>
  <c r="P76" i="12"/>
  <c r="J77" i="12"/>
  <c r="G77" i="12"/>
  <c r="I77" i="12"/>
  <c r="D77" i="12"/>
  <c r="F77" i="12"/>
  <c r="B77" i="12"/>
  <c r="H77" i="12"/>
  <c r="C77" i="12"/>
  <c r="Q77" i="12" s="1"/>
  <c r="E77" i="12"/>
  <c r="S77" i="12" l="1"/>
  <c r="T77" i="12"/>
  <c r="U77" i="12" s="1"/>
  <c r="R77" i="12"/>
  <c r="M77" i="12"/>
  <c r="N77" i="12"/>
  <c r="Y77" i="12"/>
  <c r="A78" i="12"/>
  <c r="L77" i="12"/>
  <c r="K77" i="12"/>
  <c r="P77" i="12" l="1"/>
  <c r="O77" i="12"/>
  <c r="F78" i="12"/>
  <c r="J78" i="12"/>
  <c r="C78" i="12"/>
  <c r="Q78" i="12" s="1"/>
  <c r="B78" i="12"/>
  <c r="I78" i="12"/>
  <c r="G78" i="12"/>
  <c r="D78" i="12"/>
  <c r="E78" i="12"/>
  <c r="H78" i="12"/>
  <c r="V77" i="12"/>
  <c r="W77" i="12"/>
  <c r="X77" i="12" s="1"/>
  <c r="T78" i="12" l="1"/>
  <c r="U78" i="12" s="1"/>
  <c r="R78" i="12"/>
  <c r="S78" i="12"/>
  <c r="M78" i="12"/>
  <c r="N78" i="12"/>
  <c r="L78" i="12"/>
  <c r="A79" i="12"/>
  <c r="K78" i="12"/>
  <c r="Y78" i="12"/>
  <c r="F79" i="12" l="1"/>
  <c r="J79" i="12"/>
  <c r="B79" i="12"/>
  <c r="D79" i="12"/>
  <c r="C79" i="12"/>
  <c r="Q79" i="12" s="1"/>
  <c r="H79" i="12"/>
  <c r="G79" i="12"/>
  <c r="E79" i="12"/>
  <c r="I79" i="12"/>
  <c r="O78" i="12"/>
  <c r="P78" i="12"/>
  <c r="V78" i="12"/>
  <c r="W78" i="12"/>
  <c r="X78" i="12" s="1"/>
  <c r="S79" i="12" l="1"/>
  <c r="R79" i="12"/>
  <c r="T79" i="12"/>
  <c r="U79" i="12" s="1"/>
  <c r="M79" i="12"/>
  <c r="N79" i="12"/>
  <c r="Y79" i="12"/>
  <c r="A80" i="12"/>
  <c r="K79" i="12"/>
  <c r="L79" i="12"/>
  <c r="P79" i="12" l="1"/>
  <c r="O79" i="12"/>
  <c r="W79" i="12"/>
  <c r="X79" i="12" s="1"/>
  <c r="V79" i="12"/>
  <c r="J80" i="12"/>
  <c r="F80" i="12"/>
  <c r="H80" i="12"/>
  <c r="I80" i="12"/>
  <c r="B80" i="12"/>
  <c r="E80" i="12"/>
  <c r="D80" i="12"/>
  <c r="C80" i="12"/>
  <c r="Q80" i="12" s="1"/>
  <c r="G80" i="12"/>
  <c r="T80" i="12" l="1"/>
  <c r="U80" i="12" s="1"/>
  <c r="S80" i="12"/>
  <c r="R80" i="12"/>
  <c r="M80" i="12"/>
  <c r="N80" i="12"/>
  <c r="Y80" i="12"/>
  <c r="K80" i="12"/>
  <c r="L80" i="12"/>
  <c r="A81" i="12"/>
  <c r="C81" i="12" l="1"/>
  <c r="Q81" i="12" s="1"/>
  <c r="G81" i="12"/>
  <c r="I81" i="12"/>
  <c r="F81" i="12"/>
  <c r="J81" i="12"/>
  <c r="E81" i="12"/>
  <c r="D81" i="12"/>
  <c r="B81" i="12"/>
  <c r="H81" i="12"/>
  <c r="V80" i="12"/>
  <c r="W80" i="12"/>
  <c r="X80" i="12" s="1"/>
  <c r="O80" i="12"/>
  <c r="P80" i="12"/>
  <c r="T81" i="12" l="1"/>
  <c r="U81" i="12" s="1"/>
  <c r="S81" i="12"/>
  <c r="R81" i="12"/>
  <c r="M81" i="12"/>
  <c r="N81" i="12"/>
  <c r="A82" i="12"/>
  <c r="K81" i="12"/>
  <c r="L81" i="12"/>
  <c r="Y81" i="12"/>
  <c r="D82" i="12" l="1"/>
  <c r="C82" i="12"/>
  <c r="Q82" i="12" s="1"/>
  <c r="E82" i="12"/>
  <c r="I82" i="12"/>
  <c r="F82" i="12"/>
  <c r="J82" i="12"/>
  <c r="H82" i="12"/>
  <c r="G82" i="12"/>
  <c r="B82" i="12"/>
  <c r="P81" i="12"/>
  <c r="O81" i="12"/>
  <c r="W81" i="12"/>
  <c r="X81" i="12" s="1"/>
  <c r="V81" i="12"/>
  <c r="R82" i="12" l="1"/>
  <c r="T82" i="12"/>
  <c r="U82" i="12" s="1"/>
  <c r="S82" i="12"/>
  <c r="M82" i="12"/>
  <c r="N82" i="12"/>
  <c r="Y82" i="12"/>
  <c r="L82" i="12"/>
  <c r="A83" i="12"/>
  <c r="K82" i="12"/>
  <c r="V82" i="12" l="1"/>
  <c r="W82" i="12"/>
  <c r="X82" i="12" s="1"/>
  <c r="P82" i="12"/>
  <c r="O82" i="12"/>
  <c r="G83" i="12"/>
  <c r="C83" i="12"/>
  <c r="Q83" i="12" s="1"/>
  <c r="J83" i="12"/>
  <c r="B83" i="12"/>
  <c r="F83" i="12"/>
  <c r="D83" i="12"/>
  <c r="E83" i="12"/>
  <c r="I83" i="12"/>
  <c r="H83" i="12"/>
  <c r="T83" i="12" l="1"/>
  <c r="U83" i="12" s="1"/>
  <c r="S83" i="12"/>
  <c r="R83" i="12"/>
  <c r="M83" i="12"/>
  <c r="N83" i="12"/>
  <c r="L83" i="12"/>
  <c r="A84" i="12"/>
  <c r="K83" i="12"/>
  <c r="Y83" i="12"/>
  <c r="V83" i="12" l="1"/>
  <c r="W83" i="12"/>
  <c r="X83" i="12" s="1"/>
  <c r="O83" i="12"/>
  <c r="P83" i="12"/>
  <c r="E84" i="12"/>
  <c r="I84" i="12"/>
  <c r="F84" i="12"/>
  <c r="D84" i="12"/>
  <c r="B84" i="12"/>
  <c r="G84" i="12"/>
  <c r="C84" i="12"/>
  <c r="Q84" i="12" s="1"/>
  <c r="J84" i="12"/>
  <c r="H84" i="12"/>
  <c r="R84" i="12" l="1"/>
  <c r="T84" i="12"/>
  <c r="U84" i="12" s="1"/>
  <c r="S84" i="12"/>
  <c r="M84" i="12"/>
  <c r="N84" i="12"/>
  <c r="A85" i="12"/>
  <c r="K84" i="12"/>
  <c r="L84" i="12"/>
  <c r="Y84" i="12"/>
  <c r="O84" i="12" l="1"/>
  <c r="P84" i="12"/>
  <c r="I85" i="12"/>
  <c r="D85" i="12"/>
  <c r="F85" i="12"/>
  <c r="E85" i="12"/>
  <c r="J85" i="12"/>
  <c r="G85" i="12"/>
  <c r="C85" i="12"/>
  <c r="Q85" i="12" s="1"/>
  <c r="H85" i="12"/>
  <c r="B85" i="12"/>
  <c r="V84" i="12"/>
  <c r="W84" i="12"/>
  <c r="X84" i="12" s="1"/>
  <c r="S85" i="12" l="1"/>
  <c r="T85" i="12"/>
  <c r="U85" i="12" s="1"/>
  <c r="R85" i="12"/>
  <c r="M85" i="12"/>
  <c r="N85" i="12"/>
  <c r="A86" i="12"/>
  <c r="L85" i="12"/>
  <c r="K85" i="12"/>
  <c r="Y85" i="12"/>
  <c r="O85" i="12" l="1"/>
  <c r="P85" i="12"/>
  <c r="G86" i="12"/>
  <c r="I86" i="12"/>
  <c r="H86" i="12"/>
  <c r="J86" i="12"/>
  <c r="C86" i="12"/>
  <c r="Q86" i="12" s="1"/>
  <c r="D86" i="12"/>
  <c r="B86" i="12"/>
  <c r="F86" i="12"/>
  <c r="E86" i="12"/>
  <c r="V85" i="12"/>
  <c r="W85" i="12"/>
  <c r="X85" i="12" s="1"/>
  <c r="T86" i="12" l="1"/>
  <c r="U86" i="12" s="1"/>
  <c r="S86" i="12"/>
  <c r="R86" i="12"/>
  <c r="M86" i="12"/>
  <c r="N86" i="12"/>
  <c r="A87" i="12"/>
  <c r="K86" i="12"/>
  <c r="L86" i="12"/>
  <c r="Y86" i="12"/>
  <c r="P86" i="12" l="1"/>
  <c r="O86" i="12"/>
  <c r="H87" i="12"/>
  <c r="E87" i="12"/>
  <c r="B87" i="12"/>
  <c r="I87" i="12"/>
  <c r="C87" i="12"/>
  <c r="Q87" i="12" s="1"/>
  <c r="J87" i="12"/>
  <c r="G87" i="12"/>
  <c r="D87" i="12"/>
  <c r="F87" i="12"/>
  <c r="W86" i="12"/>
  <c r="X86" i="12" s="1"/>
  <c r="V86" i="12"/>
  <c r="T87" i="12" l="1"/>
  <c r="U87" i="12" s="1"/>
  <c r="S87" i="12"/>
  <c r="R87" i="12"/>
  <c r="M87" i="12"/>
  <c r="N87" i="12"/>
  <c r="A88" i="12"/>
  <c r="K87" i="12"/>
  <c r="L87" i="12"/>
  <c r="Y87" i="12"/>
  <c r="O87" i="12" l="1"/>
  <c r="P87" i="12"/>
  <c r="F88" i="12"/>
  <c r="C88" i="12"/>
  <c r="Q88" i="12" s="1"/>
  <c r="B88" i="12"/>
  <c r="H88" i="12"/>
  <c r="D88" i="12"/>
  <c r="J88" i="12"/>
  <c r="E88" i="12"/>
  <c r="G88" i="12"/>
  <c r="I88" i="12"/>
  <c r="V87" i="12"/>
  <c r="W87" i="12"/>
  <c r="X87" i="12" s="1"/>
  <c r="T88" i="12" l="1"/>
  <c r="U88" i="12" s="1"/>
  <c r="R88" i="12"/>
  <c r="S88" i="12"/>
  <c r="M88" i="12"/>
  <c r="N88" i="12"/>
  <c r="Y88" i="12"/>
  <c r="A89" i="12"/>
  <c r="L88" i="12"/>
  <c r="K88" i="12"/>
  <c r="O88" i="12" l="1"/>
  <c r="P88" i="12"/>
  <c r="W88" i="12"/>
  <c r="X88" i="12" s="1"/>
  <c r="V88" i="12"/>
  <c r="F89" i="12"/>
  <c r="I89" i="12"/>
  <c r="D89" i="12"/>
  <c r="G89" i="12"/>
  <c r="B89" i="12"/>
  <c r="E89" i="12"/>
  <c r="C89" i="12"/>
  <c r="Q89" i="12" s="1"/>
  <c r="H89" i="12"/>
  <c r="J89" i="12"/>
  <c r="R89" i="12" l="1"/>
  <c r="T89" i="12"/>
  <c r="U89" i="12" s="1"/>
  <c r="S89" i="12"/>
  <c r="M89" i="12"/>
  <c r="N89" i="12"/>
  <c r="K89" i="12"/>
  <c r="L89" i="12"/>
  <c r="A90" i="12"/>
  <c r="Y89" i="12"/>
  <c r="V89" i="12" l="1"/>
  <c r="W89" i="12"/>
  <c r="X89" i="12" s="1"/>
  <c r="D90" i="12"/>
  <c r="C90" i="12"/>
  <c r="Q90" i="12" s="1"/>
  <c r="J90" i="12"/>
  <c r="G90" i="12"/>
  <c r="B90" i="12"/>
  <c r="I90" i="12"/>
  <c r="H90" i="12"/>
  <c r="F90" i="12"/>
  <c r="E90" i="12"/>
  <c r="P89" i="12"/>
  <c r="O89" i="12"/>
  <c r="R90" i="12" l="1"/>
  <c r="T90" i="12"/>
  <c r="U90" i="12" s="1"/>
  <c r="S90" i="12"/>
  <c r="M90" i="12"/>
  <c r="N90" i="12"/>
  <c r="A91" i="12"/>
  <c r="K90" i="12"/>
  <c r="L90" i="12"/>
  <c r="Y90" i="12"/>
  <c r="E91" i="12" l="1"/>
  <c r="G91" i="12"/>
  <c r="I91" i="12"/>
  <c r="B91" i="12"/>
  <c r="J91" i="12"/>
  <c r="C91" i="12"/>
  <c r="Q91" i="12" s="1"/>
  <c r="H91" i="12"/>
  <c r="F91" i="12"/>
  <c r="D91" i="12"/>
  <c r="W90" i="12"/>
  <c r="X90" i="12" s="1"/>
  <c r="V90" i="12"/>
  <c r="O90" i="12"/>
  <c r="P90" i="12"/>
  <c r="T91" i="12" l="1"/>
  <c r="U91" i="12" s="1"/>
  <c r="S91" i="12"/>
  <c r="R91" i="12"/>
  <c r="M91" i="12"/>
  <c r="N91" i="12"/>
  <c r="Y91" i="12"/>
  <c r="A92" i="12"/>
  <c r="L91" i="12"/>
  <c r="K91" i="12"/>
  <c r="P91" i="12" l="1"/>
  <c r="O91" i="12"/>
  <c r="W91" i="12"/>
  <c r="X91" i="12" s="1"/>
  <c r="V91" i="12"/>
  <c r="C92" i="12"/>
  <c r="Q92" i="12" s="1"/>
  <c r="H92" i="12"/>
  <c r="G92" i="12"/>
  <c r="F92" i="12"/>
  <c r="E92" i="12"/>
  <c r="D92" i="12"/>
  <c r="B92" i="12"/>
  <c r="I92" i="12"/>
  <c r="J92" i="12"/>
  <c r="S92" i="12" l="1"/>
  <c r="R92" i="12"/>
  <c r="T92" i="12"/>
  <c r="U92" i="12" s="1"/>
  <c r="M92" i="12"/>
  <c r="N92" i="12"/>
  <c r="Y92" i="12"/>
  <c r="K92" i="12"/>
  <c r="L92" i="12"/>
  <c r="A93" i="12"/>
  <c r="D93" i="12" l="1"/>
  <c r="I93" i="12"/>
  <c r="H93" i="12"/>
  <c r="F93" i="12"/>
  <c r="B93" i="12"/>
  <c r="C93" i="12"/>
  <c r="Q93" i="12" s="1"/>
  <c r="G93" i="12"/>
  <c r="E93" i="12"/>
  <c r="J93" i="12"/>
  <c r="V92" i="12"/>
  <c r="W92" i="12"/>
  <c r="X92" i="12" s="1"/>
  <c r="P92" i="12"/>
  <c r="O92" i="12"/>
  <c r="S93" i="12" l="1"/>
  <c r="T93" i="12"/>
  <c r="U93" i="12" s="1"/>
  <c r="R93" i="12"/>
  <c r="M93" i="12"/>
  <c r="N93" i="12"/>
  <c r="Y93" i="12"/>
  <c r="A94" i="12"/>
  <c r="K93" i="12"/>
  <c r="L93" i="12"/>
  <c r="P93" i="12" l="1"/>
  <c r="O93" i="12"/>
  <c r="W93" i="12"/>
  <c r="X93" i="12" s="1"/>
  <c r="V93" i="12"/>
  <c r="F94" i="12"/>
  <c r="I94" i="12"/>
  <c r="C94" i="12"/>
  <c r="Q94" i="12" s="1"/>
  <c r="E94" i="12"/>
  <c r="J94" i="12"/>
  <c r="G94" i="12"/>
  <c r="H94" i="12"/>
  <c r="B94" i="12"/>
  <c r="D94" i="12"/>
  <c r="T94" i="12" l="1"/>
  <c r="U94" i="12" s="1"/>
  <c r="R94" i="12"/>
  <c r="S94" i="12"/>
  <c r="M94" i="12"/>
  <c r="N94" i="12"/>
  <c r="Y94" i="12"/>
  <c r="K94" i="12"/>
  <c r="A95" i="12"/>
  <c r="L94" i="12"/>
  <c r="W94" i="12" l="1"/>
  <c r="X94" i="12" s="1"/>
  <c r="V94" i="12"/>
  <c r="O94" i="12"/>
  <c r="P94" i="12"/>
  <c r="B95" i="12"/>
  <c r="I95" i="12"/>
  <c r="E95" i="12"/>
  <c r="H95" i="12"/>
  <c r="D95" i="12"/>
  <c r="C95" i="12"/>
  <c r="Q95" i="12" s="1"/>
  <c r="G95" i="12"/>
  <c r="F95" i="12"/>
  <c r="J95" i="12"/>
  <c r="R95" i="12" l="1"/>
  <c r="S95" i="12"/>
  <c r="T95" i="12"/>
  <c r="U95" i="12" s="1"/>
  <c r="M95" i="12"/>
  <c r="N95" i="12"/>
  <c r="K95" i="12"/>
  <c r="A96" i="12"/>
  <c r="L95" i="12"/>
  <c r="Y95" i="12"/>
  <c r="B96" i="12" l="1"/>
  <c r="I96" i="12"/>
  <c r="C96" i="12"/>
  <c r="Q96" i="12" s="1"/>
  <c r="E96" i="12"/>
  <c r="H96" i="12"/>
  <c r="J96" i="12"/>
  <c r="D96" i="12"/>
  <c r="G96" i="12"/>
  <c r="F96" i="12"/>
  <c r="P95" i="12"/>
  <c r="O95" i="12"/>
  <c r="W95" i="12"/>
  <c r="X95" i="12" s="1"/>
  <c r="V95" i="12"/>
  <c r="T96" i="12" l="1"/>
  <c r="U96" i="12" s="1"/>
  <c r="S96" i="12"/>
  <c r="R96" i="12"/>
  <c r="M96" i="12"/>
  <c r="N96" i="12"/>
  <c r="Y96" i="12"/>
  <c r="L96" i="12"/>
  <c r="K96" i="12"/>
  <c r="A97" i="12"/>
  <c r="W96" i="12" l="1"/>
  <c r="X96" i="12" s="1"/>
  <c r="V96" i="12"/>
  <c r="B97" i="12"/>
  <c r="H97" i="12"/>
  <c r="I97" i="12"/>
  <c r="J97" i="12"/>
  <c r="F97" i="12"/>
  <c r="D97" i="12"/>
  <c r="C97" i="12"/>
  <c r="Q97" i="12" s="1"/>
  <c r="G97" i="12"/>
  <c r="E97" i="12"/>
  <c r="P96" i="12"/>
  <c r="O96" i="12"/>
  <c r="S97" i="12" l="1"/>
  <c r="T97" i="12"/>
  <c r="U97" i="12" s="1"/>
  <c r="R97" i="12"/>
  <c r="M97" i="12"/>
  <c r="N97" i="12"/>
  <c r="Y97" i="12"/>
  <c r="K97" i="12"/>
  <c r="L97" i="12"/>
  <c r="A98" i="12"/>
  <c r="W97" i="12" l="1"/>
  <c r="X97" i="12" s="1"/>
  <c r="V97" i="12"/>
  <c r="I98" i="12"/>
  <c r="E98" i="12"/>
  <c r="D98" i="12"/>
  <c r="J98" i="12"/>
  <c r="G98" i="12"/>
  <c r="C98" i="12"/>
  <c r="Q98" i="12" s="1"/>
  <c r="B98" i="12"/>
  <c r="F98" i="12"/>
  <c r="H98" i="12"/>
  <c r="P97" i="12"/>
  <c r="O97" i="12"/>
  <c r="R98" i="12" l="1"/>
  <c r="T98" i="12"/>
  <c r="U98" i="12" s="1"/>
  <c r="S98" i="12"/>
  <c r="M98" i="12"/>
  <c r="N98" i="12"/>
  <c r="L98" i="12"/>
  <c r="A99" i="12"/>
  <c r="K98" i="12"/>
  <c r="Y98" i="12"/>
  <c r="W98" i="12" l="1"/>
  <c r="X98" i="12" s="1"/>
  <c r="V98" i="12"/>
  <c r="O98" i="12"/>
  <c r="P98" i="12"/>
  <c r="F99" i="12"/>
  <c r="G99" i="12"/>
  <c r="I99" i="12"/>
  <c r="E99" i="12"/>
  <c r="B99" i="12"/>
  <c r="H99" i="12"/>
  <c r="C99" i="12"/>
  <c r="Q99" i="12" s="1"/>
  <c r="J99" i="12"/>
  <c r="D99" i="12"/>
  <c r="R99" i="12" l="1"/>
  <c r="T99" i="12"/>
  <c r="U99" i="12" s="1"/>
  <c r="S99" i="12"/>
  <c r="M99" i="12"/>
  <c r="N99" i="12"/>
  <c r="A100" i="12"/>
  <c r="L99" i="12"/>
  <c r="K99" i="12"/>
  <c r="Y99" i="12"/>
  <c r="W99" i="12" l="1"/>
  <c r="X99" i="12" s="1"/>
  <c r="V99" i="12"/>
  <c r="P99" i="12"/>
  <c r="O99" i="12"/>
  <c r="J100" i="12"/>
  <c r="F100" i="12"/>
  <c r="E100" i="12"/>
  <c r="I100" i="12"/>
  <c r="C100" i="12"/>
  <c r="Q100" i="12" s="1"/>
  <c r="B100" i="12"/>
  <c r="G100" i="12"/>
  <c r="D100" i="12"/>
  <c r="H100" i="12"/>
  <c r="R100" i="12" l="1"/>
  <c r="T100" i="12"/>
  <c r="U100" i="12" s="1"/>
  <c r="S100" i="12"/>
  <c r="M100" i="12"/>
  <c r="N100" i="12"/>
  <c r="Y100" i="12"/>
  <c r="A101" i="12"/>
  <c r="L100" i="12"/>
  <c r="K100" i="12"/>
  <c r="O100" i="12" l="1"/>
  <c r="P100" i="12"/>
  <c r="W100" i="12"/>
  <c r="X100" i="12" s="1"/>
  <c r="V100" i="12"/>
  <c r="J101" i="12"/>
  <c r="H101" i="12"/>
  <c r="D101" i="12"/>
  <c r="G101" i="12"/>
  <c r="C101" i="12"/>
  <c r="Q101" i="12" s="1"/>
  <c r="B101" i="12"/>
  <c r="E101" i="12"/>
  <c r="I101" i="12"/>
  <c r="F101" i="12"/>
  <c r="S101" i="12" l="1"/>
  <c r="T101" i="12"/>
  <c r="U101" i="12" s="1"/>
  <c r="R101" i="12"/>
  <c r="M101" i="12"/>
  <c r="N101" i="12"/>
  <c r="Y101" i="12"/>
  <c r="K101" i="12"/>
  <c r="L101" i="12"/>
  <c r="A102" i="12"/>
  <c r="E102" i="12" l="1"/>
  <c r="F102" i="12"/>
  <c r="G102" i="12"/>
  <c r="B102" i="12"/>
  <c r="H102" i="12"/>
  <c r="I102" i="12"/>
  <c r="J102" i="12"/>
  <c r="D102" i="12"/>
  <c r="C102" i="12"/>
  <c r="Q102" i="12" s="1"/>
  <c r="W101" i="12"/>
  <c r="X101" i="12" s="1"/>
  <c r="V101" i="12"/>
  <c r="O101" i="12"/>
  <c r="P101" i="12"/>
  <c r="T102" i="12" l="1"/>
  <c r="U102" i="12" s="1"/>
  <c r="S102" i="12"/>
  <c r="R102" i="12"/>
  <c r="M102" i="12"/>
  <c r="N102" i="12"/>
  <c r="Y102" i="12"/>
  <c r="K102" i="12"/>
  <c r="A103" i="12"/>
  <c r="L102" i="12"/>
  <c r="G103" i="12" l="1"/>
  <c r="F103" i="12"/>
  <c r="D103" i="12"/>
  <c r="E103" i="12"/>
  <c r="H103" i="12"/>
  <c r="I103" i="12"/>
  <c r="J103" i="12"/>
  <c r="B103" i="12"/>
  <c r="C103" i="12"/>
  <c r="Q103" i="12" s="1"/>
  <c r="O102" i="12"/>
  <c r="P102" i="12"/>
  <c r="W102" i="12"/>
  <c r="X102" i="12" s="1"/>
  <c r="V102" i="12"/>
  <c r="S103" i="12" l="1"/>
  <c r="R103" i="12"/>
  <c r="T103" i="12"/>
  <c r="U103" i="12" s="1"/>
  <c r="M103" i="12"/>
  <c r="N103" i="12"/>
  <c r="L103" i="12"/>
  <c r="K103" i="12"/>
  <c r="A104" i="12"/>
  <c r="Y103" i="12"/>
  <c r="W103" i="12" l="1"/>
  <c r="X103" i="12" s="1"/>
  <c r="V103" i="12"/>
  <c r="P103" i="12"/>
  <c r="O103" i="12"/>
  <c r="F104" i="12"/>
  <c r="G104" i="12"/>
  <c r="C104" i="12"/>
  <c r="Q104" i="12" s="1"/>
  <c r="D104" i="12"/>
  <c r="H104" i="12"/>
  <c r="E104" i="12"/>
  <c r="B104" i="12"/>
  <c r="I104" i="12"/>
  <c r="J104" i="12"/>
  <c r="T104" i="12" l="1"/>
  <c r="U104" i="12" s="1"/>
  <c r="R104" i="12"/>
  <c r="S104" i="12"/>
  <c r="M104" i="12"/>
  <c r="N104" i="12"/>
  <c r="Y104" i="12"/>
  <c r="A105" i="12"/>
  <c r="K104" i="12"/>
  <c r="L104" i="12"/>
  <c r="V104" i="12" l="1"/>
  <c r="W104" i="12"/>
  <c r="X104" i="12" s="1"/>
  <c r="O104" i="12"/>
  <c r="P104" i="12"/>
  <c r="G105" i="12"/>
  <c r="J105" i="12"/>
  <c r="C105" i="12"/>
  <c r="Q105" i="12" s="1"/>
  <c r="D105" i="12"/>
  <c r="B105" i="12"/>
  <c r="I105" i="12"/>
  <c r="F105" i="12"/>
  <c r="H105" i="12"/>
  <c r="E105" i="12"/>
  <c r="T105" i="12" l="1"/>
  <c r="U105" i="12" s="1"/>
  <c r="S105" i="12"/>
  <c r="R105" i="12"/>
  <c r="M105" i="12"/>
  <c r="N105" i="12"/>
  <c r="K105" i="12"/>
  <c r="A106" i="12"/>
  <c r="L105" i="12"/>
  <c r="Y105" i="12"/>
  <c r="W105" i="12" l="1"/>
  <c r="X105" i="12" s="1"/>
  <c r="V105" i="12"/>
  <c r="I106" i="12"/>
  <c r="C106" i="12"/>
  <c r="Q106" i="12" s="1"/>
  <c r="B106" i="12"/>
  <c r="D106" i="12"/>
  <c r="F106" i="12"/>
  <c r="G106" i="12"/>
  <c r="J106" i="12"/>
  <c r="H106" i="12"/>
  <c r="E106" i="12"/>
  <c r="P105" i="12"/>
  <c r="O105" i="12"/>
  <c r="T106" i="12" l="1"/>
  <c r="U106" i="12" s="1"/>
  <c r="S106" i="12"/>
  <c r="R106" i="12"/>
  <c r="M106" i="12"/>
  <c r="N106" i="12"/>
  <c r="L106" i="12"/>
  <c r="A107" i="12"/>
  <c r="K106" i="12"/>
  <c r="Y106" i="12"/>
  <c r="W106" i="12" l="1"/>
  <c r="X106" i="12" s="1"/>
  <c r="V106" i="12"/>
  <c r="I107" i="12"/>
  <c r="J107" i="12"/>
  <c r="F107" i="12"/>
  <c r="B107" i="12"/>
  <c r="H107" i="12"/>
  <c r="D107" i="12"/>
  <c r="E107" i="12"/>
  <c r="G107" i="12"/>
  <c r="C107" i="12"/>
  <c r="Q107" i="12" s="1"/>
  <c r="O106" i="12"/>
  <c r="P106" i="12"/>
  <c r="T107" i="12" l="1"/>
  <c r="U107" i="12" s="1"/>
  <c r="S107" i="12"/>
  <c r="R107" i="12"/>
  <c r="M107" i="12"/>
  <c r="N107" i="12"/>
  <c r="K107" i="12"/>
  <c r="A108" i="12"/>
  <c r="L107" i="12"/>
  <c r="Y107" i="12"/>
  <c r="V107" i="12" l="1"/>
  <c r="W107" i="12"/>
  <c r="X107" i="12" s="1"/>
  <c r="G108" i="12"/>
  <c r="B108" i="12"/>
  <c r="J108" i="12"/>
  <c r="F108" i="12"/>
  <c r="E108" i="12"/>
  <c r="I108" i="12"/>
  <c r="C108" i="12"/>
  <c r="Q108" i="12" s="1"/>
  <c r="D108" i="12"/>
  <c r="H108" i="12"/>
  <c r="P107" i="12"/>
  <c r="O107" i="12"/>
  <c r="S108" i="12" l="1"/>
  <c r="R108" i="12"/>
  <c r="T108" i="12"/>
  <c r="U108" i="12" s="1"/>
  <c r="M108" i="12"/>
  <c r="N108" i="12"/>
  <c r="Y108" i="12"/>
  <c r="A109" i="12"/>
  <c r="K108" i="12"/>
  <c r="L108" i="12"/>
  <c r="W108" i="12" l="1"/>
  <c r="X108" i="12" s="1"/>
  <c r="V108" i="12"/>
  <c r="F109" i="12"/>
  <c r="G109" i="12"/>
  <c r="E109" i="12"/>
  <c r="I109" i="12"/>
  <c r="B109" i="12"/>
  <c r="H109" i="12"/>
  <c r="J109" i="12"/>
  <c r="D109" i="12"/>
  <c r="C109" i="12"/>
  <c r="Q109" i="12" s="1"/>
  <c r="P108" i="12"/>
  <c r="O108" i="12"/>
  <c r="S109" i="12" l="1"/>
  <c r="T109" i="12"/>
  <c r="U109" i="12" s="1"/>
  <c r="R109" i="12"/>
  <c r="M109" i="12"/>
  <c r="N109" i="12"/>
  <c r="K109" i="12"/>
  <c r="L109" i="12"/>
  <c r="A110" i="12"/>
  <c r="Y109" i="12"/>
  <c r="I110" i="12" l="1"/>
  <c r="B110" i="12"/>
  <c r="E110" i="12"/>
  <c r="J110" i="12"/>
  <c r="G110" i="12"/>
  <c r="D110" i="12"/>
  <c r="C110" i="12"/>
  <c r="Q110" i="12" s="1"/>
  <c r="F110" i="12"/>
  <c r="H110" i="12"/>
  <c r="W109" i="12"/>
  <c r="X109" i="12" s="1"/>
  <c r="V109" i="12"/>
  <c r="P109" i="12"/>
  <c r="O109" i="12"/>
  <c r="T110" i="12" l="1"/>
  <c r="U110" i="12" s="1"/>
  <c r="S110" i="12"/>
  <c r="R110" i="12"/>
  <c r="M110" i="12"/>
  <c r="N110" i="12"/>
  <c r="Y110" i="12"/>
  <c r="L110" i="12"/>
  <c r="K110" i="12"/>
  <c r="A111" i="12"/>
  <c r="H111" i="12" l="1"/>
  <c r="G111" i="12"/>
  <c r="I111" i="12"/>
  <c r="E111" i="12"/>
  <c r="C111" i="12"/>
  <c r="Q111" i="12" s="1"/>
  <c r="D111" i="12"/>
  <c r="B111" i="12"/>
  <c r="J111" i="12"/>
  <c r="F111" i="12"/>
  <c r="W110" i="12"/>
  <c r="X110" i="12" s="1"/>
  <c r="V110" i="12"/>
  <c r="O110" i="12"/>
  <c r="P110" i="12"/>
  <c r="T111" i="12" l="1"/>
  <c r="U111" i="12" s="1"/>
  <c r="S111" i="12"/>
  <c r="R111" i="12"/>
  <c r="M111" i="12"/>
  <c r="N111" i="12"/>
  <c r="Y111" i="12"/>
  <c r="L111" i="12"/>
  <c r="A112" i="12"/>
  <c r="K111" i="12"/>
  <c r="P111" i="12" l="1"/>
  <c r="O111" i="12"/>
  <c r="E112" i="12"/>
  <c r="B112" i="12"/>
  <c r="I112" i="12"/>
  <c r="J112" i="12"/>
  <c r="G112" i="12"/>
  <c r="C112" i="12"/>
  <c r="Q112" i="12" s="1"/>
  <c r="F112" i="12"/>
  <c r="D112" i="12"/>
  <c r="H112" i="12"/>
  <c r="W111" i="12"/>
  <c r="X111" i="12" s="1"/>
  <c r="V111" i="12"/>
  <c r="T112" i="12" l="1"/>
  <c r="U112" i="12" s="1"/>
  <c r="R112" i="12"/>
  <c r="S112" i="12"/>
  <c r="M112" i="12"/>
  <c r="N112" i="12"/>
  <c r="A113" i="12"/>
  <c r="L112" i="12"/>
  <c r="K112" i="12"/>
  <c r="Y112" i="12"/>
  <c r="V112" i="12" l="1"/>
  <c r="W112" i="12"/>
  <c r="X112" i="12" s="1"/>
  <c r="P112" i="12"/>
  <c r="O112" i="12"/>
  <c r="C113" i="12"/>
  <c r="Q113" i="12" s="1"/>
  <c r="E113" i="12"/>
  <c r="F113" i="12"/>
  <c r="G113" i="12"/>
  <c r="D113" i="12"/>
  <c r="H113" i="12"/>
  <c r="J113" i="12"/>
  <c r="B113" i="12"/>
  <c r="I113" i="12"/>
  <c r="T113" i="12" l="1"/>
  <c r="U113" i="12" s="1"/>
  <c r="R113" i="12"/>
  <c r="S113" i="12"/>
  <c r="M113" i="12"/>
  <c r="N113" i="12"/>
  <c r="Y113" i="12"/>
  <c r="K113" i="12"/>
  <c r="L113" i="12"/>
  <c r="A114" i="12"/>
  <c r="F114" i="12" l="1"/>
  <c r="C114" i="12"/>
  <c r="Q114" i="12" s="1"/>
  <c r="G114" i="12"/>
  <c r="B114" i="12"/>
  <c r="J114" i="12"/>
  <c r="E114" i="12"/>
  <c r="H114" i="12"/>
  <c r="D114" i="12"/>
  <c r="I114" i="12"/>
  <c r="W113" i="12"/>
  <c r="X113" i="12" s="1"/>
  <c r="V113" i="12"/>
  <c r="P113" i="12"/>
  <c r="O113" i="12"/>
  <c r="T114" i="12" l="1"/>
  <c r="U114" i="12" s="1"/>
  <c r="R114" i="12"/>
  <c r="S114" i="12"/>
  <c r="M114" i="12"/>
  <c r="N114" i="12"/>
  <c r="L114" i="12"/>
  <c r="A115" i="12"/>
  <c r="K114" i="12"/>
  <c r="Y114" i="12"/>
  <c r="P114" i="12" l="1"/>
  <c r="O114" i="12"/>
  <c r="F115" i="12"/>
  <c r="C115" i="12"/>
  <c r="Q115" i="12" s="1"/>
  <c r="I115" i="12"/>
  <c r="E115" i="12"/>
  <c r="D115" i="12"/>
  <c r="B115" i="12"/>
  <c r="H115" i="12"/>
  <c r="J115" i="12"/>
  <c r="G115" i="12"/>
  <c r="W114" i="12"/>
  <c r="X114" i="12" s="1"/>
  <c r="V114" i="12"/>
  <c r="S115" i="12" l="1"/>
  <c r="R115" i="12"/>
  <c r="T115" i="12"/>
  <c r="U115" i="12" s="1"/>
  <c r="M115" i="12"/>
  <c r="N115" i="12"/>
  <c r="K115" i="12"/>
  <c r="L115" i="12"/>
  <c r="A116" i="12"/>
  <c r="Y115" i="12"/>
  <c r="W115" i="12" l="1"/>
  <c r="X115" i="12" s="1"/>
  <c r="V115" i="12"/>
  <c r="G116" i="12"/>
  <c r="C116" i="12"/>
  <c r="Q116" i="12" s="1"/>
  <c r="H116" i="12"/>
  <c r="J116" i="12"/>
  <c r="E116" i="12"/>
  <c r="D116" i="12"/>
  <c r="B116" i="12"/>
  <c r="I116" i="12"/>
  <c r="F116" i="12"/>
  <c r="O115" i="12"/>
  <c r="P115" i="12"/>
  <c r="R116" i="12" l="1"/>
  <c r="T116" i="12"/>
  <c r="U116" i="12" s="1"/>
  <c r="S116" i="12"/>
  <c r="M116" i="12"/>
  <c r="N116" i="12"/>
  <c r="Y116" i="12"/>
  <c r="A117" i="12"/>
  <c r="K116" i="12"/>
  <c r="L116" i="12"/>
  <c r="O116" i="12" l="1"/>
  <c r="P116" i="12"/>
  <c r="H117" i="12"/>
  <c r="I117" i="12"/>
  <c r="B117" i="12"/>
  <c r="J117" i="12"/>
  <c r="C117" i="12"/>
  <c r="Q117" i="12" s="1"/>
  <c r="G117" i="12"/>
  <c r="F117" i="12"/>
  <c r="D117" i="12"/>
  <c r="E117" i="12"/>
  <c r="W116" i="12"/>
  <c r="X116" i="12" s="1"/>
  <c r="V116" i="12"/>
  <c r="S117" i="12" l="1"/>
  <c r="T117" i="12"/>
  <c r="U117" i="12" s="1"/>
  <c r="R117" i="12"/>
  <c r="M117" i="12"/>
  <c r="N117" i="12"/>
  <c r="L117" i="12"/>
  <c r="A118" i="12"/>
  <c r="K117" i="12"/>
  <c r="Y117" i="12"/>
  <c r="D118" i="12" l="1"/>
  <c r="G118" i="12"/>
  <c r="F118" i="12"/>
  <c r="H118" i="12"/>
  <c r="C118" i="12"/>
  <c r="Q118" i="12" s="1"/>
  <c r="I118" i="12"/>
  <c r="J118" i="12"/>
  <c r="E118" i="12"/>
  <c r="B118" i="12"/>
  <c r="W117" i="12"/>
  <c r="X117" i="12" s="1"/>
  <c r="V117" i="12"/>
  <c r="P117" i="12"/>
  <c r="O117" i="12"/>
  <c r="T118" i="12" l="1"/>
  <c r="U118" i="12" s="1"/>
  <c r="R118" i="12"/>
  <c r="S118" i="12"/>
  <c r="M118" i="12"/>
  <c r="N118" i="12"/>
  <c r="Y118" i="12"/>
  <c r="A119" i="12"/>
  <c r="K118" i="12"/>
  <c r="L118" i="12"/>
  <c r="V118" i="12" l="1"/>
  <c r="W118" i="12"/>
  <c r="X118" i="12" s="1"/>
  <c r="O118" i="12"/>
  <c r="P118" i="12"/>
  <c r="B119" i="12"/>
  <c r="D119" i="12"/>
  <c r="I119" i="12"/>
  <c r="G119" i="12"/>
  <c r="E119" i="12"/>
  <c r="H119" i="12"/>
  <c r="C119" i="12"/>
  <c r="Q119" i="12" s="1"/>
  <c r="F119" i="12"/>
  <c r="J119" i="12"/>
  <c r="T119" i="12" l="1"/>
  <c r="U119" i="12" s="1"/>
  <c r="S119" i="12"/>
  <c r="R119" i="12"/>
  <c r="M119" i="12"/>
  <c r="N119" i="12"/>
  <c r="A120" i="12"/>
  <c r="K119" i="12"/>
  <c r="L119" i="12"/>
  <c r="Y119" i="12"/>
  <c r="W119" i="12" l="1"/>
  <c r="X119" i="12" s="1"/>
  <c r="V119" i="12"/>
  <c r="P119" i="12"/>
  <c r="O119" i="12"/>
  <c r="D120" i="12"/>
  <c r="F120" i="12"/>
  <c r="G120" i="12"/>
  <c r="E120" i="12"/>
  <c r="J120" i="12"/>
  <c r="C120" i="12"/>
  <c r="Q120" i="12" s="1"/>
  <c r="H120" i="12"/>
  <c r="I120" i="12"/>
  <c r="B120" i="12"/>
  <c r="T120" i="12" l="1"/>
  <c r="U120" i="12" s="1"/>
  <c r="S120" i="12"/>
  <c r="R120" i="12"/>
  <c r="M120" i="12"/>
  <c r="N120" i="12"/>
  <c r="K120" i="12"/>
  <c r="L120" i="12"/>
  <c r="Y120" i="12"/>
  <c r="W120" i="12" l="1"/>
  <c r="X120" i="12" s="1"/>
  <c r="V120" i="12"/>
  <c r="P120" i="12"/>
  <c r="O120" i="12"/>
  <c r="B27" i="11" l="1"/>
  <c r="C26" i="11"/>
  <c r="C24" i="11"/>
  <c r="D24" i="11" s="1"/>
  <c r="B28" i="11"/>
  <c r="C28" i="11"/>
  <c r="D28" i="11" s="1"/>
  <c r="E28" i="11" s="1"/>
  <c r="B26" i="11"/>
  <c r="B24" i="11"/>
  <c r="B29" i="11"/>
  <c r="C29" i="11"/>
  <c r="D29" i="11" s="1"/>
  <c r="E29" i="11" s="1"/>
  <c r="B25" i="11"/>
  <c r="C25" i="11"/>
  <c r="C27" i="11"/>
  <c r="D27" i="11" s="1"/>
  <c r="E27" i="11" s="1"/>
  <c r="D26" i="11" l="1"/>
  <c r="E26" i="11" s="1"/>
  <c r="D25" i="11"/>
  <c r="E25" i="11" s="1"/>
  <c r="E24" i="11"/>
  <c r="B33" i="11" l="1"/>
  <c r="B38" i="11"/>
  <c r="B36" i="11"/>
  <c r="B35" i="11"/>
  <c r="B37" i="11"/>
  <c r="B3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abineihsan</author>
  </authors>
  <commentList>
    <comment ref="S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TMT GTY</t>
        </r>
      </text>
    </comment>
    <comment ref="T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MK GTY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<sst xmlns="http://schemas.openxmlformats.org/spreadsheetml/2006/main" count="2126" uniqueCount="638">
  <si>
    <t>No.</t>
  </si>
  <si>
    <t>Nama Pegawai</t>
  </si>
  <si>
    <t>Nureti Aisyiya Rachma</t>
  </si>
  <si>
    <t>GTY</t>
  </si>
  <si>
    <t>GTT</t>
  </si>
  <si>
    <t>Wali Kelas 1A</t>
  </si>
  <si>
    <t>Wali Kelas 1B</t>
  </si>
  <si>
    <t>PTT</t>
  </si>
  <si>
    <t>PTY</t>
  </si>
  <si>
    <t>NIPY</t>
  </si>
  <si>
    <t>2015.01.006</t>
  </si>
  <si>
    <t>2015.01.001</t>
  </si>
  <si>
    <t>--</t>
  </si>
  <si>
    <t>2018.02.012</t>
  </si>
  <si>
    <t>Risma Ali Rachman</t>
  </si>
  <si>
    <t>Widadi</t>
  </si>
  <si>
    <t>Nurul Hikmah</t>
  </si>
  <si>
    <t>Turaningsih, S.Pd.I.</t>
  </si>
  <si>
    <t>Firdaus Al Azizi</t>
  </si>
  <si>
    <t>Ali Imron, S.H.</t>
  </si>
  <si>
    <t>Sitoresmi Prabandari, S.Pd.</t>
  </si>
  <si>
    <t>Fatwa Adina, S.Pd.I.</t>
  </si>
  <si>
    <t>Surasto, S.Pd.</t>
  </si>
  <si>
    <t>Pratikto, S.Pd.I.</t>
  </si>
  <si>
    <t>Adhi Fitriyanto, S.Pd.</t>
  </si>
  <si>
    <t>Irvan Widi Nugraha, S.E.</t>
  </si>
  <si>
    <t>Chulatul Kiromah, S.Pd.</t>
  </si>
  <si>
    <t>Zubaedah, S.Sos.</t>
  </si>
  <si>
    <t>Istianah</t>
  </si>
  <si>
    <t>Faridatun Nissa</t>
  </si>
  <si>
    <t>2018.02.016</t>
  </si>
  <si>
    <t>2018.02.014</t>
  </si>
  <si>
    <t>2018.01.015</t>
  </si>
  <si>
    <t>2018.01.013</t>
  </si>
  <si>
    <t>2018.02.020</t>
  </si>
  <si>
    <t>2018.01.021</t>
  </si>
  <si>
    <t>Wali Kelas 5B</t>
  </si>
  <si>
    <t>Tenaga K3</t>
  </si>
  <si>
    <t>Wali Kelas 2B</t>
  </si>
  <si>
    <t>Asisten Walas 5B</t>
  </si>
  <si>
    <t>Asisten Walas 1B</t>
  </si>
  <si>
    <t>Saniyyah</t>
  </si>
  <si>
    <t>Enggar Aprilla Pangestu</t>
  </si>
  <si>
    <t>Dewi Puspitasari</t>
  </si>
  <si>
    <t>2019.01.025</t>
  </si>
  <si>
    <t>2019.01.026</t>
  </si>
  <si>
    <t>Widyaningsih</t>
  </si>
  <si>
    <t>Alan Firlianto, S.Pd.</t>
  </si>
  <si>
    <t>Dian Apikawati, S.Pd.</t>
  </si>
  <si>
    <t>Wali Kelas 2A</t>
  </si>
  <si>
    <t>Wali Kelas 1C</t>
  </si>
  <si>
    <t>Wali Kelas 6B</t>
  </si>
  <si>
    <t>Asisten Walas 3B</t>
  </si>
  <si>
    <t>2019.02.024</t>
  </si>
  <si>
    <t>2019.02.022</t>
  </si>
  <si>
    <t>2019.02.023</t>
  </si>
  <si>
    <t>2020.01.027</t>
  </si>
  <si>
    <t>2020.01.028</t>
  </si>
  <si>
    <t>2020.01.029</t>
  </si>
  <si>
    <t>2020.02.030</t>
  </si>
  <si>
    <t>Wali Kelas 3A</t>
  </si>
  <si>
    <t>Asisten Walas 1A</t>
  </si>
  <si>
    <t>Wali Kelas 5A</t>
  </si>
  <si>
    <t>Rizki Pujiati, S.Pd.</t>
  </si>
  <si>
    <t>Asisten Walas 5A</t>
  </si>
  <si>
    <t>Wali Kelas 3B</t>
  </si>
  <si>
    <t>2015.02.004</t>
  </si>
  <si>
    <t>Non Aktif</t>
  </si>
  <si>
    <t>Fefri Rahmayanti, S.Pd.</t>
  </si>
  <si>
    <t>2015.02.002</t>
  </si>
  <si>
    <t>Aktif</t>
  </si>
  <si>
    <t>2015.02.003</t>
  </si>
  <si>
    <t>Umu Ilmi Qonita</t>
  </si>
  <si>
    <t>Nurtina Natalia</t>
  </si>
  <si>
    <t>2015.02.005</t>
  </si>
  <si>
    <t>2016.02.007</t>
  </si>
  <si>
    <t>Melisa Intan Purnamasari, S.T.</t>
  </si>
  <si>
    <t>Kusuma Islamiyati</t>
  </si>
  <si>
    <t>2016.02.008</t>
  </si>
  <si>
    <t>2016.01.009</t>
  </si>
  <si>
    <t>Nur Kosim</t>
  </si>
  <si>
    <t>2017.02.010</t>
  </si>
  <si>
    <t>Eva Nurhidayati, S.Pd.</t>
  </si>
  <si>
    <t>Norma Nurafifah, S.Pd.</t>
  </si>
  <si>
    <t>Rina Nofiana, S.Pd.</t>
  </si>
  <si>
    <t>2018.02.017</t>
  </si>
  <si>
    <t>Naftali Zuraida</t>
  </si>
  <si>
    <t>2018.02.018</t>
  </si>
  <si>
    <t>Dini Febri Khairunisa</t>
  </si>
  <si>
    <t>2018.02.019</t>
  </si>
  <si>
    <t>2020.02.031</t>
  </si>
  <si>
    <t>2020.02.032</t>
  </si>
  <si>
    <t>2020.02.033</t>
  </si>
  <si>
    <t>2020.02.034</t>
  </si>
  <si>
    <t>Jabatan</t>
  </si>
  <si>
    <t>Status</t>
  </si>
  <si>
    <t>Keaktifan</t>
  </si>
  <si>
    <t>TMT GTT</t>
  </si>
  <si>
    <t>No. SK GTT</t>
  </si>
  <si>
    <t>Tgl SK GTT</t>
  </si>
  <si>
    <t>No. SK GTY</t>
  </si>
  <si>
    <t>Tgl SK GTY</t>
  </si>
  <si>
    <t>SKP TP.21/22</t>
  </si>
  <si>
    <t>SKP TP.22/23</t>
  </si>
  <si>
    <t>x</t>
  </si>
  <si>
    <t>Bendahara Umum</t>
  </si>
  <si>
    <t>2021.02.038</t>
  </si>
  <si>
    <t>Iis Priyanti, S.Pd.I.</t>
  </si>
  <si>
    <t>Zulfitriana Hafifah, S.Pd.</t>
  </si>
  <si>
    <t>2021.02.039</t>
  </si>
  <si>
    <t>Ana Mustika Wulan, S.Pd.</t>
  </si>
  <si>
    <t>Wali Kelas 4B</t>
  </si>
  <si>
    <t>Kuraji, S.Pd.</t>
  </si>
  <si>
    <t>Ananda Bella Pratiwi, S.Pd.</t>
  </si>
  <si>
    <t>2021.01.037</t>
  </si>
  <si>
    <t>2020.02.036</t>
  </si>
  <si>
    <t>Asisten Walas 2A</t>
  </si>
  <si>
    <t>Laila Fitriana</t>
  </si>
  <si>
    <t>Asisten Walas 2B</t>
  </si>
  <si>
    <t>Desy Supriyatin</t>
  </si>
  <si>
    <t>Asisten Walas 2C</t>
  </si>
  <si>
    <t>Fadhila Siti Jubaedah</t>
  </si>
  <si>
    <t>Muhammad Aruj</t>
  </si>
  <si>
    <t>2021.01.040</t>
  </si>
  <si>
    <t>2021.02.041</t>
  </si>
  <si>
    <t>2020.01.035</t>
  </si>
  <si>
    <t>MG</t>
  </si>
  <si>
    <t>Siti Aisyah Al Jufri, S.Pd.</t>
  </si>
  <si>
    <t>Lintang Mustika, M.Ag</t>
  </si>
  <si>
    <t>Guru Magang</t>
  </si>
  <si>
    <t>NIP01</t>
  </si>
  <si>
    <t>Guru Mapel SMPIT</t>
  </si>
  <si>
    <t>Tahun</t>
  </si>
  <si>
    <t>Nomor SK</t>
  </si>
  <si>
    <t>Tgl SK</t>
  </si>
  <si>
    <t>Perihal</t>
  </si>
  <si>
    <t>TMT</t>
  </si>
  <si>
    <t>Edi Prayogo</t>
  </si>
  <si>
    <t>Ichdayana Hajjah Nuriah</t>
  </si>
  <si>
    <t>Sri Mulatsih, S.Pd.</t>
  </si>
  <si>
    <t>Syafa Aenur Rahmah</t>
  </si>
  <si>
    <t>Cek Fisik</t>
  </si>
  <si>
    <t>SK GTY untuk keperluan Dapodik</t>
  </si>
  <si>
    <t>2022.02.042</t>
  </si>
  <si>
    <t>2022.02.043</t>
  </si>
  <si>
    <t>2022.02.044</t>
  </si>
  <si>
    <t>2022.01.045</t>
  </si>
  <si>
    <t>2022.02.046</t>
  </si>
  <si>
    <t>2022.02.047</t>
  </si>
  <si>
    <t>2022.02.048</t>
  </si>
  <si>
    <t>2022.02.049</t>
  </si>
  <si>
    <t>2022.01.050</t>
  </si>
  <si>
    <t>2022.01.051</t>
  </si>
  <si>
    <t>2022.02.053</t>
  </si>
  <si>
    <t>Dadan Ramdani</t>
  </si>
  <si>
    <t>Roziqin</t>
  </si>
  <si>
    <t>Ulfi Karimah Khasanah</t>
  </si>
  <si>
    <t>Yuliana</t>
  </si>
  <si>
    <t>Naafi'ah Al Hadromi</t>
  </si>
  <si>
    <t>Ilham Rosihan Fikri</t>
  </si>
  <si>
    <t>Katuroh Nurjanah</t>
  </si>
  <si>
    <t>Nadhiro Nur Komariah</t>
  </si>
  <si>
    <t>Qisthi Karomah</t>
  </si>
  <si>
    <t>001</t>
  </si>
  <si>
    <t>002</t>
  </si>
  <si>
    <t>003</t>
  </si>
  <si>
    <t>004</t>
  </si>
  <si>
    <t>Asisten Walas 4A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</si>
  <si>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</si>
  <si>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</si>
  <si>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</si>
  <si>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</si>
  <si>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</si>
  <si>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</si>
  <si>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</si>
  <si>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</si>
  <si>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</si>
  <si>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</si>
  <si>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</si>
  <si>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Waka Kur. SMPIT</t>
  </si>
  <si>
    <t>Titis Suranti Anasih, S.Pd.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</si>
  <si>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</si>
  <si>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</si>
  <si>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</si>
  <si>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</si>
  <si>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</si>
  <si>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</si>
  <si>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</si>
  <si>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</si>
  <si>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</si>
  <si>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</si>
  <si>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Guru PJOK</t>
  </si>
  <si>
    <t>026</t>
  </si>
  <si>
    <t>Kepala K3</t>
  </si>
  <si>
    <t>027</t>
  </si>
  <si>
    <t>028</t>
  </si>
  <si>
    <t>029</t>
  </si>
  <si>
    <t>030</t>
  </si>
  <si>
    <t>Bendahara SDIT</t>
  </si>
  <si>
    <t>031</t>
  </si>
  <si>
    <t>Asisten Walas 6B</t>
  </si>
  <si>
    <t>032</t>
  </si>
  <si>
    <t>033</t>
  </si>
  <si>
    <t>034</t>
  </si>
  <si>
    <t>035</t>
  </si>
  <si>
    <t>036</t>
  </si>
  <si>
    <t>037</t>
  </si>
  <si>
    <t>Wali Kelas 6A</t>
  </si>
  <si>
    <t>038</t>
  </si>
  <si>
    <t>039</t>
  </si>
  <si>
    <t>040</t>
  </si>
  <si>
    <t>Asisten Walas 6A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</si>
  <si>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</si>
  <si>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</si>
  <si>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</si>
  <si>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</si>
  <si>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</si>
  <si>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</si>
  <si>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</si>
  <si>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</si>
  <si>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</si>
  <si>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Miftachul Choir, S.Pi.</t>
  </si>
  <si>
    <t>050</t>
  </si>
  <si>
    <t>051</t>
  </si>
  <si>
    <t>052</t>
  </si>
  <si>
    <t>053</t>
  </si>
  <si>
    <t>Asisten Walas 4B</t>
  </si>
  <si>
    <t>Satpam</t>
  </si>
  <si>
    <t>Sucipto, S.Ag.</t>
  </si>
  <si>
    <t>Nugrahaeni Yunisha, S.Pd.</t>
  </si>
  <si>
    <t>Staff Administrasi</t>
  </si>
  <si>
    <t>Bendahara SMPIT</t>
  </si>
  <si>
    <t>Guru BTQ/Tahfidz</t>
  </si>
  <si>
    <t>2022.01.052</t>
  </si>
  <si>
    <t>2022.02.054</t>
  </si>
  <si>
    <t>054</t>
  </si>
  <si>
    <t>055</t>
  </si>
  <si>
    <t>056</t>
  </si>
  <si>
    <t>057</t>
  </si>
  <si>
    <t>2022.02.056</t>
  </si>
  <si>
    <t>2022.02.055</t>
  </si>
  <si>
    <t>2022.02.057</t>
  </si>
  <si>
    <t>058</t>
  </si>
  <si>
    <t>059</t>
  </si>
  <si>
    <t>2022.01.059</t>
  </si>
  <si>
    <t>2022.01.058</t>
  </si>
  <si>
    <t>No. Urut</t>
  </si>
  <si>
    <t>TP</t>
  </si>
  <si>
    <t>Nama</t>
  </si>
  <si>
    <t>Nomor</t>
  </si>
  <si>
    <t>TGL SKP</t>
  </si>
  <si>
    <t>TTL</t>
  </si>
  <si>
    <t>Pendidikan</t>
  </si>
  <si>
    <t>Tugas</t>
  </si>
  <si>
    <t>TMT Pertama Kali</t>
  </si>
  <si>
    <t>MK Lama</t>
  </si>
  <si>
    <t>MK Baru</t>
  </si>
  <si>
    <t>Pemalang, 17 Mei 1979</t>
  </si>
  <si>
    <t>Pendidikan Terakhir</t>
  </si>
  <si>
    <t>D3 (Diploma 3)</t>
  </si>
  <si>
    <t>Pemalang, 27 Februari 1990</t>
  </si>
  <si>
    <t>S1 (Sarjana)</t>
  </si>
  <si>
    <t>Pemalang, 24 April 1996</t>
  </si>
  <si>
    <t>SMK (Sekolah Menengah Kejuruan)</t>
  </si>
  <si>
    <t>Pemalang, 15 Agustus 1996</t>
  </si>
  <si>
    <t>Pemalang, 25 Desember 1986</t>
  </si>
  <si>
    <t>D2 (Diploma 2)</t>
  </si>
  <si>
    <t>Pemalang, 20 Februari 1981</t>
  </si>
  <si>
    <t>Pemalang, 17 Mei 1992</t>
  </si>
  <si>
    <t>Pemalang, 16 Februari 1997</t>
  </si>
  <si>
    <t>Pemalang, 7 Mei 1967</t>
  </si>
  <si>
    <t>Majalengka, 11 Mei 1994</t>
  </si>
  <si>
    <t>Pemalang, 29 April 1992</t>
  </si>
  <si>
    <t>Pemalang, 10 November 1974</t>
  </si>
  <si>
    <t>Pemalang, 14 Agustus 1980</t>
  </si>
  <si>
    <t>Banyumas, 24 Maret 1984</t>
  </si>
  <si>
    <t>Pemalang, 16 Februari 1978</t>
  </si>
  <si>
    <t>Sragen, 5 November 1979</t>
  </si>
  <si>
    <t>Pemalang, 7 November 1992</t>
  </si>
  <si>
    <t>Pemalang, 5 Juni 1997</t>
  </si>
  <si>
    <t>Pemalang, 6 Februari 1999</t>
  </si>
  <si>
    <t>MA (Madrasah Aliyah)</t>
  </si>
  <si>
    <t>Pemalang, 8 Mei 1995</t>
  </si>
  <si>
    <t>Pemalang, 2 September 1981</t>
  </si>
  <si>
    <t>Pemalang, 27 Agustus 1978</t>
  </si>
  <si>
    <t>Pemalang, 13 November 1982</t>
  </si>
  <si>
    <t>Pemalang, 22 September 1991</t>
  </si>
  <si>
    <t>Pemalang, 15 Juli 1982</t>
  </si>
  <si>
    <t>Boyolali, 12 Juli 1984</t>
  </si>
  <si>
    <t>SMA (Sekolah Menengah Atas)</t>
  </si>
  <si>
    <t>Pemalang, 14 September 1988</t>
  </si>
  <si>
    <t>Pemalang, 13 Februari 2003</t>
  </si>
  <si>
    <t>SD (Sekolah Dasar)</t>
  </si>
  <si>
    <t>Pekalongan, 12 Januari 1998</t>
  </si>
  <si>
    <t>Pemalang, 29 Januari 1986</t>
  </si>
  <si>
    <t>Pemalang, 5 Januari 2000</t>
  </si>
  <si>
    <t>Bondowoso, 26 April 2000</t>
  </si>
  <si>
    <t>Pemalang, 16 Agustus 1999</t>
  </si>
  <si>
    <t>Pemalang, 23 Maret 1996</t>
  </si>
  <si>
    <t>Pemalang, 11 April 1997</t>
  </si>
  <si>
    <t>Ngawi, 1 Oktober 1991</t>
  </si>
  <si>
    <t>Pemalang, 30 September 1991</t>
  </si>
  <si>
    <t>Pemalang, 21 September 1983</t>
  </si>
  <si>
    <t>Pemalang, 31 Januari 1992</t>
  </si>
  <si>
    <t>Pekalongan, 23 Mei 1993</t>
  </si>
  <si>
    <t>Pemalang, 31 Juli 1994</t>
  </si>
  <si>
    <t>Pemalang, 17 Januari 1983</t>
  </si>
  <si>
    <t>Pemalang, 14 Oktober 1995</t>
  </si>
  <si>
    <t>Tegal, 14 Desember 1993</t>
  </si>
  <si>
    <t>Pemalang, 23 Juni 1991</t>
  </si>
  <si>
    <t>Pemalang, 15 Juni 1999</t>
  </si>
  <si>
    <t>Pemalang, 17 Desember 2001</t>
  </si>
  <si>
    <t>Tegal, 20 Desember 2002</t>
  </si>
  <si>
    <t>Bogor, 28 November 2001</t>
  </si>
  <si>
    <t>Tegal, 22 Mei 1990</t>
  </si>
  <si>
    <t>SUPM (Sekolah Usaha Perikanan Menengah)</t>
  </si>
  <si>
    <t>Semarang, 6 November 1990</t>
  </si>
  <si>
    <t>Pemalang, 24 Maret 1994</t>
  </si>
  <si>
    <t>Pemalang, 16 Mei 1993</t>
  </si>
  <si>
    <t>Pemalang, 16 September 1995</t>
  </si>
  <si>
    <t>S2 (Magister)</t>
  </si>
  <si>
    <t>Tegal, 29 Agustus 1999</t>
  </si>
  <si>
    <t>Kebumen, 25 Juni 1979</t>
  </si>
  <si>
    <t>Pemalang, 17 Desember 1993</t>
  </si>
  <si>
    <t>Purbalingga, 6 Oktober 2001</t>
  </si>
  <si>
    <t>Pemalang, 18 Maret 1969</t>
  </si>
  <si>
    <t>Majalengka, 6 November 1992</t>
  </si>
  <si>
    <t>Pemalang, 3 November 1983</t>
  </si>
  <si>
    <t>Bambang Arianto, M.Pd.</t>
  </si>
  <si>
    <t>Tegal, 19 Juni 1984</t>
  </si>
  <si>
    <t>Nurul Hidayah</t>
  </si>
  <si>
    <t>2018.02.011</t>
  </si>
  <si>
    <t>Pemalang, 30 September 1993</t>
  </si>
  <si>
    <t>060</t>
  </si>
  <si>
    <t>061</t>
  </si>
  <si>
    <t>062</t>
  </si>
  <si>
    <t>063</t>
  </si>
  <si>
    <t>064</t>
  </si>
  <si>
    <t>065</t>
  </si>
  <si>
    <t>2024.02.060</t>
  </si>
  <si>
    <t>2024.02.061</t>
  </si>
  <si>
    <t>2024.02.062</t>
  </si>
  <si>
    <t>2024.02.063</t>
  </si>
  <si>
    <t>2024.02.064</t>
  </si>
  <si>
    <t>2024.01.065</t>
  </si>
  <si>
    <t>Dias Kurniasih Fajri, S.Pd.</t>
  </si>
  <si>
    <t>Syadni</t>
  </si>
  <si>
    <t>Usvita Nur Khasanah</t>
  </si>
  <si>
    <t>Iis Tri Kurniasih, S.M.</t>
  </si>
  <si>
    <t>Layza Futihatul Jannah</t>
  </si>
  <si>
    <t>Eilen Candra Oktoviani</t>
  </si>
  <si>
    <t>Diyah Ayu Kumalasari, S.Pd</t>
  </si>
  <si>
    <t>Kharisma Alam, S.Pd.</t>
  </si>
  <si>
    <t>Imam Riyadi</t>
  </si>
  <si>
    <t>Jenis</t>
  </si>
  <si>
    <t>NAMA SK</t>
  </si>
  <si>
    <t>x.nipy</t>
  </si>
  <si>
    <t>H.M.Kerja</t>
  </si>
  <si>
    <t>Bulan</t>
  </si>
  <si>
    <t>NO.DP</t>
  </si>
  <si>
    <t>Detail</t>
  </si>
  <si>
    <t>Rochimi, S.Pd.</t>
  </si>
  <si>
    <t>Bantu SK</t>
  </si>
  <si>
    <t>Hitung BSK</t>
  </si>
  <si>
    <t>No.SK</t>
  </si>
  <si>
    <t>GTT/GTY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</si>
  <si>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</si>
  <si>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</si>
  <si>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</si>
  <si>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</si>
  <si>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</si>
  <si>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</si>
  <si>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</si>
  <si>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</si>
  <si>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</si>
  <si>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</si>
  <si>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cek</t>
  </si>
  <si>
    <t>Ashari Susanto, S.Pd.I</t>
  </si>
  <si>
    <t/>
  </si>
  <si>
    <t>ok</t>
  </si>
  <si>
    <t>Pri Kurniawan Setiyadi, S.Si.</t>
  </si>
  <si>
    <t>Pemalang, 5 Agustus 2004</t>
  </si>
  <si>
    <t>Pemalang, 8 September 2004</t>
  </si>
  <si>
    <t>Semarang, 29 Agustus 1993</t>
  </si>
  <si>
    <t>Pemalang, 18 Oktober 2003</t>
  </si>
  <si>
    <t>Pemalang, 26 September 1998</t>
  </si>
  <si>
    <t>Pemalang, 19 Agustus 1971</t>
  </si>
  <si>
    <t>Aktif/Non</t>
  </si>
  <si>
    <t>Count Aktif</t>
  </si>
  <si>
    <t>066</t>
  </si>
  <si>
    <t>067</t>
  </si>
  <si>
    <t>2024.02.066</t>
  </si>
  <si>
    <t>2024.01.067</t>
  </si>
  <si>
    <t>2025/2026</t>
  </si>
  <si>
    <t>Print</t>
  </si>
  <si>
    <t>Apit Meilani, S.Pd.</t>
  </si>
  <si>
    <t>Moh. Kholikun, S.Pd.</t>
  </si>
  <si>
    <t>Pemalang, 5 Desember 1996</t>
  </si>
  <si>
    <t>Guru Mapel SMPIT Bina Ilmu</t>
  </si>
  <si>
    <t>Tanggal SK</t>
  </si>
  <si>
    <t>tgl</t>
  </si>
  <si>
    <t>bulan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</si>
  <si>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</si>
  <si>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</si>
  <si>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</si>
  <si>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</si>
  <si>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</si>
  <si>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</si>
  <si>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</si>
  <si>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</si>
  <si>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</si>
  <si>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</si>
  <si>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</si>
  <si>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</si>
  <si>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Januari</t>
  </si>
  <si>
    <t>Februari</t>
  </si>
  <si>
    <t>Maret</t>
  </si>
  <si>
    <t>Mei</t>
  </si>
  <si>
    <t>Juni</t>
  </si>
  <si>
    <t>Juli</t>
  </si>
  <si>
    <t>Agustus</t>
  </si>
  <si>
    <t>Oktober</t>
  </si>
  <si>
    <t>Desember</t>
  </si>
  <si>
    <t>Pertama TT</t>
  </si>
  <si>
    <t>Sukirno, S.Pd.</t>
  </si>
  <si>
    <t>Fariskon, S.Pd.</t>
  </si>
  <si>
    <t>Pemalang, 19 Februari 2002</t>
  </si>
  <si>
    <t>Pemalang, 16 Juni 1983</t>
  </si>
  <si>
    <t>Pemalang, 22 Oktober 1978</t>
  </si>
  <si>
    <t>Pemalang, 20 Agustus 1983</t>
  </si>
  <si>
    <t>Wino Heru, S.H.</t>
  </si>
  <si>
    <t>Pemalang, 19 Mei 1993</t>
  </si>
  <si>
    <t>Pemalang, 27 Mei 2003</t>
  </si>
  <si>
    <t>Pemalang, 25 Mei 1996</t>
  </si>
  <si>
    <t>Pemalang, 7 April 2002</t>
  </si>
  <si>
    <t>Pemalang, 8 April 2005</t>
  </si>
  <si>
    <t>Pemalang, 18 Agustus 2002</t>
  </si>
  <si>
    <t>Wali Kelas 4C</t>
  </si>
  <si>
    <t>Wali Kelas 4D</t>
  </si>
  <si>
    <t>Wali Kelas 5C</t>
  </si>
  <si>
    <t>Asisten Walas 3C</t>
  </si>
  <si>
    <t>Asisten Walas 4D</t>
  </si>
  <si>
    <t xml:space="preserve"> </t>
  </si>
  <si>
    <t>TMT ini</t>
  </si>
  <si>
    <t>SK P/G TT PERTAMA</t>
  </si>
  <si>
    <t>Fitri Nur Istiqomah, S.Pd.</t>
  </si>
  <si>
    <t>Pemalang, 4 Oktober 2000</t>
  </si>
  <si>
    <t>Dina Setiawati, S.Pd.</t>
  </si>
  <si>
    <t>Pemalang, 14 April 1980</t>
  </si>
  <si>
    <t>Yuni Rahmawati, S.Pd.</t>
  </si>
  <si>
    <t>Purbalingga, 7 Juni 1996</t>
  </si>
  <si>
    <t>Dwiningsih, S.Pd.</t>
  </si>
  <si>
    <t>Pekalongan, 28 April 1993</t>
  </si>
  <si>
    <t>Guru BTQ Tahfidz</t>
  </si>
  <si>
    <t>Sucron Muchadir</t>
  </si>
  <si>
    <t>Pemalang, 1 Januari 1987</t>
  </si>
  <si>
    <t>Fara Dela Fatmawati Mustofa</t>
  </si>
  <si>
    <t>Tegal, 18 April 2006</t>
  </si>
  <si>
    <t>Hikmah Fajriah Khoirun Nisa</t>
  </si>
  <si>
    <t>Brebes, 1 April 2005</t>
  </si>
  <si>
    <t>Alfiah Nur Hasanah</t>
  </si>
  <si>
    <t>Pemalang, 31 Oktober 2004</t>
  </si>
  <si>
    <t>Ummu Rizki Hafizha</t>
  </si>
  <si>
    <t>Pemalang, 21 Oktober 2006</t>
  </si>
  <si>
    <t>Maulana Satria Nugraha, S.Ak.</t>
  </si>
  <si>
    <t>Pemalang, 3 November 1994</t>
  </si>
  <si>
    <t>Asisten Walas 1C</t>
  </si>
  <si>
    <t>Wali Kelas 2C</t>
  </si>
  <si>
    <t>Asisten Walas 3A</t>
  </si>
  <si>
    <t>Wali Kelas 4A</t>
  </si>
  <si>
    <t>Asisten Walas 4C</t>
  </si>
  <si>
    <t>Asisten Walas 5C</t>
  </si>
  <si>
    <t>Staf Tata Usaha</t>
  </si>
  <si>
    <t>Wali Kelas 8A</t>
  </si>
  <si>
    <t>Wali Kelas 9A</t>
  </si>
  <si>
    <t>Kepala Sekolah</t>
  </si>
  <si>
    <t>Wali Kelas 7B</t>
  </si>
  <si>
    <t>Wali Kelas 8B</t>
  </si>
  <si>
    <t>Wali Kelas 9B</t>
  </si>
  <si>
    <t>Wali Kelas 7A</t>
  </si>
  <si>
    <t>Bendahara BOS</t>
  </si>
  <si>
    <t>Guru B.Inggris SDIT</t>
  </si>
  <si>
    <t>Folder Nomor</t>
  </si>
  <si>
    <t>L/P</t>
  </si>
  <si>
    <t>Masa Kerja</t>
  </si>
  <si>
    <t>L</t>
  </si>
  <si>
    <t>P</t>
  </si>
  <si>
    <t>I</t>
  </si>
  <si>
    <t>II</t>
  </si>
  <si>
    <t>III</t>
  </si>
  <si>
    <t>IV</t>
  </si>
  <si>
    <t>V</t>
  </si>
  <si>
    <t>VI</t>
  </si>
  <si>
    <t>VII</t>
  </si>
  <si>
    <t>OUT</t>
  </si>
  <si>
    <t xml:space="preserve">F   O   L   D   E   R   :  </t>
  </si>
  <si>
    <t>Suckron Muchadir</t>
  </si>
  <si>
    <t>Irfan Hadi Windiarto</t>
  </si>
  <si>
    <t>Pemalang, 30 November 1974</t>
  </si>
  <si>
    <t>LAPORAN PENILAIAN</t>
  </si>
  <si>
    <t>Pemalang, 6 Februari 1978</t>
  </si>
  <si>
    <t>Pendidikan Agama Islam</t>
  </si>
  <si>
    <t>Manajemen Keuangan</t>
  </si>
  <si>
    <t>Institut Agama Islam Pemalang</t>
  </si>
  <si>
    <t>Najma Sarifatul Auli</t>
  </si>
  <si>
    <t>Pemalang, 25 Maret 2007</t>
  </si>
  <si>
    <t>Nama Sekolah / Perguruan Tinggi Terakhir</t>
  </si>
  <si>
    <t>Akuntansi</t>
  </si>
  <si>
    <t>IPS</t>
  </si>
  <si>
    <t>Jurusan / Program Studi</t>
  </si>
  <si>
    <t>Universitas Pekalongan</t>
  </si>
  <si>
    <t xml:space="preserve">BUKU INDUK KEPEGAWAIAN           --  </t>
  </si>
  <si>
    <t>STATUS       :</t>
  </si>
  <si>
    <t>Perkiraan Mulai Bekerja</t>
  </si>
  <si>
    <t>NUPTK</t>
  </si>
  <si>
    <t>Ada?</t>
  </si>
  <si>
    <t>Tempat</t>
  </si>
  <si>
    <t>Lahir</t>
  </si>
  <si>
    <t>Last ptt/gtt</t>
  </si>
  <si>
    <t>PERTAMA GTT/PTT</t>
  </si>
  <si>
    <t>PERTAMA GTY/PTY</t>
  </si>
  <si>
    <t>Tanggal</t>
  </si>
  <si>
    <t>SK Pertama GTT/PTT</t>
  </si>
  <si>
    <t xml:space="preserve"> SK Pertama PTY/GTY</t>
  </si>
  <si>
    <t>Pemalang, 12 April 1980</t>
  </si>
  <si>
    <t>IPA</t>
  </si>
  <si>
    <t>Nomor Laporan Penilaian</t>
  </si>
  <si>
    <t>Bulan Laporan</t>
  </si>
  <si>
    <t>Laporan Berdasarkan Jenis Kelamin</t>
  </si>
  <si>
    <t>Laporan Berdasarkan Status</t>
  </si>
  <si>
    <t>Laki-laki</t>
  </si>
  <si>
    <t>Perempuan</t>
  </si>
  <si>
    <t>Magang</t>
  </si>
  <si>
    <t>Total</t>
  </si>
  <si>
    <t>Keterangan</t>
  </si>
  <si>
    <t>Hari ini</t>
  </si>
  <si>
    <t>Per Tanggal</t>
  </si>
  <si>
    <t>Kode</t>
  </si>
  <si>
    <t>Penilaian Ulang</t>
  </si>
  <si>
    <t>Perpanjangan</t>
  </si>
  <si>
    <t>A1</t>
  </si>
  <si>
    <t>A2</t>
  </si>
  <si>
    <t>A3</t>
  </si>
  <si>
    <t>A4</t>
  </si>
  <si>
    <t>A5</t>
  </si>
  <si>
    <t>A6</t>
  </si>
  <si>
    <t>Tertera</t>
  </si>
  <si>
    <t>Ambil Dashboard Pengingat</t>
  </si>
  <si>
    <t>Cuti</t>
  </si>
  <si>
    <t>Awal T.A</t>
  </si>
  <si>
    <t>Perpanjangan GTY/PTY</t>
  </si>
  <si>
    <t>Tanggal Perpanjangan</t>
  </si>
  <si>
    <t>Kontrol Perpanjangan SK Pegawai  --</t>
  </si>
  <si>
    <t>Hitung Masa Kerja</t>
  </si>
  <si>
    <t>MK (Bulan)</t>
  </si>
  <si>
    <t>Kode Bantu</t>
  </si>
  <si>
    <t>SK TERAKHIR</t>
  </si>
  <si>
    <t>No. SK</t>
  </si>
  <si>
    <t>Terakhir GTT/PTT</t>
  </si>
  <si>
    <t>Reminder</t>
  </si>
  <si>
    <t>Tabel Tahun cek</t>
  </si>
  <si>
    <t>Cek Print SK</t>
  </si>
  <si>
    <t>DATA INDUK KEPEGAWAIAN</t>
  </si>
  <si>
    <t>REKAP PENYIMPANAN DATA INDUK PEGAWAI</t>
  </si>
  <si>
    <t>Link Gdrive</t>
  </si>
  <si>
    <t>▪</t>
  </si>
  <si>
    <t>Back To Dashboard</t>
  </si>
  <si>
    <t>SK Terakhir</t>
  </si>
  <si>
    <t>Kismanto</t>
  </si>
  <si>
    <t>Pemalang, 1 Juni 1993</t>
  </si>
  <si>
    <t>Joko Susilo Yudoyono</t>
  </si>
  <si>
    <t>Satrio Sadewo</t>
  </si>
  <si>
    <t>Sugiharto Sedunyo</t>
  </si>
  <si>
    <t>Pegawai 1</t>
  </si>
  <si>
    <t>Pegawai 2</t>
  </si>
  <si>
    <t>Pegawai 3</t>
  </si>
  <si>
    <t>Pegawai 4</t>
  </si>
  <si>
    <t>Pegawai 5</t>
  </si>
  <si>
    <t>Pegawai 6</t>
  </si>
  <si>
    <t>Pegawai 7</t>
  </si>
  <si>
    <t>Pegawai 8</t>
  </si>
  <si>
    <t>Pegawai 9</t>
  </si>
  <si>
    <t>Pegawai 10</t>
  </si>
  <si>
    <t>2020.01.001</t>
  </si>
  <si>
    <t>2020.01.002</t>
  </si>
  <si>
    <t>2020.09.</t>
  </si>
  <si>
    <t>2021.01.003</t>
  </si>
  <si>
    <t>2021.01.004</t>
  </si>
  <si>
    <t>2021.01.005</t>
  </si>
  <si>
    <t>2022.01.006</t>
  </si>
  <si>
    <t>2022.01.007</t>
  </si>
  <si>
    <t>2022.01.008</t>
  </si>
  <si>
    <t>2023.01.009</t>
  </si>
  <si>
    <t>2023.01.010</t>
  </si>
  <si>
    <t>2023.01.011</t>
  </si>
  <si>
    <t>2023.01.012</t>
  </si>
  <si>
    <t>2024.01.013</t>
  </si>
  <si>
    <t>Pluto, 11 Januari 1970</t>
  </si>
  <si>
    <t>Malang, 12 Februari 1972</t>
  </si>
  <si>
    <t>Semarang, 30 Maret 1973</t>
  </si>
  <si>
    <t>Pemalang, 10 Juni 1985</t>
  </si>
  <si>
    <t>Pemalang, 15 Juli 1987</t>
  </si>
  <si>
    <t>Pemalang, 10 Maret 1986</t>
  </si>
  <si>
    <t>Pemalang, 20 Mei 1986</t>
  </si>
  <si>
    <t>Pemalang, 30 September 1986</t>
  </si>
  <si>
    <t>Pemalang, 4 November 1990</t>
  </si>
  <si>
    <t>Pemalang, 17 Agustus 1991</t>
  </si>
  <si>
    <t>Pemalang, 18 Juni 1992</t>
  </si>
  <si>
    <t>Pemalang, 21 Oktober 1994</t>
  </si>
  <si>
    <t>Pemalang, 22 Desember 1995</t>
  </si>
  <si>
    <t>S3 (Strata 3)</t>
  </si>
  <si>
    <t>S2 (Strata 2)</t>
  </si>
  <si>
    <t>S1 (Strata 1)</t>
  </si>
  <si>
    <t>SMA (Sekolah Menengah Awal)</t>
  </si>
  <si>
    <t>Wakil Kepala Sekolah</t>
  </si>
  <si>
    <t>Bendahara Sekolah</t>
  </si>
  <si>
    <t>Waka Kurikulum</t>
  </si>
  <si>
    <t>Pegawai</t>
  </si>
  <si>
    <t>Guru</t>
  </si>
  <si>
    <t>Universitas Gajah Mada</t>
  </si>
  <si>
    <t>Universitas Indonesia</t>
  </si>
  <si>
    <t>Institut Pertanian Bogor</t>
  </si>
  <si>
    <t>SMAN 1 Randudongkal</t>
  </si>
  <si>
    <t>Universitas Tegal</t>
  </si>
  <si>
    <t>SMAN 1 Belik</t>
  </si>
  <si>
    <t>SMkN 1 Moga</t>
  </si>
  <si>
    <t>SMKN 1 Ampelgading</t>
  </si>
  <si>
    <t>Universitas Gajah Duduk</t>
  </si>
  <si>
    <t>Universitas Dimana Aja</t>
  </si>
  <si>
    <t>Manajemen Pendidikan</t>
  </si>
  <si>
    <t>Pendidikan Guru</t>
  </si>
  <si>
    <t>TKJ</t>
  </si>
  <si>
    <t>TKR</t>
  </si>
  <si>
    <t>01234</t>
  </si>
  <si>
    <t>( Nama Perusahaan / Institusi )</t>
  </si>
  <si>
    <t>BUKU REGISTER SK KETUA ( Nama Perusahaan / Institusi )</t>
  </si>
  <si>
    <t>(Visi ataupun Keterangan Lainnya)</t>
  </si>
  <si>
    <t>"LOREM IPSUM"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</si>
</sst>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dd\-mm\-yyyy"/>
    <numFmt numFmtId="166" formatCode="[$-13809]dddd\,\ dd\ mmmm\ yyyy;@"/>
    <numFmt numFmtId="167" formatCode="[$-10409]hh:mm\ AM/PM;@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9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i/>
      <u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2" fillId="0" borderId="0"/>
    <xf numFmtId="0" fontId="23" fillId="0" borderId="0">
      <alignment vertical="center"/>
    </xf>
    <xf numFmtId="0" fontId="27" fillId="0" borderId="0" applyNumberFormat="0" applyFill="0" applyBorder="0" applyAlignment="0" applyProtection="0"/>
  </cellStyleXfs>
  <cellXfs count="19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7" fillId="0" borderId="0" xfId="0" applyFont="1"/>
    <xf numFmtId="0" fontId="5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quotePrefix="1" applyFont="1" applyBorder="1" applyAlignment="1">
      <alignment vertical="top"/>
    </xf>
    <xf numFmtId="0" fontId="5" fillId="0" borderId="1" xfId="0" quotePrefix="1" applyFont="1" applyBorder="1" applyAlignment="1">
      <alignment horizontal="center" vertical="top"/>
    </xf>
    <xf numFmtId="0" fontId="9" fillId="0" borderId="0" xfId="0" applyFont="1"/>
    <xf numFmtId="165" fontId="9" fillId="0" borderId="1" xfId="0" applyNumberFormat="1" applyFont="1" applyBorder="1" applyAlignment="1">
      <alignment horizontal="center" vertical="top"/>
    </xf>
    <xf numFmtId="0" fontId="9" fillId="0" borderId="1" xfId="0" applyFont="1" applyBorder="1"/>
    <xf numFmtId="0" fontId="9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0" fontId="0" fillId="5" borderId="1" xfId="0" applyFill="1" applyBorder="1"/>
    <xf numFmtId="165" fontId="0" fillId="0" borderId="0" xfId="0" applyNumberForma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 vertical="top"/>
    </xf>
    <xf numFmtId="0" fontId="0" fillId="5" borderId="0" xfId="0" applyFill="1"/>
    <xf numFmtId="165" fontId="0" fillId="5" borderId="0" xfId="0" applyNumberFormat="1" applyFill="1"/>
    <xf numFmtId="0" fontId="0" fillId="3" borderId="1" xfId="0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6" borderId="1" xfId="0" quotePrefix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7" fillId="0" borderId="5" xfId="0" applyFont="1" applyBorder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4" fontId="5" fillId="0" borderId="1" xfId="0" applyNumberFormat="1" applyFont="1" applyBorder="1" applyAlignment="1">
      <alignment horizontal="left" vertical="top"/>
    </xf>
    <xf numFmtId="0" fontId="20" fillId="0" borderId="0" xfId="0" applyFont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0" fillId="10" borderId="0" xfId="0" applyFill="1"/>
    <xf numFmtId="0" fontId="0" fillId="5" borderId="0" xfId="0" applyFill="1" applyAlignment="1">
      <alignment horizontal="center"/>
    </xf>
    <xf numFmtId="0" fontId="5" fillId="0" borderId="1" xfId="0" quotePrefix="1" applyFont="1" applyBorder="1" applyAlignment="1">
      <alignment horizontal="left" vertical="top"/>
    </xf>
    <xf numFmtId="0" fontId="7" fillId="9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11" borderId="0" xfId="0" applyFill="1"/>
    <xf numFmtId="0" fontId="0" fillId="0" borderId="5" xfId="0" applyBorder="1"/>
    <xf numFmtId="166" fontId="0" fillId="0" borderId="0" xfId="0" applyNumberFormat="1"/>
    <xf numFmtId="167" fontId="0" fillId="0" borderId="0" xfId="0" applyNumberFormat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" xfId="0" applyFont="1" applyFill="1" applyBorder="1"/>
    <xf numFmtId="0" fontId="0" fillId="12" borderId="0" xfId="0" applyFill="1" applyAlignment="1">
      <alignment horizontal="center"/>
    </xf>
    <xf numFmtId="14" fontId="0" fillId="0" borderId="1" xfId="0" applyNumberFormat="1" applyBorder="1"/>
    <xf numFmtId="14" fontId="0" fillId="1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6" fillId="13" borderId="1" xfId="0" applyFont="1" applyFill="1" applyBorder="1"/>
    <xf numFmtId="14" fontId="0" fillId="13" borderId="1" xfId="0" applyNumberFormat="1" applyFill="1" applyBorder="1"/>
    <xf numFmtId="14" fontId="20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30" fillId="0" borderId="0" xfId="0" applyFont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1" fillId="11" borderId="0" xfId="5" applyFont="1" applyFill="1" applyAlignment="1">
      <alignment horizontal="right"/>
    </xf>
    <xf numFmtId="0" fontId="32" fillId="4" borderId="0" xfId="5" applyFont="1" applyFill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left" vertical="center"/>
    </xf>
    <xf numFmtId="0" fontId="28" fillId="0" borderId="3" xfId="5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165" fontId="5" fillId="13" borderId="1" xfId="0" applyNumberFormat="1" applyFont="1" applyFill="1" applyBorder="1" applyAlignment="1">
      <alignment horizontal="center" vertical="center"/>
    </xf>
    <xf numFmtId="17" fontId="5" fillId="13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5" fillId="0" borderId="0" xfId="0" applyFont="1" applyAlignment="1">
      <alignment horizontal="center" vertical="top"/>
    </xf>
    <xf numFmtId="0" fontId="25" fillId="0" borderId="1" xfId="0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9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</cellXfs>
  <cellStyles count="6">
    <cellStyle name="Comma [0] 2" xfId="1" xr:uid="{00000000-0005-0000-0000-000000000000}"/>
    <cellStyle name="Hyperlink" xfId="5" builtinId="8"/>
    <cellStyle name="Normal" xfId="0" builtinId="0"/>
    <cellStyle name="Normal 2" xfId="2" xr:uid="{00000000-0005-0000-0000-000002000000}"/>
    <cellStyle name="Normal 3" xfId="3" xr:uid="{DE180FB7-5D7C-4299-A899-C572A1AD9C0D}"/>
    <cellStyle name="Normal 4" xfId="4" xr:uid="{5E76187A-43AF-4958-9EA4-8C1CABEDD7AC}"/>
  </cellStyles>
  <dxfs count="3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75DBFF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75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cap="all" spc="5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jUMLAH PEGAWAI</a:t>
            </a:r>
          </a:p>
        </c:rich>
      </c:tx>
      <c:layout>
        <c:manualLayout>
          <c:xMode val="edge"/>
          <c:yMode val="edge"/>
          <c:x val="0.27262296805747743"/>
          <c:y val="7.7390425610435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cap="all" spc="5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2266802827121"/>
          <c:y val="0.20765492855059783"/>
          <c:w val="0.64322306128116236"/>
          <c:h val="0.65439012831729371"/>
        </c:manualLayout>
      </c:layout>
      <c:doughnutChart>
        <c:varyColors val="1"/>
        <c:ser>
          <c:idx val="0"/>
          <c:order val="0"/>
          <c:tx>
            <c:strRef>
              <c:f>'data dashboard'!$B$1</c:f>
              <c:strCache>
                <c:ptCount val="1"/>
                <c:pt idx="0">
                  <c:v>Laporan Berdasarkan Jenis Kelamin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CB-4BA3-8B6B-2CF61D03B94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CB-4BA3-8B6B-2CF61D03B94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9A49FF7-07C4-47B3-B70A-FB4D48A3571C}" type="CATEGORYNAME">
                      <a:rPr lang="en-US" sz="600"/>
                      <a:pPr/>
                      <a:t>[CATEGORY NAME]</a:t>
                    </a:fld>
                    <a:endParaRPr lang="en-US" baseline="0"/>
                  </a:p>
                  <a:p>
                    <a:fld id="{4C3CE5FC-A7E0-44E9-A521-B7014F5CACFF}" type="VALUE">
                      <a:rPr lang="en-US" sz="10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BCB-4BA3-8B6B-2CF61D03B9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7EA035-E42A-499E-9722-308E7F07B108}" type="CATEGORYNAME">
                      <a:rPr lang="en-US" sz="600"/>
                      <a:pPr/>
                      <a:t>[CATEGORY NAME]</a:t>
                    </a:fld>
                    <a:endParaRPr lang="en-US" baseline="0"/>
                  </a:p>
                  <a:p>
                    <a:fld id="{F70EDF09-D876-4768-9672-0361F5533E99}" type="VALUE">
                      <a:rPr lang="en-US" sz="10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BCB-4BA3-8B6B-2CF61D03B9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dashboard'!$A$2:$A$3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'data dashboard'!$B$2:$B$3</c:f>
              <c:numCache>
                <c:formatCode>General</c:formatCode>
                <c:ptCount val="2"/>
                <c:pt idx="0">
                  <c:v>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CB-4BA3-8B6B-2CF61D03B94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744976151585663"/>
          <c:y val="0.88538658996648856"/>
          <c:w val="0.5010142162263846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JUMLAH</a:t>
            </a:r>
            <a:r>
              <a:rPr lang="en-US" baseline="0"/>
              <a:t> BERDASARKAN</a:t>
            </a:r>
            <a:endParaRPr lang="en-US"/>
          </a:p>
          <a:p>
            <a:pPr>
              <a:defRPr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/>
              <a:t>STATUS KEPEGAWAIAN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568010797415603E-2"/>
          <c:y val="0.19899265774951833"/>
          <c:w val="0.92297291953202698"/>
          <c:h val="0.70633507780601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 dashboard'!$B$6</c:f>
              <c:strCache>
                <c:ptCount val="1"/>
                <c:pt idx="0">
                  <c:v>Laporan Berdasarkan Status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dashboard'!$A$7:$A$11</c:f>
              <c:strCache>
                <c:ptCount val="5"/>
                <c:pt idx="0">
                  <c:v>Magang</c:v>
                </c:pt>
                <c:pt idx="1">
                  <c:v>GTT</c:v>
                </c:pt>
                <c:pt idx="2">
                  <c:v>PTT</c:v>
                </c:pt>
                <c:pt idx="3">
                  <c:v>GTY</c:v>
                </c:pt>
                <c:pt idx="4">
                  <c:v>PTY</c:v>
                </c:pt>
              </c:strCache>
            </c:strRef>
          </c:cat>
          <c:val>
            <c:numRef>
              <c:f>'data dashboard'!$B$7:$B$11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E-4B85-8183-31687470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52"/>
        <c:axId val="910210095"/>
        <c:axId val="910210575"/>
      </c:barChart>
      <c:catAx>
        <c:axId val="91021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210575"/>
        <c:crosses val="autoZero"/>
        <c:auto val="1"/>
        <c:lblAlgn val="ctr"/>
        <c:lblOffset val="100"/>
        <c:noMultiLvlLbl val="0"/>
      </c:catAx>
      <c:valAx>
        <c:axId val="9102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21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Rekap Simpan DIP'!A1"/><Relationship Id="rId3" Type="http://schemas.openxmlformats.org/officeDocument/2006/relationships/hyperlink" Target="#'REGISTER SK'!A1"/><Relationship Id="rId7" Type="http://schemas.openxmlformats.org/officeDocument/2006/relationships/hyperlink" Target="#'Kontrol Perpanjangan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Pegawai Aktif'!A1"/><Relationship Id="rId5" Type="http://schemas.openxmlformats.org/officeDocument/2006/relationships/hyperlink" Target="#'Data Induk Pegawai'!A1"/><Relationship Id="rId4" Type="http://schemas.openxmlformats.org/officeDocument/2006/relationships/hyperlink" Target="#'Draft SK'!A1"/><Relationship Id="rId9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110561</xdr:colOff>
      <xdr:row>14</xdr:row>
      <xdr:rowOff>98500</xdr:rowOff>
    </xdr:from>
    <xdr:to>
      <xdr:col>5</xdr:col>
      <xdr:colOff>297551</xdr:colOff>
      <xdr:row>30</xdr:row>
      <xdr:rowOff>93562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7D5CF-B7A7-4F49-8233-CC1900127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468544</xdr:colOff>
      <xdr:row>14</xdr:row>
      <xdr:rowOff>98500</xdr:rowOff>
    </xdr:from>
    <xdr:to>
      <xdr:col>14</xdr:col>
      <xdr:colOff>440143</xdr:colOff>
      <xdr:row>30</xdr:row>
      <xdr:rowOff>93562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32B4BC-6358-498D-9411-ECC9436D9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324</xdr:colOff>
      <xdr:row>14</xdr:row>
      <xdr:rowOff>98500</xdr:rowOff>
    </xdr:from>
    <xdr:to>
      <xdr:col>22</xdr:col>
      <xdr:colOff>475819</xdr:colOff>
      <xdr:row>30</xdr:row>
      <xdr:rowOff>93562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84FB9C-0957-4299-28D5-01E8E960ACC1}"/>
            </a:ext>
          </a:extLst>
        </xdr:cNvPr>
        <xdr:cNvSpPr txBox="1"/>
      </xdr:nvSpPr>
      <xdr:spPr>
        <a:xfrm>
          <a:off x="9185145" y="2638500"/>
          <a:ext cx="4761745" cy="2897919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n-US" sz="200" b="1" kern="12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DAFTAR MENU</a:t>
          </a:r>
        </a:p>
        <a:p>
          <a:pPr algn="ctr"/>
          <a:r>
            <a:rPr lang="en-US" sz="900" b="0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(Click salah satu untuk menuju sheet yang dimaksud)</a:t>
          </a:r>
        </a:p>
      </xdr:txBody>
    </xdr:sp>
    <xdr:clientData/>
  </xdr:twoCellAnchor>
  <xdr:twoCellAnchor>
    <xdr:from>
      <xdr:col>15</xdr:col>
      <xdr:colOff>184468</xdr:colOff>
      <xdr:row>17</xdr:row>
      <xdr:rowOff>111769</xdr:rowOff>
    </xdr:from>
    <xdr:to>
      <xdr:col>22</xdr:col>
      <xdr:colOff>289635</xdr:colOff>
      <xdr:row>19</xdr:row>
      <xdr:rowOff>18280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57BA17-330A-4E6D-BA90-87345E9AD70B}"/>
            </a:ext>
          </a:extLst>
        </xdr:cNvPr>
        <xdr:cNvSpPr txBox="1"/>
      </xdr:nvSpPr>
      <xdr:spPr>
        <a:xfrm>
          <a:off x="9373292" y="3660298"/>
          <a:ext cx="4393284" cy="280041"/>
        </a:xfrm>
        <a:prstGeom prst="hexagon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Buku Register SK Yayasan Haqqus Sunnah Pemalang</a:t>
          </a:r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184468</xdr:colOff>
      <xdr:row>19</xdr:row>
      <xdr:rowOff>134300</xdr:rowOff>
    </xdr:from>
    <xdr:to>
      <xdr:col>22</xdr:col>
      <xdr:colOff>289635</xdr:colOff>
      <xdr:row>21</xdr:row>
      <xdr:rowOff>37647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AF15A4-F78B-4F6D-96B2-4175A019BDC2}"/>
            </a:ext>
          </a:extLst>
        </xdr:cNvPr>
        <xdr:cNvSpPr txBox="1"/>
      </xdr:nvSpPr>
      <xdr:spPr>
        <a:xfrm>
          <a:off x="9373292" y="4056359"/>
          <a:ext cx="4393284" cy="276876"/>
        </a:xfrm>
        <a:prstGeom prst="hexagon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Database Draft SK</a:t>
          </a:r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184468</xdr:colOff>
      <xdr:row>21</xdr:row>
      <xdr:rowOff>153667</xdr:rowOff>
    </xdr:from>
    <xdr:to>
      <xdr:col>22</xdr:col>
      <xdr:colOff>289635</xdr:colOff>
      <xdr:row>23</xdr:row>
      <xdr:rowOff>57014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52A9FF-DE82-47A2-B4C5-D7DDA69FF5D4}"/>
            </a:ext>
          </a:extLst>
        </xdr:cNvPr>
        <xdr:cNvSpPr txBox="1"/>
      </xdr:nvSpPr>
      <xdr:spPr>
        <a:xfrm>
          <a:off x="9373292" y="4449255"/>
          <a:ext cx="4393284" cy="276877"/>
        </a:xfrm>
        <a:prstGeom prst="hexagon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Data Induk Kepegawaian</a:t>
          </a:r>
        </a:p>
      </xdr:txBody>
    </xdr:sp>
    <xdr:clientData/>
  </xdr:twoCellAnchor>
  <xdr:twoCellAnchor>
    <xdr:from>
      <xdr:col>15</xdr:col>
      <xdr:colOff>184468</xdr:colOff>
      <xdr:row>23</xdr:row>
      <xdr:rowOff>173034</xdr:rowOff>
    </xdr:from>
    <xdr:to>
      <xdr:col>22</xdr:col>
      <xdr:colOff>289635</xdr:colOff>
      <xdr:row>25</xdr:row>
      <xdr:rowOff>79545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44156A-C2EE-403C-BBA3-00372C759F2C}"/>
            </a:ext>
          </a:extLst>
        </xdr:cNvPr>
        <xdr:cNvSpPr txBox="1"/>
      </xdr:nvSpPr>
      <xdr:spPr>
        <a:xfrm>
          <a:off x="9373292" y="4842152"/>
          <a:ext cx="4393284" cy="280040"/>
        </a:xfrm>
        <a:prstGeom prst="hexagon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Daftar Pegawai Aktif</a:t>
          </a:r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184468</xdr:colOff>
      <xdr:row>26</xdr:row>
      <xdr:rowOff>8800</xdr:rowOff>
    </xdr:from>
    <xdr:to>
      <xdr:col>22</xdr:col>
      <xdr:colOff>289635</xdr:colOff>
      <xdr:row>27</xdr:row>
      <xdr:rowOff>102077</xdr:rowOff>
    </xdr:to>
    <xdr:sp macro="" textlink="">
      <xdr:nvSpPr>
        <xdr:cNvPr id="10" name="TextBox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2A0123-6CE2-4EC9-87EF-F24DE1058E42}"/>
            </a:ext>
          </a:extLst>
        </xdr:cNvPr>
        <xdr:cNvSpPr txBox="1"/>
      </xdr:nvSpPr>
      <xdr:spPr>
        <a:xfrm>
          <a:off x="9373292" y="5238212"/>
          <a:ext cx="4393284" cy="280041"/>
        </a:xfrm>
        <a:prstGeom prst="hexagon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Buku Kontrol Perpanjangan dan Pengangkatan</a:t>
          </a:r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184468</xdr:colOff>
      <xdr:row>28</xdr:row>
      <xdr:rowOff>31331</xdr:rowOff>
    </xdr:from>
    <xdr:to>
      <xdr:col>22</xdr:col>
      <xdr:colOff>289635</xdr:colOff>
      <xdr:row>29</xdr:row>
      <xdr:rowOff>121443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735434E-B689-46F4-8E55-13799744BB55}"/>
            </a:ext>
          </a:extLst>
        </xdr:cNvPr>
        <xdr:cNvSpPr txBox="1"/>
      </xdr:nvSpPr>
      <xdr:spPr>
        <a:xfrm>
          <a:off x="9373292" y="5634272"/>
          <a:ext cx="4393284" cy="276877"/>
        </a:xfrm>
        <a:prstGeom prst="hexagon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List Penyimpanan Dokumen Kepegawaian</a:t>
          </a:r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500686</xdr:colOff>
      <xdr:row>0</xdr:row>
      <xdr:rowOff>152400</xdr:rowOff>
    </xdr:from>
    <xdr:to>
      <xdr:col>15</xdr:col>
      <xdr:colOff>85694</xdr:colOff>
      <xdr:row>12</xdr:row>
      <xdr:rowOff>8022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93D318-203A-A2E3-4869-67C58FD31135}"/>
            </a:ext>
          </a:extLst>
        </xdr:cNvPr>
        <xdr:cNvGrpSpPr/>
      </xdr:nvGrpSpPr>
      <xdr:grpSpPr>
        <a:xfrm>
          <a:off x="4795008" y="152400"/>
          <a:ext cx="4492805" cy="2051215"/>
          <a:chOff x="4802299" y="152400"/>
          <a:chExt cx="4501137" cy="2067880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BE31696-9E4B-B5F8-5214-1441885F1938}"/>
              </a:ext>
            </a:extLst>
          </xdr:cNvPr>
          <xdr:cNvSpPr txBox="1"/>
        </xdr:nvSpPr>
        <xdr:spPr>
          <a:xfrm>
            <a:off x="4802299" y="1325100"/>
            <a:ext cx="4501137" cy="8951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2000" b="1" kern="1200">
                <a:solidFill>
                  <a:schemeClr val="bg1"/>
                </a:solidFill>
              </a:rPr>
              <a:t>( Nama</a:t>
            </a:r>
            <a:r>
              <a:rPr lang="en-US" sz="2000" b="1" kern="1200" baseline="0">
                <a:solidFill>
                  <a:schemeClr val="bg1"/>
                </a:solidFill>
              </a:rPr>
              <a:t> Perusahaan / Institusi )</a:t>
            </a:r>
            <a:endParaRPr lang="en-US" sz="2000" b="1" kern="1200">
              <a:solidFill>
                <a:schemeClr val="bg1"/>
              </a:solidFill>
            </a:endParaRPr>
          </a:p>
          <a:p>
            <a:pPr algn="ctr"/>
            <a:r>
              <a:rPr lang="en-US" sz="1200" b="0" kern="1200">
                <a:solidFill>
                  <a:schemeClr val="bg1"/>
                </a:solidFill>
              </a:rPr>
              <a:t>RiINCIAN LAIN-LAIN,</a:t>
            </a:r>
            <a:r>
              <a:rPr lang="en-US" sz="1200" b="0" kern="1200" baseline="0">
                <a:solidFill>
                  <a:schemeClr val="bg1"/>
                </a:solidFill>
              </a:rPr>
              <a:t> RINCIAN LAIN-LAIN, RINCIAN LAIN-LAIN</a:t>
            </a:r>
          </a:p>
          <a:p>
            <a:pPr algn="ctr"/>
            <a:r>
              <a:rPr lang="en-US" sz="1200" b="0" kern="1200">
                <a:solidFill>
                  <a:schemeClr val="bg1"/>
                </a:solidFill>
              </a:rPr>
              <a:t>RiINCIAN LAIN-LAIN, RINCIAN LAIN-LAIN, RINCIAN LAIN-LAIN</a:t>
            </a:r>
          </a:p>
          <a:p>
            <a:pPr algn="ctr"/>
            <a:endParaRPr lang="en-US" sz="2000" b="1" kern="1200">
              <a:solidFill>
                <a:schemeClr val="bg1"/>
              </a:solidFill>
            </a:endParaRP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45C66949-1074-CC91-EB92-EFD0D6FEF6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452544" y="152400"/>
            <a:ext cx="1200647" cy="1195437"/>
          </a:xfrm>
          <a:prstGeom prst="roundRect">
            <a:avLst/>
          </a:prstGeom>
        </xdr:spPr>
      </xdr:pic>
    </xdr:grpSp>
    <xdr:clientData/>
  </xdr:twoCellAnchor>
  <xdr:twoCellAnchor>
    <xdr:from>
      <xdr:col>17</xdr:col>
      <xdr:colOff>289867</xdr:colOff>
      <xdr:row>4</xdr:row>
      <xdr:rowOff>48420</xdr:rowOff>
    </xdr:from>
    <xdr:to>
      <xdr:col>22</xdr:col>
      <xdr:colOff>516786</xdr:colOff>
      <xdr:row>10</xdr:row>
      <xdr:rowOff>159212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85C163F0-6BC5-4A30-F5F9-79A90CB9312C}"/>
            </a:ext>
          </a:extLst>
        </xdr:cNvPr>
        <xdr:cNvGrpSpPr/>
      </xdr:nvGrpSpPr>
      <xdr:grpSpPr>
        <a:xfrm>
          <a:off x="10718935" y="780284"/>
          <a:ext cx="3294292" cy="1208589"/>
          <a:chOff x="10673629" y="766114"/>
          <a:chExt cx="3280734" cy="1199364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D30BFCD9-211C-4260-A796-83005ABD86F2}"/>
              </a:ext>
            </a:extLst>
          </xdr:cNvPr>
          <xdr:cNvSpPr txBox="1"/>
        </xdr:nvSpPr>
        <xdr:spPr>
          <a:xfrm>
            <a:off x="11431056" y="766114"/>
            <a:ext cx="2340000" cy="2551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r>
              <a:rPr lang="en-US" sz="2000" b="1" kern="1200">
                <a:solidFill>
                  <a:schemeClr val="bg1"/>
                </a:solidFill>
                <a:latin typeface="+mn-lt"/>
                <a:cs typeface="Arial" panose="020B0604020202020204" pitchFamily="34" charset="0"/>
              </a:rPr>
              <a:t>DATABASE PEGAWAI</a:t>
            </a:r>
          </a:p>
        </xdr:txBody>
      </xdr:sp>
      <xdr:sp macro="" textlink="'data dashboard'!C14">
        <xdr:nvSpPr>
          <xdr:cNvPr id="20" name="TextBox 19">
            <a:extLst>
              <a:ext uri="{FF2B5EF4-FFF2-40B4-BE49-F238E27FC236}">
                <a16:creationId xmlns:a16="http://schemas.microsoft.com/office/drawing/2014/main" id="{CEFD4B9B-0AB4-43E0-AD6D-FA809FEFAC45}"/>
              </a:ext>
            </a:extLst>
          </xdr:cNvPr>
          <xdr:cNvSpPr txBox="1"/>
        </xdr:nvSpPr>
        <xdr:spPr>
          <a:xfrm>
            <a:off x="10673629" y="1064484"/>
            <a:ext cx="3240000" cy="6818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fld id="{F62FAB02-8DB2-4F36-8B98-7EFBE26E6FAA}" type="TxLink">
              <a:rPr lang="en-US" sz="5400" b="1" i="0" u="none" strike="noStrike" kern="1200">
                <a:solidFill>
                  <a:schemeClr val="bg1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pPr/>
              <a:t>07:32 AM</a:t>
            </a:fld>
            <a:endParaRPr lang="en-US" sz="54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'data dashboard'!B14">
        <xdr:nvSpPr>
          <xdr:cNvPr id="21" name="TextBox 20">
            <a:extLst>
              <a:ext uri="{FF2B5EF4-FFF2-40B4-BE49-F238E27FC236}">
                <a16:creationId xmlns:a16="http://schemas.microsoft.com/office/drawing/2014/main" id="{3E4DD331-7258-4709-9D62-54FDCAC083EA}"/>
              </a:ext>
            </a:extLst>
          </xdr:cNvPr>
          <xdr:cNvSpPr txBox="1"/>
        </xdr:nvSpPr>
        <xdr:spPr>
          <a:xfrm>
            <a:off x="10714363" y="1727811"/>
            <a:ext cx="3240000" cy="237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fld id="{AF6FE6F5-D383-4A32-8092-E2F3A7BBB2B4}" type="TxLink">
              <a:rPr lang="en-US" sz="1800" b="0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Wednesday, 26 November 2025</a:t>
            </a:fld>
            <a:endParaRPr lang="en-US" sz="18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110561</xdr:colOff>
      <xdr:row>0</xdr:row>
      <xdr:rowOff>152400</xdr:rowOff>
    </xdr:from>
    <xdr:to>
      <xdr:col>5</xdr:col>
      <xdr:colOff>292100</xdr:colOff>
      <xdr:row>14</xdr:row>
      <xdr:rowOff>32845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6AD404A-A556-4F88-9004-9F21E501DF1A}"/>
            </a:ext>
          </a:extLst>
        </xdr:cNvPr>
        <xdr:cNvSpPr txBox="1"/>
      </xdr:nvSpPr>
      <xdr:spPr>
        <a:xfrm>
          <a:off x="110561" y="339777"/>
          <a:ext cx="3252441" cy="2503724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n-US" sz="500" b="1" kern="12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Reminder</a:t>
          </a:r>
        </a:p>
      </xdr:txBody>
    </xdr:sp>
    <xdr:clientData/>
  </xdr:twoCellAnchor>
  <xdr:twoCellAnchor>
    <xdr:from>
      <xdr:col>0</xdr:col>
      <xdr:colOff>234024</xdr:colOff>
      <xdr:row>3</xdr:row>
      <xdr:rowOff>66438</xdr:rowOff>
    </xdr:from>
    <xdr:to>
      <xdr:col>5</xdr:col>
      <xdr:colOff>168638</xdr:colOff>
      <xdr:row>4</xdr:row>
      <xdr:rowOff>125768</xdr:rowOff>
    </xdr:to>
    <xdr:sp macro="" textlink="'data dashboard'!B33">
      <xdr:nvSpPr>
        <xdr:cNvPr id="25" name="TextBox 24">
          <a:extLst>
            <a:ext uri="{FF2B5EF4-FFF2-40B4-BE49-F238E27FC236}">
              <a16:creationId xmlns:a16="http://schemas.microsoft.com/office/drawing/2014/main" id="{4441A4AE-0B84-D064-29FF-68F3BE380F0C}"/>
            </a:ext>
          </a:extLst>
        </xdr:cNvPr>
        <xdr:cNvSpPr txBox="1"/>
      </xdr:nvSpPr>
      <xdr:spPr>
        <a:xfrm>
          <a:off x="234024" y="810921"/>
          <a:ext cx="3000131" cy="2454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D3AE077-999E-4C90-BF07-076BBFAC3CE2}" type="TxLink">
            <a:rPr lang="en-US" sz="12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01/07/2025 Pembuatan SK Perpanjangan GTY/PTY</a:t>
          </a:fld>
          <a:endParaRPr lang="en-US" sz="105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234024</xdr:colOff>
      <xdr:row>5</xdr:row>
      <xdr:rowOff>17199</xdr:rowOff>
    </xdr:from>
    <xdr:to>
      <xdr:col>5</xdr:col>
      <xdr:colOff>168638</xdr:colOff>
      <xdr:row>6</xdr:row>
      <xdr:rowOff>76528</xdr:rowOff>
    </xdr:to>
    <xdr:sp macro="" textlink="'data dashboard'!B34">
      <xdr:nvSpPr>
        <xdr:cNvPr id="26" name="TextBox 25">
          <a:extLst>
            <a:ext uri="{FF2B5EF4-FFF2-40B4-BE49-F238E27FC236}">
              <a16:creationId xmlns:a16="http://schemas.microsoft.com/office/drawing/2014/main" id="{E412442D-1AB7-4D3D-8E57-1B3C9A195711}"/>
            </a:ext>
          </a:extLst>
        </xdr:cNvPr>
        <xdr:cNvSpPr txBox="1"/>
      </xdr:nvSpPr>
      <xdr:spPr>
        <a:xfrm>
          <a:off x="234024" y="1133923"/>
          <a:ext cx="3000131" cy="2454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2A075FA1-3DFF-4DC7-A95B-39331CC2037F}" type="TxLink">
            <a:rPr lang="en-US" sz="12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05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234024</xdr:colOff>
      <xdr:row>6</xdr:row>
      <xdr:rowOff>154080</xdr:rowOff>
    </xdr:from>
    <xdr:to>
      <xdr:col>5</xdr:col>
      <xdr:colOff>168638</xdr:colOff>
      <xdr:row>8</xdr:row>
      <xdr:rowOff>27289</xdr:rowOff>
    </xdr:to>
    <xdr:sp macro="" textlink="'data dashboard'!B35">
      <xdr:nvSpPr>
        <xdr:cNvPr id="27" name="TextBox 26">
          <a:extLst>
            <a:ext uri="{FF2B5EF4-FFF2-40B4-BE49-F238E27FC236}">
              <a16:creationId xmlns:a16="http://schemas.microsoft.com/office/drawing/2014/main" id="{4516F448-A8B4-4796-8BB7-7A8C44CD92DC}"/>
            </a:ext>
          </a:extLst>
        </xdr:cNvPr>
        <xdr:cNvSpPr txBox="1"/>
      </xdr:nvSpPr>
      <xdr:spPr>
        <a:xfrm>
          <a:off x="234024" y="1456925"/>
          <a:ext cx="3000131" cy="2454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1C484195-9CA4-4C85-B871-D38F0019B1C2}" type="TxLink">
            <a:rPr lang="en-US" sz="12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05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234024</xdr:colOff>
      <xdr:row>8</xdr:row>
      <xdr:rowOff>104841</xdr:rowOff>
    </xdr:from>
    <xdr:to>
      <xdr:col>5</xdr:col>
      <xdr:colOff>168638</xdr:colOff>
      <xdr:row>9</xdr:row>
      <xdr:rowOff>164170</xdr:rowOff>
    </xdr:to>
    <xdr:sp macro="" textlink="'data dashboard'!B36">
      <xdr:nvSpPr>
        <xdr:cNvPr id="28" name="TextBox 27">
          <a:extLst>
            <a:ext uri="{FF2B5EF4-FFF2-40B4-BE49-F238E27FC236}">
              <a16:creationId xmlns:a16="http://schemas.microsoft.com/office/drawing/2014/main" id="{2684FCFE-A8A8-4C99-BD14-751C869508E6}"/>
            </a:ext>
          </a:extLst>
        </xdr:cNvPr>
        <xdr:cNvSpPr txBox="1"/>
      </xdr:nvSpPr>
      <xdr:spPr>
        <a:xfrm>
          <a:off x="234024" y="1779927"/>
          <a:ext cx="3000131" cy="2454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25B242FC-6E83-432B-841F-F91EFBD38FA2}" type="TxLink">
            <a:rPr lang="en-US" sz="12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05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234024</xdr:colOff>
      <xdr:row>10</xdr:row>
      <xdr:rowOff>55601</xdr:rowOff>
    </xdr:from>
    <xdr:to>
      <xdr:col>5</xdr:col>
      <xdr:colOff>168638</xdr:colOff>
      <xdr:row>11</xdr:row>
      <xdr:rowOff>114931</xdr:rowOff>
    </xdr:to>
    <xdr:sp macro="" textlink="'data dashboard'!B37">
      <xdr:nvSpPr>
        <xdr:cNvPr id="29" name="TextBox 28">
          <a:extLst>
            <a:ext uri="{FF2B5EF4-FFF2-40B4-BE49-F238E27FC236}">
              <a16:creationId xmlns:a16="http://schemas.microsoft.com/office/drawing/2014/main" id="{06A7AA7B-49A1-4876-8548-0466F1E52351}"/>
            </a:ext>
          </a:extLst>
        </xdr:cNvPr>
        <xdr:cNvSpPr txBox="1"/>
      </xdr:nvSpPr>
      <xdr:spPr>
        <a:xfrm>
          <a:off x="234024" y="2102929"/>
          <a:ext cx="3000131" cy="2454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94D0A50F-FE52-46CE-B9EA-9F85F17EDEDF}" type="TxLink">
            <a:rPr lang="en-US" sz="12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05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234024</xdr:colOff>
      <xdr:row>12</xdr:row>
      <xdr:rowOff>6364</xdr:rowOff>
    </xdr:from>
    <xdr:to>
      <xdr:col>5</xdr:col>
      <xdr:colOff>168638</xdr:colOff>
      <xdr:row>13</xdr:row>
      <xdr:rowOff>65693</xdr:rowOff>
    </xdr:to>
    <xdr:sp macro="" textlink="'data dashboard'!B38">
      <xdr:nvSpPr>
        <xdr:cNvPr id="30" name="TextBox 29">
          <a:extLst>
            <a:ext uri="{FF2B5EF4-FFF2-40B4-BE49-F238E27FC236}">
              <a16:creationId xmlns:a16="http://schemas.microsoft.com/office/drawing/2014/main" id="{E77CD7B8-90B2-4223-BF79-79AAF5179BA1}"/>
            </a:ext>
          </a:extLst>
        </xdr:cNvPr>
        <xdr:cNvSpPr txBox="1"/>
      </xdr:nvSpPr>
      <xdr:spPr>
        <a:xfrm>
          <a:off x="234024" y="2425933"/>
          <a:ext cx="3000131" cy="24545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67DEDC56-05FF-49A6-ABF7-4F864B06ED3C}" type="TxLink">
            <a:rPr lang="en-US" sz="12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050" b="1" kern="12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101600</xdr:colOff>
      <xdr:row>0</xdr:row>
      <xdr:rowOff>119763</xdr:rowOff>
    </xdr:from>
    <xdr:ext cx="882650" cy="651890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D64A0-50E9-0150-2CC2-3E190B3295B7}"/>
            </a:ext>
          </a:extLst>
        </xdr:cNvPr>
        <xdr:cNvSpPr txBox="1"/>
      </xdr:nvSpPr>
      <xdr:spPr>
        <a:xfrm>
          <a:off x="10020300" y="119763"/>
          <a:ext cx="882650" cy="651890"/>
        </a:xfrm>
        <a:prstGeom prst="rightArrow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en-US" sz="8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</a:t>
          </a:r>
        </a:p>
        <a:p>
          <a:r>
            <a:rPr lang="en-US" sz="8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676668</xdr:colOff>
      <xdr:row>0</xdr:row>
      <xdr:rowOff>0</xdr:rowOff>
    </xdr:from>
    <xdr:ext cx="920753" cy="635000"/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7575A8-3560-4E8E-B743-893F0FE2AA73}"/>
            </a:ext>
          </a:extLst>
        </xdr:cNvPr>
        <xdr:cNvSpPr txBox="1"/>
      </xdr:nvSpPr>
      <xdr:spPr>
        <a:xfrm>
          <a:off x="4506512" y="0"/>
          <a:ext cx="920753" cy="635000"/>
        </a:xfrm>
        <a:prstGeom prst="rightArrow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7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</a:t>
          </a:r>
          <a:r>
            <a:rPr lang="en-US" sz="7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125524</xdr:colOff>
      <xdr:row>0</xdr:row>
      <xdr:rowOff>44301</xdr:rowOff>
    </xdr:from>
    <xdr:ext cx="634533" cy="479942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7427C9-B8D2-4891-9A3B-57FD2BD164F0}"/>
            </a:ext>
          </a:extLst>
        </xdr:cNvPr>
        <xdr:cNvSpPr txBox="1"/>
      </xdr:nvSpPr>
      <xdr:spPr>
        <a:xfrm>
          <a:off x="3263605" y="44301"/>
          <a:ext cx="634533" cy="479942"/>
        </a:xfrm>
        <a:prstGeom prst="rightArrow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</a:t>
          </a:r>
          <a:r>
            <a:rPr lang="en-US" sz="5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239156</xdr:colOff>
      <xdr:row>0</xdr:row>
      <xdr:rowOff>156688</xdr:rowOff>
    </xdr:from>
    <xdr:ext cx="666753" cy="488221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AC4BB-48B9-4FE1-BC08-A33991825FC7}"/>
            </a:ext>
          </a:extLst>
        </xdr:cNvPr>
        <xdr:cNvSpPr txBox="1"/>
      </xdr:nvSpPr>
      <xdr:spPr>
        <a:xfrm>
          <a:off x="13615390" y="156688"/>
          <a:ext cx="666753" cy="488221"/>
        </a:xfrm>
        <a:prstGeom prst="rightArrow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</a:t>
          </a:r>
          <a:r>
            <a:rPr lang="en-US" sz="5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731763</xdr:colOff>
      <xdr:row>0</xdr:row>
      <xdr:rowOff>120402</xdr:rowOff>
    </xdr:from>
    <xdr:ext cx="666753" cy="488221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3B4C1-17C1-4269-B582-F1C0FEC19293}"/>
            </a:ext>
          </a:extLst>
        </xdr:cNvPr>
        <xdr:cNvSpPr txBox="1"/>
      </xdr:nvSpPr>
      <xdr:spPr>
        <a:xfrm>
          <a:off x="3041953" y="120402"/>
          <a:ext cx="666753" cy="488221"/>
        </a:xfrm>
        <a:prstGeom prst="rightArrow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</a:t>
          </a:r>
          <a:r>
            <a:rPr lang="en-US" sz="5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249836</xdr:colOff>
      <xdr:row>1</xdr:row>
      <xdr:rowOff>0</xdr:rowOff>
    </xdr:from>
    <xdr:ext cx="666753" cy="488221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1EC0E-68DE-4FE0-92D3-83449340D97D}"/>
            </a:ext>
          </a:extLst>
        </xdr:cNvPr>
        <xdr:cNvSpPr txBox="1"/>
      </xdr:nvSpPr>
      <xdr:spPr>
        <a:xfrm>
          <a:off x="11971311" y="0"/>
          <a:ext cx="666753" cy="488221"/>
        </a:xfrm>
        <a:prstGeom prst="rightArrow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</a:t>
          </a:r>
          <a:r>
            <a:rPr lang="en-US" sz="5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5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9D6-BF8A-4F10-B4FD-D3E3C1A61665}">
  <sheetPr>
    <pageSetUpPr fitToPage="1"/>
  </sheetPr>
  <dimension ref="A1:W43"/>
  <sheetViews>
    <sheetView zoomScale="59" zoomScaleNormal="86" workbookViewId="0"/>
  </sheetViews>
  <sheetFormatPr defaultColWidth="0" defaultRowHeight="14.5" zeroHeight="1" x14ac:dyDescent="0.35"/>
  <cols>
    <col min="1" max="23" width="8.7265625" customWidth="1"/>
  </cols>
  <sheetData>
    <row r="1" spans="1:23" x14ac:dyDescent="0.35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29" t="s">
        <v>565</v>
      </c>
    </row>
    <row r="2" spans="1:23" x14ac:dyDescent="0.3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x14ac:dyDescent="0.3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 spans="1:23" x14ac:dyDescent="0.35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 spans="1:23" x14ac:dyDescent="0.3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</row>
    <row r="6" spans="1:23" x14ac:dyDescent="0.35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 spans="1:23" x14ac:dyDescent="0.3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</row>
    <row r="8" spans="1:23" x14ac:dyDescent="0.35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</row>
    <row r="9" spans="1:23" x14ac:dyDescent="0.3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</row>
    <row r="10" spans="1:23" x14ac:dyDescent="0.35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</row>
    <row r="11" spans="1:23" x14ac:dyDescent="0.35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</row>
    <row r="12" spans="1:23" x14ac:dyDescent="0.35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</row>
    <row r="13" spans="1:23" x14ac:dyDescent="0.3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</row>
    <row r="14" spans="1:23" x14ac:dyDescent="0.35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</row>
    <row r="15" spans="1:23" x14ac:dyDescent="0.3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</row>
    <row r="16" spans="1:23" x14ac:dyDescent="0.3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</row>
    <row r="17" spans="1:23" x14ac:dyDescent="0.3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</row>
    <row r="18" spans="1:23" x14ac:dyDescent="0.3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</row>
    <row r="19" spans="1:23" x14ac:dyDescent="0.3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</row>
    <row r="20" spans="1:23" x14ac:dyDescent="0.3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</row>
    <row r="21" spans="1:23" x14ac:dyDescent="0.35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</row>
    <row r="22" spans="1:23" x14ac:dyDescent="0.3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</row>
    <row r="23" spans="1:23" x14ac:dyDescent="0.35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</row>
    <row r="24" spans="1:23" x14ac:dyDescent="0.3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</row>
    <row r="25" spans="1:23" x14ac:dyDescent="0.3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</row>
    <row r="26" spans="1:23" x14ac:dyDescent="0.35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</row>
    <row r="27" spans="1:23" x14ac:dyDescent="0.35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</row>
    <row r="28" spans="1:23" x14ac:dyDescent="0.35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</row>
    <row r="29" spans="1:23" x14ac:dyDescent="0.3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</row>
    <row r="30" spans="1:23" x14ac:dyDescent="0.35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</row>
    <row r="31" spans="1:23" ht="16.5" customHeight="1" x14ac:dyDescent="0.35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</row>
    <row r="33" customFormat="1" hidden="1" x14ac:dyDescent="0.35"/>
    <row r="34" customFormat="1" hidden="1" x14ac:dyDescent="0.35"/>
    <row r="35" customFormat="1" hidden="1" x14ac:dyDescent="0.35"/>
    <row r="36" customFormat="1" hidden="1" x14ac:dyDescent="0.35"/>
    <row r="37" customFormat="1" hidden="1" x14ac:dyDescent="0.35"/>
    <row r="38" customFormat="1" hidden="1" x14ac:dyDescent="0.35"/>
    <row r="39" customFormat="1" hidden="1" x14ac:dyDescent="0.35"/>
    <row r="40" customFormat="1" hidden="1" x14ac:dyDescent="0.35"/>
    <row r="41" customFormat="1" hidden="1" x14ac:dyDescent="0.35"/>
    <row r="42" customFormat="1" hidden="1" x14ac:dyDescent="0.35"/>
    <row r="43" customFormat="1" hidden="1" x14ac:dyDescent="0.35"/>
  </sheetData>
  <hyperlinks>
    <hyperlink ref="W1" location="'data dashboard'!A1" display="▫" xr:uid="{9387AF2A-E171-4C0E-91E6-6CDAB55F9570}"/>
  </hyperlinks>
  <pageMargins left="0.25" right="0.25" top="0.75" bottom="0.75" header="0.3" footer="0.3"/>
  <pageSetup paperSize="91" scale="41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7"/>
  <sheetViews>
    <sheetView zoomScale="74" zoomScaleNormal="100" zoomScaleSheetLayoutView="110" workbookViewId="0">
      <pane xSplit="2" ySplit="4" topLeftCell="F5" activePane="bottomRight" state="frozen"/>
      <selection pane="topRight" activeCell="C1" sqref="C1"/>
      <selection pane="bottomLeft" activeCell="A5" sqref="A5"/>
      <selection pane="bottomRight" activeCell="A6" sqref="A6:A15"/>
    </sheetView>
  </sheetViews>
  <sheetFormatPr defaultColWidth="8.7265625" defaultRowHeight="15.5" x14ac:dyDescent="0.35"/>
  <cols>
    <col min="1" max="1" width="6.36328125" style="101" customWidth="1"/>
    <col min="2" max="2" width="11.81640625" style="101" bestFit="1" customWidth="1"/>
    <col min="3" max="3" width="8.26953125" style="101" customWidth="1"/>
    <col min="4" max="5" width="12.81640625" style="101" customWidth="1"/>
    <col min="6" max="6" width="81.90625" style="101" customWidth="1"/>
    <col min="7" max="7" width="8" style="102" customWidth="1"/>
    <col min="8" max="8" width="3.1796875" style="14" bestFit="1" customWidth="1"/>
    <col min="9" max="9" width="5.1796875" style="14" bestFit="1" customWidth="1"/>
    <col min="10" max="10" width="31.453125" style="14" bestFit="1" customWidth="1"/>
    <col min="11" max="16384" width="8.7265625" style="14"/>
  </cols>
  <sheetData>
    <row r="1" spans="1:7" ht="23" x14ac:dyDescent="0.5">
      <c r="A1" s="172" t="s">
        <v>634</v>
      </c>
      <c r="B1" s="172"/>
      <c r="C1" s="172"/>
      <c r="D1" s="172"/>
      <c r="E1" s="172"/>
      <c r="F1" s="172"/>
      <c r="G1" s="172"/>
    </row>
    <row r="2" spans="1:7" x14ac:dyDescent="0.35">
      <c r="A2" s="173" t="s">
        <v>635</v>
      </c>
      <c r="B2" s="173"/>
      <c r="C2" s="173"/>
      <c r="D2" s="173"/>
      <c r="E2" s="173"/>
      <c r="F2" s="173"/>
      <c r="G2" s="173"/>
    </row>
    <row r="4" spans="1:7" s="17" customFormat="1" ht="34.5" customHeight="1" x14ac:dyDescent="0.35">
      <c r="A4" s="103" t="s">
        <v>246</v>
      </c>
      <c r="B4" s="104" t="s">
        <v>132</v>
      </c>
      <c r="C4" s="103" t="s">
        <v>133</v>
      </c>
      <c r="D4" s="104" t="s">
        <v>134</v>
      </c>
      <c r="E4" s="104" t="s">
        <v>136</v>
      </c>
      <c r="F4" s="104" t="s">
        <v>135</v>
      </c>
      <c r="G4" s="103" t="s">
        <v>141</v>
      </c>
    </row>
    <row r="5" spans="1:7" s="17" customFormat="1" ht="19" customHeight="1" x14ac:dyDescent="0.35">
      <c r="A5" s="165">
        <v>1</v>
      </c>
      <c r="B5" s="165"/>
      <c r="C5" s="166"/>
      <c r="D5" s="167"/>
      <c r="E5" s="167"/>
      <c r="F5" s="168"/>
      <c r="G5" s="165"/>
    </row>
    <row r="6" spans="1:7" s="17" customFormat="1" ht="19" customHeight="1" x14ac:dyDescent="0.35">
      <c r="A6" s="165"/>
      <c r="B6" s="165"/>
      <c r="C6" s="166"/>
      <c r="D6" s="167"/>
      <c r="E6" s="167"/>
      <c r="F6" s="168"/>
      <c r="G6" s="165"/>
    </row>
    <row r="7" spans="1:7" s="17" customFormat="1" ht="19" customHeight="1" x14ac:dyDescent="0.35">
      <c r="A7" s="165"/>
      <c r="B7" s="165"/>
      <c r="C7" s="166"/>
      <c r="D7" s="167"/>
      <c r="E7" s="167"/>
      <c r="F7" s="168"/>
      <c r="G7" s="165"/>
    </row>
    <row r="8" spans="1:7" s="17" customFormat="1" ht="19" customHeight="1" x14ac:dyDescent="0.35">
      <c r="A8" s="165"/>
      <c r="B8" s="165"/>
      <c r="C8" s="166"/>
      <c r="D8" s="167"/>
      <c r="E8" s="167"/>
      <c r="F8" s="168"/>
      <c r="G8" s="165"/>
    </row>
    <row r="9" spans="1:7" s="17" customFormat="1" ht="19" customHeight="1" x14ac:dyDescent="0.35">
      <c r="A9" s="165"/>
      <c r="B9" s="165"/>
      <c r="C9" s="166"/>
      <c r="D9" s="167"/>
      <c r="E9" s="167"/>
      <c r="F9" s="168"/>
      <c r="G9" s="165"/>
    </row>
    <row r="10" spans="1:7" s="17" customFormat="1" ht="19" customHeight="1" x14ac:dyDescent="0.35">
      <c r="A10" s="165"/>
      <c r="B10" s="165"/>
      <c r="C10" s="166"/>
      <c r="D10" s="167"/>
      <c r="E10" s="167"/>
      <c r="F10" s="168"/>
      <c r="G10" s="165"/>
    </row>
    <row r="11" spans="1:7" s="17" customFormat="1" ht="19" customHeight="1" x14ac:dyDescent="0.35">
      <c r="A11" s="165"/>
      <c r="B11" s="168"/>
      <c r="C11" s="166"/>
      <c r="D11" s="167"/>
      <c r="E11" s="167"/>
      <c r="F11" s="168"/>
      <c r="G11" s="165"/>
    </row>
    <row r="12" spans="1:7" s="17" customFormat="1" ht="19" customHeight="1" x14ac:dyDescent="0.35">
      <c r="A12" s="165"/>
      <c r="B12" s="165"/>
      <c r="C12" s="166"/>
      <c r="D12" s="167"/>
      <c r="E12" s="167"/>
      <c r="F12" s="168"/>
      <c r="G12" s="165"/>
    </row>
    <row r="13" spans="1:7" s="17" customFormat="1" ht="19" customHeight="1" x14ac:dyDescent="0.35">
      <c r="A13" s="165"/>
      <c r="B13" s="165"/>
      <c r="C13" s="166"/>
      <c r="D13" s="167"/>
      <c r="E13" s="167"/>
      <c r="F13" s="168"/>
      <c r="G13" s="165"/>
    </row>
    <row r="14" spans="1:7" s="17" customFormat="1" ht="19" customHeight="1" x14ac:dyDescent="0.35">
      <c r="A14" s="165"/>
      <c r="B14" s="165"/>
      <c r="C14" s="166"/>
      <c r="D14" s="167"/>
      <c r="E14" s="167"/>
      <c r="F14" s="168"/>
      <c r="G14" s="165"/>
    </row>
    <row r="15" spans="1:7" s="17" customFormat="1" ht="19" customHeight="1" x14ac:dyDescent="0.35">
      <c r="A15" s="165"/>
      <c r="B15" s="168"/>
      <c r="C15" s="166"/>
      <c r="D15" s="167"/>
      <c r="E15" s="167"/>
      <c r="F15" s="168"/>
      <c r="G15" s="165"/>
    </row>
    <row r="16" spans="1:7" s="17" customFormat="1" ht="19" customHeight="1" x14ac:dyDescent="0.35">
      <c r="A16" s="165"/>
      <c r="B16" s="168"/>
      <c r="C16" s="166"/>
      <c r="D16" s="167"/>
      <c r="E16" s="167"/>
      <c r="F16" s="168"/>
      <c r="G16" s="165"/>
    </row>
    <row r="17" spans="1:7" s="17" customFormat="1" ht="19" customHeight="1" x14ac:dyDescent="0.35">
      <c r="A17" s="165"/>
      <c r="B17" s="168"/>
      <c r="C17" s="166"/>
      <c r="D17" s="167"/>
      <c r="E17" s="167"/>
      <c r="F17" s="168"/>
      <c r="G17" s="165"/>
    </row>
    <row r="18" spans="1:7" s="17" customFormat="1" ht="19" customHeight="1" x14ac:dyDescent="0.35">
      <c r="A18" s="165"/>
      <c r="B18" s="168"/>
      <c r="C18" s="166"/>
      <c r="D18" s="167"/>
      <c r="E18" s="167"/>
      <c r="F18" s="168"/>
      <c r="G18" s="165"/>
    </row>
    <row r="19" spans="1:7" s="17" customFormat="1" ht="19" customHeight="1" x14ac:dyDescent="0.35">
      <c r="A19" s="165"/>
      <c r="B19" s="168"/>
      <c r="C19" s="166"/>
      <c r="D19" s="167"/>
      <c r="E19" s="167"/>
      <c r="F19" s="168"/>
      <c r="G19" s="165"/>
    </row>
    <row r="20" spans="1:7" s="17" customFormat="1" ht="19" customHeight="1" x14ac:dyDescent="0.35">
      <c r="A20" s="165"/>
      <c r="B20" s="168"/>
      <c r="C20" s="166"/>
      <c r="D20" s="167"/>
      <c r="E20" s="167"/>
      <c r="F20" s="168"/>
      <c r="G20" s="165"/>
    </row>
    <row r="21" spans="1:7" s="17" customFormat="1" ht="19" customHeight="1" x14ac:dyDescent="0.35">
      <c r="A21" s="165"/>
      <c r="B21" s="168"/>
      <c r="C21" s="166"/>
      <c r="D21" s="167"/>
      <c r="E21" s="167"/>
      <c r="F21" s="168"/>
      <c r="G21" s="165"/>
    </row>
    <row r="22" spans="1:7" s="17" customFormat="1" ht="19" customHeight="1" x14ac:dyDescent="0.35">
      <c r="A22" s="165"/>
      <c r="B22" s="168"/>
      <c r="C22" s="166"/>
      <c r="D22" s="167"/>
      <c r="E22" s="167"/>
      <c r="F22" s="168"/>
      <c r="G22" s="165"/>
    </row>
    <row r="23" spans="1:7" s="17" customFormat="1" ht="19" customHeight="1" x14ac:dyDescent="0.35">
      <c r="A23" s="165"/>
      <c r="B23" s="168"/>
      <c r="C23" s="166"/>
      <c r="D23" s="167"/>
      <c r="E23" s="167"/>
      <c r="F23" s="168"/>
      <c r="G23" s="165"/>
    </row>
    <row r="24" spans="1:7" s="17" customFormat="1" ht="19" customHeight="1" x14ac:dyDescent="0.35">
      <c r="A24" s="165"/>
      <c r="B24" s="168"/>
      <c r="C24" s="168"/>
      <c r="D24" s="168"/>
      <c r="E24" s="168"/>
      <c r="F24" s="168"/>
      <c r="G24" s="165"/>
    </row>
    <row r="25" spans="1:7" s="17" customFormat="1" ht="19" customHeight="1" x14ac:dyDescent="0.35">
      <c r="A25" s="165"/>
      <c r="B25" s="165"/>
      <c r="C25" s="166"/>
      <c r="D25" s="167"/>
      <c r="E25" s="167"/>
      <c r="F25" s="168"/>
      <c r="G25" s="165"/>
    </row>
    <row r="26" spans="1:7" s="17" customFormat="1" ht="19" customHeight="1" x14ac:dyDescent="0.35">
      <c r="A26" s="165"/>
      <c r="B26" s="168"/>
      <c r="C26" s="166"/>
      <c r="D26" s="167"/>
      <c r="E26" s="167"/>
      <c r="F26" s="168"/>
      <c r="G26" s="165"/>
    </row>
    <row r="27" spans="1:7" s="17" customFormat="1" ht="19" customHeight="1" x14ac:dyDescent="0.35">
      <c r="A27" s="165"/>
      <c r="B27" s="168"/>
      <c r="C27" s="166"/>
      <c r="D27" s="167"/>
      <c r="E27" s="167"/>
      <c r="F27" s="168"/>
      <c r="G27" s="165"/>
    </row>
    <row r="28" spans="1:7" s="17" customFormat="1" ht="19" customHeight="1" x14ac:dyDescent="0.35">
      <c r="A28" s="165"/>
      <c r="B28" s="168"/>
      <c r="C28" s="166"/>
      <c r="D28" s="167"/>
      <c r="E28" s="167"/>
      <c r="F28" s="168"/>
      <c r="G28" s="165"/>
    </row>
    <row r="29" spans="1:7" s="17" customFormat="1" ht="19" customHeight="1" x14ac:dyDescent="0.35">
      <c r="A29" s="165"/>
      <c r="B29" s="168"/>
      <c r="C29" s="166"/>
      <c r="D29" s="167"/>
      <c r="E29" s="167"/>
      <c r="F29" s="168"/>
      <c r="G29" s="165"/>
    </row>
    <row r="30" spans="1:7" s="17" customFormat="1" ht="19" customHeight="1" x14ac:dyDescent="0.35">
      <c r="A30" s="165"/>
      <c r="B30" s="168"/>
      <c r="C30" s="166"/>
      <c r="D30" s="167"/>
      <c r="E30" s="167"/>
      <c r="F30" s="168"/>
      <c r="G30" s="165"/>
    </row>
    <row r="31" spans="1:7" s="17" customFormat="1" ht="19" customHeight="1" x14ac:dyDescent="0.35">
      <c r="A31" s="165"/>
      <c r="B31" s="168"/>
      <c r="C31" s="166"/>
      <c r="D31" s="167"/>
      <c r="E31" s="167"/>
      <c r="F31" s="168"/>
      <c r="G31" s="165"/>
    </row>
    <row r="32" spans="1:7" s="17" customFormat="1" ht="19" customHeight="1" x14ac:dyDescent="0.35">
      <c r="A32" s="165"/>
      <c r="B32" s="168"/>
      <c r="C32" s="166"/>
      <c r="D32" s="167"/>
      <c r="E32" s="167"/>
      <c r="F32" s="168"/>
      <c r="G32" s="165"/>
    </row>
    <row r="33" spans="1:7" s="17" customFormat="1" ht="19" customHeight="1" x14ac:dyDescent="0.35">
      <c r="A33" s="165"/>
      <c r="B33" s="168"/>
      <c r="C33" s="166"/>
      <c r="D33" s="167"/>
      <c r="E33" s="167"/>
      <c r="F33" s="168"/>
      <c r="G33" s="165"/>
    </row>
    <row r="34" spans="1:7" s="17" customFormat="1" ht="19" customHeight="1" x14ac:dyDescent="0.35">
      <c r="A34" s="165"/>
      <c r="B34" s="168"/>
      <c r="C34" s="166"/>
      <c r="D34" s="167"/>
      <c r="E34" s="167"/>
      <c r="F34" s="168"/>
      <c r="G34" s="165"/>
    </row>
    <row r="35" spans="1:7" s="17" customFormat="1" ht="19" customHeight="1" x14ac:dyDescent="0.35">
      <c r="A35" s="165"/>
      <c r="B35" s="168"/>
      <c r="C35" s="168"/>
      <c r="D35" s="168"/>
      <c r="E35" s="168"/>
      <c r="F35" s="168"/>
      <c r="G35" s="165"/>
    </row>
    <row r="36" spans="1:7" s="17" customFormat="1" ht="19" customHeight="1" x14ac:dyDescent="0.35">
      <c r="A36" s="165"/>
      <c r="B36" s="165"/>
      <c r="C36" s="166"/>
      <c r="D36" s="167"/>
      <c r="E36" s="167"/>
      <c r="F36" s="168"/>
      <c r="G36" s="165"/>
    </row>
    <row r="37" spans="1:7" s="17" customFormat="1" ht="19" customHeight="1" x14ac:dyDescent="0.35">
      <c r="A37" s="165"/>
      <c r="B37" s="165"/>
      <c r="C37" s="166"/>
      <c r="D37" s="167"/>
      <c r="E37" s="167"/>
      <c r="F37" s="168"/>
      <c r="G37" s="165"/>
    </row>
    <row r="38" spans="1:7" s="17" customFormat="1" ht="19" customHeight="1" x14ac:dyDescent="0.35">
      <c r="A38" s="165"/>
      <c r="B38" s="165"/>
      <c r="C38" s="166"/>
      <c r="D38" s="167"/>
      <c r="E38" s="167"/>
      <c r="F38" s="168"/>
      <c r="G38" s="165"/>
    </row>
    <row r="39" spans="1:7" s="17" customFormat="1" ht="19" customHeight="1" x14ac:dyDescent="0.35">
      <c r="A39" s="165"/>
      <c r="B39" s="165"/>
      <c r="C39" s="166"/>
      <c r="D39" s="167"/>
      <c r="E39" s="167"/>
      <c r="F39" s="168"/>
      <c r="G39" s="165"/>
    </row>
    <row r="40" spans="1:7" s="17" customFormat="1" ht="19" customHeight="1" x14ac:dyDescent="0.35">
      <c r="A40" s="165"/>
      <c r="B40" s="165"/>
      <c r="C40" s="166"/>
      <c r="D40" s="167"/>
      <c r="E40" s="167"/>
      <c r="F40" s="168"/>
      <c r="G40" s="165"/>
    </row>
    <row r="41" spans="1:7" s="17" customFormat="1" ht="19" customHeight="1" x14ac:dyDescent="0.35">
      <c r="A41" s="165"/>
      <c r="B41" s="165"/>
      <c r="C41" s="166"/>
      <c r="D41" s="167"/>
      <c r="E41" s="167"/>
      <c r="F41" s="168"/>
      <c r="G41" s="165"/>
    </row>
    <row r="42" spans="1:7" s="17" customFormat="1" ht="19" customHeight="1" x14ac:dyDescent="0.35">
      <c r="A42" s="165"/>
      <c r="B42" s="165"/>
      <c r="C42" s="166"/>
      <c r="D42" s="167"/>
      <c r="E42" s="167"/>
      <c r="F42" s="168"/>
      <c r="G42" s="165"/>
    </row>
    <row r="43" spans="1:7" s="17" customFormat="1" ht="19" customHeight="1" x14ac:dyDescent="0.35">
      <c r="A43" s="165"/>
      <c r="B43" s="165"/>
      <c r="C43" s="166"/>
      <c r="D43" s="167"/>
      <c r="E43" s="167"/>
      <c r="F43" s="168"/>
      <c r="G43" s="165"/>
    </row>
    <row r="44" spans="1:7" s="17" customFormat="1" ht="19" customHeight="1" x14ac:dyDescent="0.35">
      <c r="A44" s="165"/>
      <c r="B44" s="165"/>
      <c r="C44" s="166"/>
      <c r="D44" s="167"/>
      <c r="E44" s="167"/>
      <c r="F44" s="168"/>
      <c r="G44" s="165"/>
    </row>
    <row r="45" spans="1:7" s="17" customFormat="1" ht="19" customHeight="1" x14ac:dyDescent="0.35">
      <c r="A45" s="165"/>
      <c r="B45" s="165"/>
      <c r="C45" s="166"/>
      <c r="D45" s="167"/>
      <c r="E45" s="167"/>
      <c r="F45" s="168"/>
      <c r="G45" s="165"/>
    </row>
    <row r="46" spans="1:7" s="17" customFormat="1" ht="19" customHeight="1" x14ac:dyDescent="0.35">
      <c r="A46" s="165"/>
      <c r="B46" s="165"/>
      <c r="C46" s="166"/>
      <c r="D46" s="167"/>
      <c r="E46" s="167"/>
      <c r="F46" s="168"/>
      <c r="G46" s="165"/>
    </row>
    <row r="47" spans="1:7" s="17" customFormat="1" ht="19" customHeight="1" x14ac:dyDescent="0.35">
      <c r="A47" s="165"/>
      <c r="B47" s="165"/>
      <c r="C47" s="166"/>
      <c r="D47" s="167"/>
      <c r="E47" s="167"/>
      <c r="F47" s="168"/>
      <c r="G47" s="165"/>
    </row>
    <row r="48" spans="1:7" s="17" customFormat="1" ht="19" customHeight="1" x14ac:dyDescent="0.35">
      <c r="A48" s="165"/>
      <c r="B48" s="165"/>
      <c r="C48" s="166"/>
      <c r="D48" s="167"/>
      <c r="E48" s="167"/>
      <c r="F48" s="168"/>
      <c r="G48" s="165"/>
    </row>
    <row r="49" spans="1:7" s="17" customFormat="1" ht="19" customHeight="1" x14ac:dyDescent="0.35">
      <c r="A49" s="165"/>
      <c r="B49" s="165"/>
      <c r="C49" s="166"/>
      <c r="D49" s="167"/>
      <c r="E49" s="167"/>
      <c r="F49" s="168"/>
      <c r="G49" s="165"/>
    </row>
    <row r="50" spans="1:7" s="17" customFormat="1" ht="19" customHeight="1" x14ac:dyDescent="0.35">
      <c r="A50" s="165"/>
      <c r="B50" s="165"/>
      <c r="C50" s="166"/>
      <c r="D50" s="167"/>
      <c r="E50" s="167"/>
      <c r="F50" s="168"/>
      <c r="G50" s="165"/>
    </row>
    <row r="51" spans="1:7" s="17" customFormat="1" ht="19" customHeight="1" x14ac:dyDescent="0.35">
      <c r="A51" s="165"/>
      <c r="B51" s="165"/>
      <c r="C51" s="166"/>
      <c r="D51" s="167"/>
      <c r="E51" s="167"/>
      <c r="F51" s="168"/>
      <c r="G51" s="165"/>
    </row>
    <row r="52" spans="1:7" s="17" customFormat="1" ht="19" customHeight="1" x14ac:dyDescent="0.35">
      <c r="A52" s="165"/>
      <c r="B52" s="165"/>
      <c r="C52" s="166"/>
      <c r="D52" s="167"/>
      <c r="E52" s="167"/>
      <c r="F52" s="168"/>
      <c r="G52" s="165"/>
    </row>
    <row r="53" spans="1:7" s="17" customFormat="1" ht="19" customHeight="1" x14ac:dyDescent="0.35">
      <c r="A53" s="165"/>
      <c r="B53" s="165"/>
      <c r="C53" s="166"/>
      <c r="D53" s="167"/>
      <c r="E53" s="167"/>
      <c r="F53" s="168"/>
      <c r="G53" s="165"/>
    </row>
    <row r="54" spans="1:7" s="17" customFormat="1" ht="19" customHeight="1" x14ac:dyDescent="0.35">
      <c r="A54" s="165"/>
      <c r="B54" s="165"/>
      <c r="C54" s="166"/>
      <c r="D54" s="167"/>
      <c r="E54" s="167"/>
      <c r="F54" s="168"/>
      <c r="G54" s="165"/>
    </row>
    <row r="55" spans="1:7" s="17" customFormat="1" ht="19" customHeight="1" x14ac:dyDescent="0.35">
      <c r="A55" s="165"/>
      <c r="B55" s="165"/>
      <c r="C55" s="166"/>
      <c r="D55" s="167"/>
      <c r="E55" s="167"/>
      <c r="F55" s="168"/>
      <c r="G55" s="165"/>
    </row>
    <row r="56" spans="1:7" s="17" customFormat="1" ht="19" customHeight="1" x14ac:dyDescent="0.35">
      <c r="A56" s="165"/>
      <c r="B56" s="165"/>
      <c r="C56" s="166"/>
      <c r="D56" s="167"/>
      <c r="E56" s="167"/>
      <c r="F56" s="168"/>
      <c r="G56" s="165"/>
    </row>
    <row r="57" spans="1:7" s="17" customFormat="1" ht="19" customHeight="1" x14ac:dyDescent="0.35">
      <c r="A57" s="165"/>
      <c r="B57" s="165"/>
      <c r="C57" s="166"/>
      <c r="D57" s="167"/>
      <c r="E57" s="167"/>
      <c r="F57" s="168"/>
      <c r="G57" s="165"/>
    </row>
    <row r="58" spans="1:7" s="17" customFormat="1" ht="19" customHeight="1" x14ac:dyDescent="0.35">
      <c r="A58" s="165"/>
      <c r="B58" s="165"/>
      <c r="C58" s="166"/>
      <c r="D58" s="167"/>
      <c r="E58" s="167"/>
      <c r="F58" s="168"/>
      <c r="G58" s="165"/>
    </row>
    <row r="59" spans="1:7" s="17" customFormat="1" ht="19" customHeight="1" x14ac:dyDescent="0.35">
      <c r="A59" s="165"/>
      <c r="B59" s="165"/>
      <c r="C59" s="166"/>
      <c r="D59" s="167"/>
      <c r="E59" s="167"/>
      <c r="F59" s="168"/>
      <c r="G59" s="165"/>
    </row>
    <row r="60" spans="1:7" s="17" customFormat="1" ht="19" customHeight="1" x14ac:dyDescent="0.35">
      <c r="A60" s="165"/>
      <c r="B60" s="168"/>
      <c r="C60" s="168"/>
      <c r="D60" s="168"/>
      <c r="E60" s="168"/>
      <c r="F60" s="168"/>
      <c r="G60" s="165"/>
    </row>
    <row r="61" spans="1:7" s="17" customFormat="1" ht="19" customHeight="1" x14ac:dyDescent="0.35">
      <c r="A61" s="165"/>
      <c r="B61" s="165"/>
      <c r="C61" s="166"/>
      <c r="D61" s="167"/>
      <c r="E61" s="167"/>
      <c r="F61" s="168"/>
      <c r="G61" s="165"/>
    </row>
    <row r="62" spans="1:7" s="17" customFormat="1" ht="19" customHeight="1" x14ac:dyDescent="0.35">
      <c r="A62" s="165"/>
      <c r="B62" s="165"/>
      <c r="C62" s="166"/>
      <c r="D62" s="167"/>
      <c r="E62" s="167"/>
      <c r="F62" s="168"/>
      <c r="G62" s="165"/>
    </row>
    <row r="63" spans="1:7" s="17" customFormat="1" ht="19" customHeight="1" x14ac:dyDescent="0.35">
      <c r="A63" s="165"/>
      <c r="B63" s="165"/>
      <c r="C63" s="166"/>
      <c r="D63" s="167"/>
      <c r="E63" s="167"/>
      <c r="F63" s="168"/>
      <c r="G63" s="165"/>
    </row>
    <row r="64" spans="1:7" s="17" customFormat="1" ht="19" customHeight="1" x14ac:dyDescent="0.35">
      <c r="A64" s="165"/>
      <c r="B64" s="165"/>
      <c r="C64" s="166"/>
      <c r="D64" s="167"/>
      <c r="E64" s="167"/>
      <c r="F64" s="168"/>
      <c r="G64" s="165"/>
    </row>
    <row r="65" spans="1:7" s="17" customFormat="1" ht="19" customHeight="1" x14ac:dyDescent="0.35">
      <c r="A65" s="165"/>
      <c r="B65" s="165"/>
      <c r="C65" s="166"/>
      <c r="D65" s="167"/>
      <c r="E65" s="167"/>
      <c r="F65" s="168"/>
      <c r="G65" s="165"/>
    </row>
    <row r="66" spans="1:7" s="17" customFormat="1" ht="19" customHeight="1" x14ac:dyDescent="0.35">
      <c r="A66" s="165"/>
      <c r="B66" s="165"/>
      <c r="C66" s="166"/>
      <c r="D66" s="167"/>
      <c r="E66" s="167"/>
      <c r="F66" s="168"/>
      <c r="G66" s="165"/>
    </row>
    <row r="67" spans="1:7" s="17" customFormat="1" ht="19" customHeight="1" x14ac:dyDescent="0.35">
      <c r="A67" s="165"/>
      <c r="B67" s="165"/>
      <c r="C67" s="166"/>
      <c r="D67" s="167"/>
      <c r="E67" s="167"/>
      <c r="F67" s="168"/>
      <c r="G67" s="165"/>
    </row>
    <row r="68" spans="1:7" s="17" customFormat="1" ht="19" customHeight="1" x14ac:dyDescent="0.35">
      <c r="A68" s="165"/>
      <c r="B68" s="165"/>
      <c r="C68" s="166"/>
      <c r="D68" s="167"/>
      <c r="E68" s="167"/>
      <c r="F68" s="168"/>
      <c r="G68" s="165"/>
    </row>
    <row r="69" spans="1:7" s="17" customFormat="1" ht="19" customHeight="1" x14ac:dyDescent="0.35">
      <c r="A69" s="165"/>
      <c r="B69" s="165"/>
      <c r="C69" s="166"/>
      <c r="D69" s="167"/>
      <c r="E69" s="167"/>
      <c r="F69" s="168"/>
      <c r="G69" s="165"/>
    </row>
    <row r="70" spans="1:7" s="17" customFormat="1" ht="19" customHeight="1" x14ac:dyDescent="0.35">
      <c r="A70" s="165"/>
      <c r="B70" s="165"/>
      <c r="C70" s="166"/>
      <c r="D70" s="167"/>
      <c r="E70" s="167"/>
      <c r="F70" s="168"/>
      <c r="G70" s="165"/>
    </row>
    <row r="71" spans="1:7" s="17" customFormat="1" ht="19" customHeight="1" x14ac:dyDescent="0.35">
      <c r="A71" s="165"/>
      <c r="B71" s="165"/>
      <c r="C71" s="166"/>
      <c r="D71" s="167"/>
      <c r="E71" s="167"/>
      <c r="F71" s="168"/>
      <c r="G71" s="165"/>
    </row>
    <row r="72" spans="1:7" s="17" customFormat="1" ht="19" customHeight="1" x14ac:dyDescent="0.35">
      <c r="A72" s="165"/>
      <c r="B72" s="165"/>
      <c r="C72" s="166"/>
      <c r="D72" s="167"/>
      <c r="E72" s="167"/>
      <c r="F72" s="168"/>
      <c r="G72" s="165"/>
    </row>
    <row r="73" spans="1:7" s="17" customFormat="1" ht="19" customHeight="1" x14ac:dyDescent="0.35">
      <c r="A73" s="165"/>
      <c r="B73" s="165"/>
      <c r="C73" s="166"/>
      <c r="D73" s="167"/>
      <c r="E73" s="167"/>
      <c r="F73" s="168"/>
      <c r="G73" s="165"/>
    </row>
    <row r="74" spans="1:7" s="17" customFormat="1" ht="19" customHeight="1" x14ac:dyDescent="0.35">
      <c r="A74" s="165"/>
      <c r="B74" s="165"/>
      <c r="C74" s="166"/>
      <c r="D74" s="167"/>
      <c r="E74" s="167"/>
      <c r="F74" s="168"/>
      <c r="G74" s="165"/>
    </row>
    <row r="75" spans="1:7" s="17" customFormat="1" ht="19" customHeight="1" x14ac:dyDescent="0.35">
      <c r="A75" s="165"/>
      <c r="B75" s="165"/>
      <c r="C75" s="166"/>
      <c r="D75" s="167"/>
      <c r="E75" s="167"/>
      <c r="F75" s="168"/>
      <c r="G75" s="165"/>
    </row>
    <row r="76" spans="1:7" s="17" customFormat="1" ht="19" customHeight="1" x14ac:dyDescent="0.35">
      <c r="A76" s="165"/>
      <c r="B76" s="165"/>
      <c r="C76" s="166"/>
      <c r="D76" s="167"/>
      <c r="E76" s="167"/>
      <c r="F76" s="168"/>
      <c r="G76" s="165"/>
    </row>
    <row r="77" spans="1:7" s="17" customFormat="1" ht="19" customHeight="1" x14ac:dyDescent="0.35">
      <c r="A77" s="165"/>
      <c r="B77" s="165"/>
      <c r="C77" s="166"/>
      <c r="D77" s="167"/>
      <c r="E77" s="167"/>
      <c r="F77" s="168"/>
      <c r="G77" s="165"/>
    </row>
    <row r="78" spans="1:7" s="17" customFormat="1" ht="19" customHeight="1" x14ac:dyDescent="0.35">
      <c r="A78" s="165"/>
      <c r="B78" s="165"/>
      <c r="C78" s="166"/>
      <c r="D78" s="167"/>
      <c r="E78" s="167"/>
      <c r="F78" s="168"/>
      <c r="G78" s="165"/>
    </row>
    <row r="79" spans="1:7" s="17" customFormat="1" ht="19" customHeight="1" x14ac:dyDescent="0.35">
      <c r="A79" s="165"/>
      <c r="B79" s="165"/>
      <c r="C79" s="166"/>
      <c r="D79" s="167"/>
      <c r="E79" s="167"/>
      <c r="F79" s="168"/>
      <c r="G79" s="165"/>
    </row>
    <row r="80" spans="1:7" s="17" customFormat="1" ht="19" customHeight="1" x14ac:dyDescent="0.35">
      <c r="A80" s="165"/>
      <c r="B80" s="165"/>
      <c r="C80" s="166"/>
      <c r="D80" s="167"/>
      <c r="E80" s="167"/>
      <c r="F80" s="168"/>
      <c r="G80" s="165"/>
    </row>
    <row r="81" spans="1:7" s="17" customFormat="1" ht="19" customHeight="1" x14ac:dyDescent="0.35">
      <c r="A81" s="165"/>
      <c r="B81" s="165"/>
      <c r="C81" s="166"/>
      <c r="D81" s="167"/>
      <c r="E81" s="167"/>
      <c r="F81" s="168"/>
      <c r="G81" s="165"/>
    </row>
    <row r="82" spans="1:7" s="17" customFormat="1" ht="19" customHeight="1" x14ac:dyDescent="0.35">
      <c r="A82" s="165"/>
      <c r="B82" s="165"/>
      <c r="C82" s="166"/>
      <c r="D82" s="167"/>
      <c r="E82" s="167"/>
      <c r="F82" s="168"/>
      <c r="G82" s="165"/>
    </row>
    <row r="83" spans="1:7" s="17" customFormat="1" ht="19" customHeight="1" x14ac:dyDescent="0.35">
      <c r="A83" s="165"/>
      <c r="B83" s="165"/>
      <c r="C83" s="166"/>
      <c r="D83" s="167"/>
      <c r="E83" s="167"/>
      <c r="F83" s="168"/>
      <c r="G83" s="165"/>
    </row>
    <row r="84" spans="1:7" s="17" customFormat="1" ht="19" customHeight="1" x14ac:dyDescent="0.35">
      <c r="A84" s="165"/>
      <c r="B84" s="168"/>
      <c r="C84" s="168"/>
      <c r="D84" s="168"/>
      <c r="E84" s="168"/>
      <c r="F84" s="168"/>
      <c r="G84" s="165"/>
    </row>
    <row r="85" spans="1:7" s="17" customFormat="1" ht="19" customHeight="1" x14ac:dyDescent="0.35">
      <c r="A85" s="165"/>
      <c r="B85" s="165"/>
      <c r="C85" s="166"/>
      <c r="D85" s="167"/>
      <c r="E85" s="167"/>
      <c r="F85" s="168"/>
      <c r="G85" s="165"/>
    </row>
    <row r="86" spans="1:7" s="17" customFormat="1" ht="19" customHeight="1" x14ac:dyDescent="0.35">
      <c r="A86" s="165"/>
      <c r="B86" s="165"/>
      <c r="C86" s="166"/>
      <c r="D86" s="167"/>
      <c r="E86" s="167"/>
      <c r="F86" s="168"/>
      <c r="G86" s="165"/>
    </row>
    <row r="87" spans="1:7" s="17" customFormat="1" ht="19" customHeight="1" x14ac:dyDescent="0.35">
      <c r="A87" s="165"/>
      <c r="B87" s="165"/>
      <c r="C87" s="166"/>
      <c r="D87" s="167"/>
      <c r="E87" s="167"/>
      <c r="F87" s="168"/>
      <c r="G87" s="165"/>
    </row>
    <row r="88" spans="1:7" s="17" customFormat="1" ht="19" customHeight="1" x14ac:dyDescent="0.35">
      <c r="A88" s="165"/>
      <c r="B88" s="165"/>
      <c r="C88" s="166"/>
      <c r="D88" s="167"/>
      <c r="E88" s="167"/>
      <c r="F88" s="168"/>
      <c r="G88" s="165"/>
    </row>
    <row r="89" spans="1:7" s="17" customFormat="1" ht="19" customHeight="1" x14ac:dyDescent="0.35">
      <c r="A89" s="165"/>
      <c r="B89" s="165"/>
      <c r="C89" s="166"/>
      <c r="D89" s="167"/>
      <c r="E89" s="167"/>
      <c r="F89" s="168"/>
      <c r="G89" s="165"/>
    </row>
    <row r="90" spans="1:7" s="17" customFormat="1" ht="19" customHeight="1" x14ac:dyDescent="0.35">
      <c r="A90" s="165"/>
      <c r="B90" s="165"/>
      <c r="C90" s="166"/>
      <c r="D90" s="167"/>
      <c r="E90" s="167"/>
      <c r="F90" s="168"/>
      <c r="G90" s="165"/>
    </row>
    <row r="91" spans="1:7" s="17" customFormat="1" ht="19" customHeight="1" x14ac:dyDescent="0.35">
      <c r="A91" s="165"/>
      <c r="B91" s="165"/>
      <c r="C91" s="166"/>
      <c r="D91" s="167"/>
      <c r="E91" s="167"/>
      <c r="F91" s="168"/>
      <c r="G91" s="165"/>
    </row>
    <row r="92" spans="1:7" s="17" customFormat="1" ht="19" customHeight="1" x14ac:dyDescent="0.35">
      <c r="A92" s="165"/>
      <c r="B92" s="165"/>
      <c r="C92" s="166"/>
      <c r="D92" s="167"/>
      <c r="E92" s="167"/>
      <c r="F92" s="168"/>
      <c r="G92" s="165"/>
    </row>
    <row r="93" spans="1:7" s="17" customFormat="1" ht="19" customHeight="1" x14ac:dyDescent="0.35">
      <c r="A93" s="165"/>
      <c r="B93" s="165"/>
      <c r="C93" s="166"/>
      <c r="D93" s="167"/>
      <c r="E93" s="167"/>
      <c r="F93" s="168"/>
      <c r="G93" s="165"/>
    </row>
    <row r="94" spans="1:7" s="17" customFormat="1" ht="19" customHeight="1" x14ac:dyDescent="0.35">
      <c r="A94" s="165"/>
      <c r="B94" s="165"/>
      <c r="C94" s="166"/>
      <c r="D94" s="167"/>
      <c r="E94" s="167"/>
      <c r="F94" s="168"/>
      <c r="G94" s="165"/>
    </row>
    <row r="95" spans="1:7" s="17" customFormat="1" ht="19" customHeight="1" x14ac:dyDescent="0.35">
      <c r="A95" s="165"/>
      <c r="B95" s="165"/>
      <c r="C95" s="166"/>
      <c r="D95" s="167"/>
      <c r="E95" s="167"/>
      <c r="F95" s="168"/>
      <c r="G95" s="165"/>
    </row>
    <row r="96" spans="1:7" s="17" customFormat="1" ht="19" customHeight="1" x14ac:dyDescent="0.35">
      <c r="A96" s="165"/>
      <c r="B96" s="165"/>
      <c r="C96" s="166"/>
      <c r="D96" s="167"/>
      <c r="E96" s="167"/>
      <c r="F96" s="168"/>
      <c r="G96" s="165"/>
    </row>
    <row r="97" spans="1:7" s="17" customFormat="1" ht="19" customHeight="1" x14ac:dyDescent="0.35">
      <c r="A97" s="165"/>
      <c r="B97" s="165"/>
      <c r="C97" s="166"/>
      <c r="D97" s="167"/>
      <c r="E97" s="167"/>
      <c r="F97" s="168"/>
      <c r="G97" s="165"/>
    </row>
    <row r="98" spans="1:7" s="17" customFormat="1" ht="19" customHeight="1" x14ac:dyDescent="0.35">
      <c r="A98" s="165"/>
      <c r="B98" s="165"/>
      <c r="C98" s="166"/>
      <c r="D98" s="167"/>
      <c r="E98" s="167"/>
      <c r="F98" s="168"/>
      <c r="G98" s="165"/>
    </row>
    <row r="99" spans="1:7" s="17" customFormat="1" ht="19" customHeight="1" x14ac:dyDescent="0.35">
      <c r="A99" s="165"/>
      <c r="B99" s="165"/>
      <c r="C99" s="166"/>
      <c r="D99" s="167"/>
      <c r="E99" s="167"/>
      <c r="F99" s="168"/>
      <c r="G99" s="165"/>
    </row>
    <row r="100" spans="1:7" s="17" customFormat="1" ht="19" customHeight="1" x14ac:dyDescent="0.35">
      <c r="A100" s="165"/>
      <c r="B100" s="165"/>
      <c r="C100" s="166"/>
      <c r="D100" s="167"/>
      <c r="E100" s="167"/>
      <c r="F100" s="168"/>
      <c r="G100" s="165"/>
    </row>
    <row r="101" spans="1:7" s="17" customFormat="1" ht="19" customHeight="1" x14ac:dyDescent="0.35">
      <c r="A101" s="165"/>
      <c r="B101" s="165"/>
      <c r="C101" s="166"/>
      <c r="D101" s="167"/>
      <c r="E101" s="167"/>
      <c r="F101" s="168"/>
      <c r="G101" s="165"/>
    </row>
    <row r="102" spans="1:7" s="17" customFormat="1" ht="19" customHeight="1" x14ac:dyDescent="0.35">
      <c r="A102" s="165"/>
      <c r="B102" s="165"/>
      <c r="C102" s="166"/>
      <c r="D102" s="167"/>
      <c r="E102" s="167"/>
      <c r="F102" s="168"/>
      <c r="G102" s="165"/>
    </row>
    <row r="103" spans="1:7" s="17" customFormat="1" ht="19" customHeight="1" x14ac:dyDescent="0.35">
      <c r="A103" s="165"/>
      <c r="B103" s="165"/>
      <c r="C103" s="166"/>
      <c r="D103" s="167"/>
      <c r="E103" s="167"/>
      <c r="F103" s="168"/>
      <c r="G103" s="165"/>
    </row>
    <row r="104" spans="1:7" s="17" customFormat="1" ht="19" customHeight="1" x14ac:dyDescent="0.35">
      <c r="A104" s="165"/>
      <c r="B104" s="165"/>
      <c r="C104" s="166"/>
      <c r="D104" s="167"/>
      <c r="E104" s="167"/>
      <c r="F104" s="168"/>
      <c r="G104" s="165"/>
    </row>
    <row r="105" spans="1:7" s="17" customFormat="1" ht="19" customHeight="1" x14ac:dyDescent="0.35">
      <c r="A105" s="165"/>
      <c r="B105" s="165"/>
      <c r="C105" s="166"/>
      <c r="D105" s="167"/>
      <c r="E105" s="167"/>
      <c r="F105" s="168"/>
      <c r="G105" s="165"/>
    </row>
    <row r="106" spans="1:7" s="17" customFormat="1" ht="19" customHeight="1" x14ac:dyDescent="0.35">
      <c r="A106" s="165"/>
      <c r="B106" s="165"/>
      <c r="C106" s="166"/>
      <c r="D106" s="167"/>
      <c r="E106" s="167"/>
      <c r="F106" s="168"/>
      <c r="G106" s="165"/>
    </row>
    <row r="107" spans="1:7" s="17" customFormat="1" ht="19" customHeight="1" x14ac:dyDescent="0.35">
      <c r="A107" s="165"/>
      <c r="B107" s="165"/>
      <c r="C107" s="166"/>
      <c r="D107" s="167"/>
      <c r="E107" s="167"/>
      <c r="F107" s="168"/>
      <c r="G107" s="165"/>
    </row>
    <row r="108" spans="1:7" s="17" customFormat="1" ht="19" customHeight="1" x14ac:dyDescent="0.35">
      <c r="A108" s="165"/>
      <c r="B108" s="165"/>
      <c r="C108" s="166"/>
      <c r="D108" s="167"/>
      <c r="E108" s="167"/>
      <c r="F108" s="168"/>
      <c r="G108" s="165"/>
    </row>
    <row r="109" spans="1:7" s="17" customFormat="1" ht="19" customHeight="1" x14ac:dyDescent="0.35">
      <c r="A109" s="165"/>
      <c r="B109" s="165"/>
      <c r="C109" s="166"/>
      <c r="D109" s="167"/>
      <c r="E109" s="167"/>
      <c r="F109" s="168"/>
      <c r="G109" s="165"/>
    </row>
    <row r="110" spans="1:7" s="17" customFormat="1" ht="19" customHeight="1" x14ac:dyDescent="0.35">
      <c r="A110" s="165"/>
      <c r="B110" s="165"/>
      <c r="C110" s="166"/>
      <c r="D110" s="167"/>
      <c r="E110" s="167"/>
      <c r="F110" s="168"/>
      <c r="G110" s="165"/>
    </row>
    <row r="111" spans="1:7" s="17" customFormat="1" ht="19" customHeight="1" x14ac:dyDescent="0.35">
      <c r="A111" s="165"/>
      <c r="B111" s="165"/>
      <c r="C111" s="166"/>
      <c r="D111" s="167"/>
      <c r="E111" s="167"/>
      <c r="F111" s="168"/>
      <c r="G111" s="165"/>
    </row>
    <row r="112" spans="1:7" s="17" customFormat="1" ht="19" customHeight="1" x14ac:dyDescent="0.35">
      <c r="A112" s="165"/>
      <c r="B112" s="165"/>
      <c r="C112" s="166"/>
      <c r="D112" s="167"/>
      <c r="E112" s="167"/>
      <c r="F112" s="168"/>
      <c r="G112" s="165"/>
    </row>
    <row r="113" spans="1:7" s="17" customFormat="1" ht="19" customHeight="1" x14ac:dyDescent="0.35">
      <c r="A113" s="165"/>
      <c r="B113" s="165"/>
      <c r="C113" s="166"/>
      <c r="D113" s="167"/>
      <c r="E113" s="167"/>
      <c r="F113" s="168"/>
      <c r="G113" s="165"/>
    </row>
    <row r="114" spans="1:7" s="17" customFormat="1" ht="19" customHeight="1" x14ac:dyDescent="0.35">
      <c r="A114" s="165"/>
      <c r="B114" s="165"/>
      <c r="C114" s="166"/>
      <c r="D114" s="167"/>
      <c r="E114" s="167"/>
      <c r="F114" s="168"/>
      <c r="G114" s="165"/>
    </row>
    <row r="115" spans="1:7" s="17" customFormat="1" ht="19" customHeight="1" x14ac:dyDescent="0.35">
      <c r="A115" s="165"/>
      <c r="B115" s="168"/>
      <c r="C115" s="168"/>
      <c r="D115" s="168"/>
      <c r="E115" s="168"/>
      <c r="F115" s="168"/>
      <c r="G115" s="165"/>
    </row>
    <row r="116" spans="1:7" s="17" customFormat="1" ht="19" customHeight="1" x14ac:dyDescent="0.35">
      <c r="A116" s="165"/>
      <c r="B116" s="165"/>
      <c r="C116" s="166"/>
      <c r="D116" s="167"/>
      <c r="E116" s="167"/>
      <c r="F116" s="168"/>
      <c r="G116" s="165"/>
    </row>
    <row r="117" spans="1:7" s="17" customFormat="1" ht="19" customHeight="1" x14ac:dyDescent="0.35">
      <c r="A117" s="165"/>
      <c r="B117" s="165"/>
      <c r="C117" s="166"/>
      <c r="D117" s="167"/>
      <c r="E117" s="167"/>
      <c r="F117" s="168"/>
      <c r="G117" s="165"/>
    </row>
    <row r="118" spans="1:7" s="17" customFormat="1" ht="19" customHeight="1" x14ac:dyDescent="0.35">
      <c r="A118" s="165"/>
      <c r="B118" s="165"/>
      <c r="C118" s="166"/>
      <c r="D118" s="167"/>
      <c r="E118" s="167"/>
      <c r="F118" s="168"/>
      <c r="G118" s="165"/>
    </row>
    <row r="119" spans="1:7" s="17" customFormat="1" ht="19" customHeight="1" x14ac:dyDescent="0.35">
      <c r="A119" s="165"/>
      <c r="B119" s="165"/>
      <c r="C119" s="166"/>
      <c r="D119" s="167"/>
      <c r="E119" s="167"/>
      <c r="F119" s="168"/>
      <c r="G119" s="165"/>
    </row>
    <row r="120" spans="1:7" s="17" customFormat="1" ht="19" customHeight="1" x14ac:dyDescent="0.35">
      <c r="A120" s="165"/>
      <c r="B120" s="165"/>
      <c r="C120" s="166"/>
      <c r="D120" s="167"/>
      <c r="E120" s="167"/>
      <c r="F120" s="168"/>
      <c r="G120" s="165"/>
    </row>
    <row r="121" spans="1:7" s="17" customFormat="1" ht="19" customHeight="1" x14ac:dyDescent="0.35">
      <c r="A121" s="165"/>
      <c r="B121" s="165"/>
      <c r="C121" s="166"/>
      <c r="D121" s="167"/>
      <c r="E121" s="167"/>
      <c r="F121" s="168"/>
      <c r="G121" s="165"/>
    </row>
    <row r="122" spans="1:7" s="17" customFormat="1" ht="19" customHeight="1" x14ac:dyDescent="0.35">
      <c r="A122" s="165"/>
      <c r="B122" s="165"/>
      <c r="C122" s="166"/>
      <c r="D122" s="167"/>
      <c r="E122" s="167"/>
      <c r="F122" s="168"/>
      <c r="G122" s="165"/>
    </row>
    <row r="123" spans="1:7" s="17" customFormat="1" ht="19" customHeight="1" x14ac:dyDescent="0.35">
      <c r="A123" s="165"/>
      <c r="B123" s="165"/>
      <c r="C123" s="166"/>
      <c r="D123" s="167"/>
      <c r="E123" s="167"/>
      <c r="F123" s="168"/>
      <c r="G123" s="165"/>
    </row>
    <row r="124" spans="1:7" s="17" customFormat="1" ht="19" customHeight="1" x14ac:dyDescent="0.35">
      <c r="A124" s="165"/>
      <c r="B124" s="165"/>
      <c r="C124" s="166"/>
      <c r="D124" s="167"/>
      <c r="E124" s="167"/>
      <c r="F124" s="168"/>
      <c r="G124" s="165"/>
    </row>
    <row r="125" spans="1:7" s="17" customFormat="1" ht="19" customHeight="1" x14ac:dyDescent="0.35">
      <c r="A125" s="165"/>
      <c r="B125" s="165"/>
      <c r="C125" s="166"/>
      <c r="D125" s="167"/>
      <c r="E125" s="167"/>
      <c r="F125" s="168"/>
      <c r="G125" s="165"/>
    </row>
    <row r="126" spans="1:7" s="17" customFormat="1" ht="19" customHeight="1" x14ac:dyDescent="0.35">
      <c r="A126" s="165"/>
      <c r="B126" s="165"/>
      <c r="C126" s="166"/>
      <c r="D126" s="167"/>
      <c r="E126" s="167"/>
      <c r="F126" s="168"/>
      <c r="G126" s="165"/>
    </row>
    <row r="127" spans="1:7" s="17" customFormat="1" ht="19" customHeight="1" x14ac:dyDescent="0.35">
      <c r="A127" s="165"/>
      <c r="B127" s="165"/>
      <c r="C127" s="166"/>
      <c r="D127" s="167"/>
      <c r="E127" s="167"/>
      <c r="F127" s="168"/>
      <c r="G127" s="165"/>
    </row>
    <row r="128" spans="1:7" s="17" customFormat="1" ht="19" customHeight="1" x14ac:dyDescent="0.35">
      <c r="A128" s="165"/>
      <c r="B128" s="165"/>
      <c r="C128" s="166"/>
      <c r="D128" s="167"/>
      <c r="E128" s="167"/>
      <c r="F128" s="168"/>
      <c r="G128" s="165"/>
    </row>
    <row r="129" spans="1:7" s="17" customFormat="1" ht="19" customHeight="1" x14ac:dyDescent="0.35">
      <c r="A129" s="165"/>
      <c r="B129" s="165"/>
      <c r="C129" s="166"/>
      <c r="D129" s="167"/>
      <c r="E129" s="167"/>
      <c r="F129" s="168"/>
      <c r="G129" s="165"/>
    </row>
    <row r="130" spans="1:7" s="17" customFormat="1" ht="19" customHeight="1" x14ac:dyDescent="0.35">
      <c r="A130" s="165"/>
      <c r="B130" s="165"/>
      <c r="C130" s="166"/>
      <c r="D130" s="167"/>
      <c r="E130" s="167"/>
      <c r="F130" s="168"/>
      <c r="G130" s="165"/>
    </row>
    <row r="131" spans="1:7" s="17" customFormat="1" ht="19" customHeight="1" x14ac:dyDescent="0.35">
      <c r="A131" s="165"/>
      <c r="B131" s="165"/>
      <c r="C131" s="166"/>
      <c r="D131" s="167"/>
      <c r="E131" s="167"/>
      <c r="F131" s="168"/>
      <c r="G131" s="165"/>
    </row>
    <row r="132" spans="1:7" s="17" customFormat="1" ht="19" customHeight="1" x14ac:dyDescent="0.35">
      <c r="A132" s="165"/>
      <c r="B132" s="165"/>
      <c r="C132" s="166"/>
      <c r="D132" s="167"/>
      <c r="E132" s="167"/>
      <c r="F132" s="168"/>
      <c r="G132" s="165"/>
    </row>
    <row r="133" spans="1:7" s="17" customFormat="1" ht="19" customHeight="1" x14ac:dyDescent="0.35">
      <c r="A133" s="165"/>
      <c r="B133" s="165"/>
      <c r="C133" s="166"/>
      <c r="D133" s="167"/>
      <c r="E133" s="167"/>
      <c r="F133" s="168"/>
      <c r="G133" s="165"/>
    </row>
    <row r="134" spans="1:7" s="17" customFormat="1" ht="19" customHeight="1" x14ac:dyDescent="0.35">
      <c r="A134" s="165"/>
      <c r="B134" s="165"/>
      <c r="C134" s="166"/>
      <c r="D134" s="167"/>
      <c r="E134" s="167"/>
      <c r="F134" s="168"/>
      <c r="G134" s="165"/>
    </row>
    <row r="135" spans="1:7" s="17" customFormat="1" ht="19" customHeight="1" x14ac:dyDescent="0.35">
      <c r="A135" s="165"/>
      <c r="B135" s="165"/>
      <c r="C135" s="166"/>
      <c r="D135" s="167"/>
      <c r="E135" s="167"/>
      <c r="F135" s="168"/>
      <c r="G135" s="165"/>
    </row>
    <row r="136" spans="1:7" s="17" customFormat="1" ht="19" customHeight="1" x14ac:dyDescent="0.35">
      <c r="A136" s="165"/>
      <c r="B136" s="165"/>
      <c r="C136" s="166"/>
      <c r="D136" s="167"/>
      <c r="E136" s="167"/>
      <c r="F136" s="168"/>
      <c r="G136" s="165"/>
    </row>
    <row r="137" spans="1:7" s="17" customFormat="1" ht="19" customHeight="1" x14ac:dyDescent="0.35">
      <c r="A137" s="165"/>
      <c r="B137" s="165"/>
      <c r="C137" s="166"/>
      <c r="D137" s="167"/>
      <c r="E137" s="167"/>
      <c r="F137" s="168"/>
      <c r="G137" s="165"/>
    </row>
    <row r="138" spans="1:7" s="17" customFormat="1" ht="19" customHeight="1" x14ac:dyDescent="0.35">
      <c r="A138" s="165"/>
      <c r="B138" s="165"/>
      <c r="C138" s="166"/>
      <c r="D138" s="167"/>
      <c r="E138" s="167"/>
      <c r="F138" s="168"/>
      <c r="G138" s="165"/>
    </row>
    <row r="139" spans="1:7" s="17" customFormat="1" ht="19" customHeight="1" x14ac:dyDescent="0.35">
      <c r="A139" s="165"/>
      <c r="B139" s="165"/>
      <c r="C139" s="166"/>
      <c r="D139" s="167"/>
      <c r="E139" s="167"/>
      <c r="F139" s="168"/>
      <c r="G139" s="165"/>
    </row>
    <row r="140" spans="1:7" s="17" customFormat="1" ht="19" customHeight="1" x14ac:dyDescent="0.35">
      <c r="A140" s="165"/>
      <c r="B140" s="165"/>
      <c r="C140" s="166"/>
      <c r="D140" s="167"/>
      <c r="E140" s="167"/>
      <c r="F140" s="168"/>
      <c r="G140" s="165"/>
    </row>
    <row r="141" spans="1:7" s="17" customFormat="1" ht="19" customHeight="1" x14ac:dyDescent="0.35">
      <c r="A141" s="165"/>
      <c r="B141" s="165"/>
      <c r="C141" s="166"/>
      <c r="D141" s="167"/>
      <c r="E141" s="167"/>
      <c r="F141" s="168"/>
      <c r="G141" s="165"/>
    </row>
    <row r="142" spans="1:7" s="17" customFormat="1" ht="19" customHeight="1" x14ac:dyDescent="0.35">
      <c r="A142" s="165"/>
      <c r="B142" s="165"/>
      <c r="C142" s="166"/>
      <c r="D142" s="167"/>
      <c r="E142" s="167"/>
      <c r="F142" s="168"/>
      <c r="G142" s="165"/>
    </row>
    <row r="143" spans="1:7" s="17" customFormat="1" ht="19" customHeight="1" x14ac:dyDescent="0.35">
      <c r="A143" s="165"/>
      <c r="B143" s="165"/>
      <c r="C143" s="166"/>
      <c r="D143" s="167"/>
      <c r="E143" s="167"/>
      <c r="F143" s="168"/>
      <c r="G143" s="165"/>
    </row>
    <row r="144" spans="1:7" s="17" customFormat="1" ht="19" customHeight="1" x14ac:dyDescent="0.35">
      <c r="A144" s="165"/>
      <c r="B144" s="165"/>
      <c r="C144" s="166"/>
      <c r="D144" s="167"/>
      <c r="E144" s="167"/>
      <c r="F144" s="168"/>
      <c r="G144" s="165"/>
    </row>
    <row r="145" spans="1:7" s="17" customFormat="1" ht="19" customHeight="1" x14ac:dyDescent="0.35">
      <c r="A145" s="165"/>
      <c r="B145" s="165"/>
      <c r="C145" s="166"/>
      <c r="D145" s="167"/>
      <c r="E145" s="167"/>
      <c r="F145" s="168"/>
      <c r="G145" s="165"/>
    </row>
    <row r="146" spans="1:7" s="17" customFormat="1" ht="19" customHeight="1" x14ac:dyDescent="0.35">
      <c r="A146" s="165"/>
      <c r="B146" s="165"/>
      <c r="C146" s="166"/>
      <c r="D146" s="167"/>
      <c r="E146" s="167"/>
      <c r="F146" s="168"/>
      <c r="G146" s="165"/>
    </row>
    <row r="147" spans="1:7" s="17" customFormat="1" ht="19" customHeight="1" x14ac:dyDescent="0.35">
      <c r="A147" s="165"/>
      <c r="B147" s="165"/>
      <c r="C147" s="166"/>
      <c r="D147" s="167"/>
      <c r="E147" s="167"/>
      <c r="F147" s="168"/>
      <c r="G147" s="165"/>
    </row>
    <row r="148" spans="1:7" s="17" customFormat="1" ht="19" customHeight="1" x14ac:dyDescent="0.35">
      <c r="A148" s="165"/>
      <c r="B148" s="165"/>
      <c r="C148" s="166"/>
      <c r="D148" s="167"/>
      <c r="E148" s="167"/>
      <c r="F148" s="168"/>
      <c r="G148" s="165"/>
    </row>
    <row r="149" spans="1:7" s="17" customFormat="1" ht="19" customHeight="1" x14ac:dyDescent="0.35">
      <c r="A149" s="165"/>
      <c r="B149" s="165"/>
      <c r="C149" s="166"/>
      <c r="D149" s="167"/>
      <c r="E149" s="167"/>
      <c r="F149" s="168"/>
      <c r="G149" s="165"/>
    </row>
    <row r="150" spans="1:7" s="17" customFormat="1" ht="19" customHeight="1" x14ac:dyDescent="0.35">
      <c r="A150" s="165"/>
      <c r="B150" s="165"/>
      <c r="C150" s="166"/>
      <c r="D150" s="167"/>
      <c r="E150" s="167"/>
      <c r="F150" s="168"/>
      <c r="G150" s="165"/>
    </row>
    <row r="151" spans="1:7" s="17" customFormat="1" ht="19" customHeight="1" x14ac:dyDescent="0.35">
      <c r="A151" s="165"/>
      <c r="B151" s="165"/>
      <c r="C151" s="166"/>
      <c r="D151" s="167"/>
      <c r="E151" s="167"/>
      <c r="F151" s="168"/>
      <c r="G151" s="165"/>
    </row>
    <row r="152" spans="1:7" s="17" customFormat="1" ht="19" customHeight="1" x14ac:dyDescent="0.35">
      <c r="A152" s="165"/>
      <c r="B152" s="165"/>
      <c r="C152" s="166"/>
      <c r="D152" s="167"/>
      <c r="E152" s="167"/>
      <c r="F152" s="168"/>
      <c r="G152" s="165"/>
    </row>
    <row r="153" spans="1:7" s="17" customFormat="1" ht="19" customHeight="1" x14ac:dyDescent="0.35">
      <c r="A153" s="165"/>
      <c r="B153" s="165"/>
      <c r="C153" s="166"/>
      <c r="D153" s="167"/>
      <c r="E153" s="167"/>
      <c r="F153" s="168"/>
      <c r="G153" s="165"/>
    </row>
    <row r="154" spans="1:7" s="17" customFormat="1" ht="19" customHeight="1" x14ac:dyDescent="0.35">
      <c r="A154" s="165"/>
      <c r="B154" s="165"/>
      <c r="C154" s="166"/>
      <c r="D154" s="167"/>
      <c r="E154" s="167"/>
      <c r="F154" s="168"/>
      <c r="G154" s="165"/>
    </row>
    <row r="155" spans="1:7" s="17" customFormat="1" ht="19" customHeight="1" x14ac:dyDescent="0.35">
      <c r="A155" s="165"/>
      <c r="B155" s="165"/>
      <c r="C155" s="166"/>
      <c r="D155" s="167"/>
      <c r="E155" s="167"/>
      <c r="F155" s="168"/>
      <c r="G155" s="165"/>
    </row>
    <row r="156" spans="1:7" s="17" customFormat="1" ht="19" customHeight="1" x14ac:dyDescent="0.35">
      <c r="A156" s="165"/>
      <c r="B156" s="165"/>
      <c r="C156" s="166"/>
      <c r="D156" s="167"/>
      <c r="E156" s="167"/>
      <c r="F156" s="168"/>
      <c r="G156" s="165"/>
    </row>
    <row r="157" spans="1:7" s="17" customFormat="1" ht="19" customHeight="1" x14ac:dyDescent="0.35">
      <c r="A157" s="165"/>
      <c r="B157" s="165"/>
      <c r="C157" s="166"/>
      <c r="D157" s="167"/>
      <c r="E157" s="167"/>
      <c r="F157" s="168"/>
      <c r="G157" s="165"/>
    </row>
    <row r="158" spans="1:7" s="17" customFormat="1" ht="19" customHeight="1" x14ac:dyDescent="0.35">
      <c r="A158" s="165"/>
      <c r="B158" s="165"/>
      <c r="C158" s="166"/>
      <c r="D158" s="167"/>
      <c r="E158" s="167"/>
      <c r="F158" s="168"/>
      <c r="G158" s="165"/>
    </row>
    <row r="159" spans="1:7" s="17" customFormat="1" ht="19" customHeight="1" x14ac:dyDescent="0.35">
      <c r="A159" s="165"/>
      <c r="B159" s="165"/>
      <c r="C159" s="166"/>
      <c r="D159" s="167"/>
      <c r="E159" s="167"/>
      <c r="F159" s="168"/>
      <c r="G159" s="165"/>
    </row>
    <row r="160" spans="1:7" s="17" customFormat="1" ht="19" customHeight="1" x14ac:dyDescent="0.35">
      <c r="A160" s="165"/>
      <c r="B160" s="165"/>
      <c r="C160" s="166"/>
      <c r="D160" s="167"/>
      <c r="E160" s="167"/>
      <c r="F160" s="168"/>
      <c r="G160" s="165"/>
    </row>
    <row r="161" spans="1:7" s="17" customFormat="1" ht="19" customHeight="1" x14ac:dyDescent="0.35">
      <c r="A161" s="165"/>
      <c r="B161" s="168"/>
      <c r="C161" s="168"/>
      <c r="D161" s="168"/>
      <c r="E161" s="168"/>
      <c r="F161" s="168"/>
      <c r="G161" s="165"/>
    </row>
    <row r="162" spans="1:7" s="17" customFormat="1" ht="19" customHeight="1" x14ac:dyDescent="0.35">
      <c r="A162" s="165"/>
      <c r="B162" s="165"/>
      <c r="C162" s="166"/>
      <c r="D162" s="167"/>
      <c r="E162" s="167"/>
      <c r="F162" s="168"/>
      <c r="G162" s="165"/>
    </row>
    <row r="163" spans="1:7" s="17" customFormat="1" ht="19" customHeight="1" x14ac:dyDescent="0.35">
      <c r="A163" s="165"/>
      <c r="B163" s="165"/>
      <c r="C163" s="166"/>
      <c r="D163" s="167"/>
      <c r="E163" s="167"/>
      <c r="F163" s="168"/>
      <c r="G163" s="165"/>
    </row>
    <row r="164" spans="1:7" s="17" customFormat="1" ht="19" customHeight="1" x14ac:dyDescent="0.35">
      <c r="A164" s="165"/>
      <c r="B164" s="165"/>
      <c r="C164" s="166"/>
      <c r="D164" s="167"/>
      <c r="E164" s="167"/>
      <c r="F164" s="168"/>
      <c r="G164" s="165"/>
    </row>
    <row r="165" spans="1:7" s="17" customFormat="1" ht="19" customHeight="1" x14ac:dyDescent="0.35">
      <c r="A165" s="165"/>
      <c r="B165" s="165"/>
      <c r="C165" s="166"/>
      <c r="D165" s="167"/>
      <c r="E165" s="167"/>
      <c r="F165" s="168"/>
      <c r="G165" s="165"/>
    </row>
    <row r="166" spans="1:7" s="17" customFormat="1" ht="19" customHeight="1" x14ac:dyDescent="0.35">
      <c r="A166" s="165"/>
      <c r="B166" s="165"/>
      <c r="C166" s="166"/>
      <c r="D166" s="167"/>
      <c r="E166" s="167"/>
      <c r="F166" s="168"/>
      <c r="G166" s="165"/>
    </row>
    <row r="167" spans="1:7" s="17" customFormat="1" ht="19" customHeight="1" x14ac:dyDescent="0.35">
      <c r="A167" s="165"/>
      <c r="B167" s="165"/>
      <c r="C167" s="166"/>
      <c r="D167" s="167"/>
      <c r="E167" s="167"/>
      <c r="F167" s="168"/>
      <c r="G167" s="165"/>
    </row>
    <row r="168" spans="1:7" s="17" customFormat="1" ht="19" customHeight="1" x14ac:dyDescent="0.35">
      <c r="A168" s="165"/>
      <c r="B168" s="165"/>
      <c r="C168" s="166"/>
      <c r="D168" s="167"/>
      <c r="E168" s="167"/>
      <c r="F168" s="168"/>
      <c r="G168" s="165"/>
    </row>
    <row r="169" spans="1:7" s="17" customFormat="1" ht="19" customHeight="1" x14ac:dyDescent="0.35">
      <c r="A169" s="165"/>
      <c r="B169" s="165"/>
      <c r="C169" s="166"/>
      <c r="D169" s="167"/>
      <c r="E169" s="167"/>
      <c r="F169" s="168"/>
      <c r="G169" s="165"/>
    </row>
    <row r="170" spans="1:7" s="17" customFormat="1" ht="19" customHeight="1" x14ac:dyDescent="0.35">
      <c r="A170" s="165"/>
      <c r="B170" s="165"/>
      <c r="C170" s="166"/>
      <c r="D170" s="167"/>
      <c r="E170" s="167"/>
      <c r="F170" s="168"/>
      <c r="G170" s="165"/>
    </row>
    <row r="171" spans="1:7" s="17" customFormat="1" ht="19" customHeight="1" x14ac:dyDescent="0.35">
      <c r="A171" s="165"/>
      <c r="B171" s="165"/>
      <c r="C171" s="166"/>
      <c r="D171" s="167"/>
      <c r="E171" s="167"/>
      <c r="F171" s="168"/>
      <c r="G171" s="165"/>
    </row>
    <row r="172" spans="1:7" s="17" customFormat="1" ht="19" customHeight="1" x14ac:dyDescent="0.35">
      <c r="A172" s="165"/>
      <c r="B172" s="165"/>
      <c r="C172" s="166"/>
      <c r="D172" s="167"/>
      <c r="E172" s="167"/>
      <c r="F172" s="168"/>
      <c r="G172" s="165"/>
    </row>
    <row r="173" spans="1:7" s="17" customFormat="1" ht="19" customHeight="1" x14ac:dyDescent="0.35">
      <c r="A173" s="165"/>
      <c r="B173" s="165"/>
      <c r="C173" s="166"/>
      <c r="D173" s="167"/>
      <c r="E173" s="167"/>
      <c r="F173" s="168"/>
      <c r="G173" s="165"/>
    </row>
    <row r="174" spans="1:7" s="17" customFormat="1" ht="19" customHeight="1" x14ac:dyDescent="0.35">
      <c r="A174" s="165"/>
      <c r="B174" s="165"/>
      <c r="C174" s="166"/>
      <c r="D174" s="167"/>
      <c r="E174" s="167"/>
      <c r="F174" s="168"/>
      <c r="G174" s="165"/>
    </row>
    <row r="175" spans="1:7" s="17" customFormat="1" ht="19" customHeight="1" x14ac:dyDescent="0.35">
      <c r="A175" s="165"/>
      <c r="B175" s="165"/>
      <c r="C175" s="166"/>
      <c r="D175" s="167"/>
      <c r="E175" s="167"/>
      <c r="F175" s="168"/>
      <c r="G175" s="165"/>
    </row>
    <row r="176" spans="1:7" s="17" customFormat="1" ht="19" customHeight="1" x14ac:dyDescent="0.35">
      <c r="A176" s="165"/>
      <c r="B176" s="165"/>
      <c r="C176" s="166"/>
      <c r="D176" s="167"/>
      <c r="E176" s="167"/>
      <c r="F176" s="168"/>
      <c r="G176" s="165"/>
    </row>
    <row r="177" spans="1:7" s="17" customFormat="1" ht="19" customHeight="1" x14ac:dyDescent="0.35">
      <c r="A177" s="165"/>
      <c r="B177" s="165"/>
      <c r="C177" s="166"/>
      <c r="D177" s="167"/>
      <c r="E177" s="167"/>
      <c r="F177" s="168"/>
      <c r="G177" s="165"/>
    </row>
    <row r="178" spans="1:7" s="17" customFormat="1" ht="19" customHeight="1" x14ac:dyDescent="0.35">
      <c r="A178" s="165"/>
      <c r="B178" s="165"/>
      <c r="C178" s="166"/>
      <c r="D178" s="167"/>
      <c r="E178" s="167"/>
      <c r="F178" s="168"/>
      <c r="G178" s="165"/>
    </row>
    <row r="179" spans="1:7" s="17" customFormat="1" ht="19" customHeight="1" x14ac:dyDescent="0.35">
      <c r="A179" s="165"/>
      <c r="B179" s="165"/>
      <c r="C179" s="166"/>
      <c r="D179" s="167"/>
      <c r="E179" s="167"/>
      <c r="F179" s="168"/>
      <c r="G179" s="165"/>
    </row>
    <row r="180" spans="1:7" s="17" customFormat="1" ht="19" customHeight="1" x14ac:dyDescent="0.35">
      <c r="A180" s="165"/>
      <c r="B180" s="165"/>
      <c r="C180" s="166"/>
      <c r="D180" s="167"/>
      <c r="E180" s="167"/>
      <c r="F180" s="168"/>
      <c r="G180" s="165"/>
    </row>
    <row r="181" spans="1:7" s="17" customFormat="1" ht="19" customHeight="1" x14ac:dyDescent="0.35">
      <c r="A181" s="165"/>
      <c r="B181" s="165"/>
      <c r="C181" s="166"/>
      <c r="D181" s="167"/>
      <c r="E181" s="167"/>
      <c r="F181" s="168"/>
      <c r="G181" s="165"/>
    </row>
    <row r="182" spans="1:7" s="17" customFormat="1" ht="19" customHeight="1" x14ac:dyDescent="0.35">
      <c r="A182" s="165"/>
      <c r="B182" s="165"/>
      <c r="C182" s="166"/>
      <c r="D182" s="167"/>
      <c r="E182" s="167"/>
      <c r="F182" s="168"/>
      <c r="G182" s="165"/>
    </row>
    <row r="183" spans="1:7" s="17" customFormat="1" ht="19" customHeight="1" x14ac:dyDescent="0.35">
      <c r="A183" s="165"/>
      <c r="B183" s="165"/>
      <c r="C183" s="166"/>
      <c r="D183" s="167"/>
      <c r="E183" s="167"/>
      <c r="F183" s="168"/>
      <c r="G183" s="165"/>
    </row>
    <row r="184" spans="1:7" s="17" customFormat="1" ht="19" customHeight="1" x14ac:dyDescent="0.35">
      <c r="A184" s="165"/>
      <c r="B184" s="165"/>
      <c r="C184" s="166"/>
      <c r="D184" s="167"/>
      <c r="E184" s="167"/>
      <c r="F184" s="168"/>
      <c r="G184" s="165"/>
    </row>
    <row r="185" spans="1:7" s="17" customFormat="1" ht="19" customHeight="1" x14ac:dyDescent="0.35">
      <c r="A185" s="165"/>
      <c r="B185" s="165"/>
      <c r="C185" s="166"/>
      <c r="D185" s="167"/>
      <c r="E185" s="167"/>
      <c r="F185" s="168"/>
      <c r="G185" s="165"/>
    </row>
    <row r="186" spans="1:7" s="17" customFormat="1" ht="19" customHeight="1" x14ac:dyDescent="0.35">
      <c r="A186" s="165"/>
      <c r="B186" s="165"/>
      <c r="C186" s="166"/>
      <c r="D186" s="167"/>
      <c r="E186" s="167"/>
      <c r="F186" s="168"/>
      <c r="G186" s="165"/>
    </row>
    <row r="187" spans="1:7" s="17" customFormat="1" ht="19" customHeight="1" x14ac:dyDescent="0.35">
      <c r="A187" s="165"/>
      <c r="B187" s="165"/>
      <c r="C187" s="166"/>
      <c r="D187" s="167"/>
      <c r="E187" s="167"/>
      <c r="F187" s="168"/>
      <c r="G187" s="165"/>
    </row>
    <row r="188" spans="1:7" s="17" customFormat="1" ht="19" customHeight="1" x14ac:dyDescent="0.35">
      <c r="A188" s="165"/>
      <c r="B188" s="165"/>
      <c r="C188" s="166"/>
      <c r="D188" s="167"/>
      <c r="E188" s="167"/>
      <c r="F188" s="168"/>
      <c r="G188" s="165"/>
    </row>
    <row r="189" spans="1:7" s="17" customFormat="1" ht="19" customHeight="1" x14ac:dyDescent="0.35">
      <c r="A189" s="165"/>
      <c r="B189" s="165"/>
      <c r="C189" s="166"/>
      <c r="D189" s="167"/>
      <c r="E189" s="167"/>
      <c r="F189" s="168"/>
      <c r="G189" s="165"/>
    </row>
    <row r="190" spans="1:7" s="17" customFormat="1" ht="19" customHeight="1" x14ac:dyDescent="0.35">
      <c r="A190" s="165"/>
      <c r="B190" s="165"/>
      <c r="C190" s="166"/>
      <c r="D190" s="167"/>
      <c r="E190" s="167"/>
      <c r="F190" s="168"/>
      <c r="G190" s="165"/>
    </row>
    <row r="191" spans="1:7" s="17" customFormat="1" ht="19" customHeight="1" x14ac:dyDescent="0.35">
      <c r="A191" s="165"/>
      <c r="B191" s="165"/>
      <c r="C191" s="166"/>
      <c r="D191" s="167"/>
      <c r="E191" s="167"/>
      <c r="F191" s="168"/>
      <c r="G191" s="165"/>
    </row>
    <row r="192" spans="1:7" s="17" customFormat="1" ht="19" customHeight="1" x14ac:dyDescent="0.35">
      <c r="A192" s="165"/>
      <c r="B192" s="165"/>
      <c r="C192" s="166"/>
      <c r="D192" s="167"/>
      <c r="E192" s="167"/>
      <c r="F192" s="168"/>
      <c r="G192" s="165"/>
    </row>
    <row r="193" spans="1:7" s="17" customFormat="1" ht="19" customHeight="1" x14ac:dyDescent="0.35">
      <c r="A193" s="165"/>
      <c r="B193" s="165"/>
      <c r="C193" s="166"/>
      <c r="D193" s="167"/>
      <c r="E193" s="167"/>
      <c r="F193" s="168"/>
      <c r="G193" s="165"/>
    </row>
    <row r="194" spans="1:7" s="17" customFormat="1" ht="19" customHeight="1" x14ac:dyDescent="0.35">
      <c r="A194" s="165"/>
      <c r="B194" s="165"/>
      <c r="C194" s="166"/>
      <c r="D194" s="167"/>
      <c r="E194" s="167"/>
      <c r="F194" s="168"/>
      <c r="G194" s="165"/>
    </row>
    <row r="195" spans="1:7" s="17" customFormat="1" ht="19" customHeight="1" x14ac:dyDescent="0.35">
      <c r="A195" s="165"/>
      <c r="B195" s="165"/>
      <c r="C195" s="166"/>
      <c r="D195" s="167"/>
      <c r="E195" s="167"/>
      <c r="F195" s="168"/>
      <c r="G195" s="165"/>
    </row>
    <row r="196" spans="1:7" s="17" customFormat="1" ht="19" customHeight="1" x14ac:dyDescent="0.35">
      <c r="A196" s="165"/>
      <c r="B196" s="165"/>
      <c r="C196" s="166"/>
      <c r="D196" s="167"/>
      <c r="E196" s="167"/>
      <c r="F196" s="168"/>
      <c r="G196" s="165"/>
    </row>
    <row r="197" spans="1:7" s="17" customFormat="1" ht="19" customHeight="1" x14ac:dyDescent="0.35">
      <c r="A197" s="165"/>
      <c r="B197" s="165"/>
      <c r="C197" s="166"/>
      <c r="D197" s="167"/>
      <c r="E197" s="167"/>
      <c r="F197" s="168"/>
      <c r="G197" s="165"/>
    </row>
    <row r="198" spans="1:7" s="17" customFormat="1" ht="19" customHeight="1" x14ac:dyDescent="0.35">
      <c r="A198" s="165"/>
      <c r="B198" s="165"/>
      <c r="C198" s="166"/>
      <c r="D198" s="167"/>
      <c r="E198" s="167"/>
      <c r="F198" s="168"/>
      <c r="G198" s="165"/>
    </row>
    <row r="199" spans="1:7" s="17" customFormat="1" ht="19" customHeight="1" x14ac:dyDescent="0.35">
      <c r="A199" s="165"/>
      <c r="B199" s="168"/>
      <c r="C199" s="166"/>
      <c r="D199" s="167"/>
      <c r="E199" s="167"/>
      <c r="F199" s="168"/>
      <c r="G199" s="165"/>
    </row>
    <row r="200" spans="1:7" s="17" customFormat="1" ht="19" customHeight="1" x14ac:dyDescent="0.35">
      <c r="A200" s="165"/>
      <c r="B200" s="168"/>
      <c r="C200" s="166"/>
      <c r="D200" s="167"/>
      <c r="E200" s="167"/>
      <c r="F200" s="168"/>
      <c r="G200" s="165"/>
    </row>
    <row r="201" spans="1:7" s="17" customFormat="1" ht="19" customHeight="1" x14ac:dyDescent="0.35">
      <c r="A201" s="165"/>
      <c r="B201" s="168"/>
      <c r="C201" s="166"/>
      <c r="D201" s="167"/>
      <c r="E201" s="167"/>
      <c r="F201" s="168"/>
      <c r="G201" s="165"/>
    </row>
    <row r="202" spans="1:7" s="17" customFormat="1" ht="19" customHeight="1" x14ac:dyDescent="0.35">
      <c r="A202" s="165"/>
      <c r="B202" s="168"/>
      <c r="C202" s="166"/>
      <c r="D202" s="167"/>
      <c r="E202" s="167"/>
      <c r="F202" s="168"/>
      <c r="G202" s="165"/>
    </row>
    <row r="203" spans="1:7" s="17" customFormat="1" ht="19" customHeight="1" x14ac:dyDescent="0.35">
      <c r="A203" s="165"/>
      <c r="B203" s="168"/>
      <c r="C203" s="166"/>
      <c r="D203" s="167"/>
      <c r="E203" s="167"/>
      <c r="F203" s="168"/>
      <c r="G203" s="165"/>
    </row>
    <row r="204" spans="1:7" s="17" customFormat="1" ht="19" customHeight="1" x14ac:dyDescent="0.35">
      <c r="A204" s="165"/>
      <c r="B204" s="168"/>
      <c r="C204" s="166"/>
      <c r="D204" s="167"/>
      <c r="E204" s="167"/>
      <c r="F204" s="168"/>
      <c r="G204" s="165"/>
    </row>
    <row r="205" spans="1:7" s="17" customFormat="1" ht="19" customHeight="1" x14ac:dyDescent="0.35">
      <c r="A205" s="165"/>
      <c r="B205" s="168"/>
      <c r="C205" s="166"/>
      <c r="D205" s="167"/>
      <c r="E205" s="167"/>
      <c r="F205" s="168"/>
      <c r="G205" s="165"/>
    </row>
    <row r="206" spans="1:7" s="17" customFormat="1" ht="19" customHeight="1" x14ac:dyDescent="0.35">
      <c r="A206" s="165"/>
      <c r="B206" s="168"/>
      <c r="C206" s="166"/>
      <c r="D206" s="167"/>
      <c r="E206" s="167"/>
      <c r="F206" s="168"/>
      <c r="G206" s="165"/>
    </row>
    <row r="207" spans="1:7" s="17" customFormat="1" ht="19" customHeight="1" x14ac:dyDescent="0.35">
      <c r="A207" s="165"/>
      <c r="B207" s="168"/>
      <c r="C207" s="166"/>
      <c r="D207" s="167"/>
      <c r="E207" s="167"/>
      <c r="F207" s="168"/>
      <c r="G207" s="165"/>
    </row>
    <row r="208" spans="1:7" s="17" customFormat="1" ht="19" customHeight="1" x14ac:dyDescent="0.35">
      <c r="A208" s="165"/>
      <c r="B208" s="168"/>
      <c r="C208" s="166"/>
      <c r="D208" s="167"/>
      <c r="E208" s="167"/>
      <c r="F208" s="168"/>
      <c r="G208" s="165"/>
    </row>
    <row r="209" spans="1:10" s="17" customFormat="1" ht="19" customHeight="1" x14ac:dyDescent="0.35">
      <c r="A209" s="165"/>
      <c r="B209" s="168"/>
      <c r="C209" s="166"/>
      <c r="D209" s="167"/>
      <c r="E209" s="167"/>
      <c r="F209" s="168"/>
      <c r="G209" s="165"/>
    </row>
    <row r="210" spans="1:10" s="17" customFormat="1" ht="19" customHeight="1" x14ac:dyDescent="0.35">
      <c r="A210" s="165"/>
      <c r="B210" s="168"/>
      <c r="C210" s="166"/>
      <c r="D210" s="167"/>
      <c r="E210" s="167"/>
      <c r="F210" s="168"/>
      <c r="G210" s="165"/>
    </row>
    <row r="211" spans="1:10" s="17" customFormat="1" ht="19" customHeight="1" x14ac:dyDescent="0.35">
      <c r="A211" s="165"/>
      <c r="B211" s="168"/>
      <c r="C211" s="166"/>
      <c r="D211" s="167"/>
      <c r="E211" s="167"/>
      <c r="F211" s="168"/>
      <c r="G211" s="165"/>
    </row>
    <row r="212" spans="1:10" s="17" customFormat="1" ht="19" customHeight="1" x14ac:dyDescent="0.35">
      <c r="A212" s="165"/>
      <c r="B212" s="168"/>
      <c r="C212" s="166"/>
      <c r="D212" s="167"/>
      <c r="E212" s="167"/>
      <c r="F212" s="168"/>
      <c r="G212" s="165"/>
    </row>
    <row r="213" spans="1:10" s="17" customFormat="1" ht="19" customHeight="1" x14ac:dyDescent="0.35">
      <c r="A213" s="165"/>
      <c r="B213" s="168"/>
      <c r="C213" s="166"/>
      <c r="D213" s="167"/>
      <c r="E213" s="167"/>
      <c r="F213" s="168"/>
      <c r="G213" s="165"/>
    </row>
    <row r="214" spans="1:10" s="17" customFormat="1" ht="19" customHeight="1" x14ac:dyDescent="0.35">
      <c r="A214" s="165"/>
      <c r="B214" s="168"/>
      <c r="C214" s="166"/>
      <c r="D214" s="167"/>
      <c r="E214" s="167"/>
      <c r="F214" s="168"/>
      <c r="G214" s="165"/>
    </row>
    <row r="215" spans="1:10" s="17" customFormat="1" ht="19" customHeight="1" x14ac:dyDescent="0.35">
      <c r="A215" s="165"/>
      <c r="B215" s="168"/>
      <c r="C215" s="166"/>
      <c r="D215" s="167"/>
      <c r="E215" s="167"/>
      <c r="F215" s="168"/>
      <c r="G215" s="165"/>
    </row>
    <row r="216" spans="1:10" s="17" customFormat="1" ht="19" customHeight="1" x14ac:dyDescent="0.35">
      <c r="A216" s="165"/>
      <c r="B216" s="168"/>
      <c r="C216" s="166"/>
      <c r="D216" s="167"/>
      <c r="E216" s="167"/>
      <c r="F216" s="168"/>
      <c r="G216" s="165"/>
    </row>
    <row r="217" spans="1:10" s="17" customFormat="1" ht="19" customHeight="1" x14ac:dyDescent="0.35">
      <c r="A217" s="165"/>
      <c r="B217" s="168"/>
      <c r="C217" s="166"/>
      <c r="D217" s="167"/>
      <c r="E217" s="167"/>
      <c r="F217" s="168"/>
      <c r="G217" s="165"/>
      <c r="H217" s="17">
        <v>29</v>
      </c>
      <c r="I217" s="17">
        <v>2021</v>
      </c>
      <c r="J217" s="17" t="s">
        <v>142</v>
      </c>
    </row>
    <row r="218" spans="1:10" s="17" customFormat="1" ht="19" customHeight="1" x14ac:dyDescent="0.35">
      <c r="A218" s="165"/>
      <c r="B218" s="168"/>
      <c r="C218" s="166"/>
      <c r="D218" s="167"/>
      <c r="E218" s="167"/>
      <c r="F218" s="168"/>
      <c r="G218" s="165"/>
      <c r="H218" s="17">
        <v>31</v>
      </c>
      <c r="I218" s="17">
        <v>2021</v>
      </c>
      <c r="J218" s="17" t="s">
        <v>142</v>
      </c>
    </row>
    <row r="219" spans="1:10" s="17" customFormat="1" ht="19" customHeight="1" x14ac:dyDescent="0.35">
      <c r="A219" s="165"/>
      <c r="B219" s="168"/>
      <c r="C219" s="166"/>
      <c r="D219" s="167"/>
      <c r="E219" s="167"/>
      <c r="F219" s="168"/>
      <c r="G219" s="165"/>
      <c r="H219" s="17">
        <v>32</v>
      </c>
      <c r="I219" s="17">
        <v>2021</v>
      </c>
      <c r="J219" s="17" t="s">
        <v>142</v>
      </c>
    </row>
    <row r="220" spans="1:10" s="17" customFormat="1" ht="19" customHeight="1" x14ac:dyDescent="0.35">
      <c r="A220" s="165"/>
      <c r="B220" s="168"/>
      <c r="C220" s="166"/>
      <c r="D220" s="167"/>
      <c r="E220" s="167"/>
      <c r="F220" s="168"/>
      <c r="G220" s="165"/>
      <c r="H220" s="17">
        <v>1</v>
      </c>
      <c r="I220" s="17">
        <v>2022</v>
      </c>
      <c r="J220" s="17" t="s">
        <v>142</v>
      </c>
    </row>
    <row r="221" spans="1:10" s="17" customFormat="1" ht="19" customHeight="1" x14ac:dyDescent="0.35">
      <c r="A221" s="165"/>
      <c r="B221" s="168"/>
      <c r="C221" s="166"/>
      <c r="D221" s="167"/>
      <c r="E221" s="167"/>
      <c r="F221" s="168"/>
      <c r="G221" s="165"/>
      <c r="H221" s="17">
        <v>45</v>
      </c>
      <c r="I221" s="17">
        <v>2022</v>
      </c>
      <c r="J221" s="17" t="s">
        <v>142</v>
      </c>
    </row>
    <row r="222" spans="1:10" s="17" customFormat="1" ht="19" customHeight="1" x14ac:dyDescent="0.35">
      <c r="A222" s="165"/>
      <c r="B222" s="168"/>
      <c r="C222" s="166"/>
      <c r="D222" s="167"/>
      <c r="E222" s="167"/>
      <c r="F222" s="168"/>
      <c r="G222" s="165"/>
    </row>
    <row r="223" spans="1:10" s="17" customFormat="1" ht="19" customHeight="1" x14ac:dyDescent="0.35">
      <c r="A223" s="165"/>
      <c r="B223" s="168"/>
      <c r="C223" s="166"/>
      <c r="D223" s="167"/>
      <c r="E223" s="167"/>
      <c r="F223" s="168"/>
      <c r="G223" s="165"/>
    </row>
    <row r="224" spans="1:10" s="17" customFormat="1" ht="19" customHeight="1" x14ac:dyDescent="0.35">
      <c r="A224" s="165"/>
      <c r="B224" s="168"/>
      <c r="C224" s="166"/>
      <c r="D224" s="167"/>
      <c r="E224" s="167"/>
      <c r="F224" s="168"/>
      <c r="G224" s="165"/>
    </row>
    <row r="225" spans="1:7" s="17" customFormat="1" ht="19" customHeight="1" x14ac:dyDescent="0.35">
      <c r="A225" s="165"/>
      <c r="B225" s="168"/>
      <c r="C225" s="166"/>
      <c r="D225" s="167"/>
      <c r="E225" s="167"/>
      <c r="F225" s="168"/>
      <c r="G225" s="165"/>
    </row>
    <row r="226" spans="1:7" s="17" customFormat="1" ht="19" customHeight="1" x14ac:dyDescent="0.35">
      <c r="A226" s="165"/>
      <c r="B226" s="168"/>
      <c r="C226" s="166"/>
      <c r="D226" s="167"/>
      <c r="E226" s="167"/>
      <c r="F226" s="168"/>
      <c r="G226" s="165"/>
    </row>
    <row r="227" spans="1:7" s="17" customFormat="1" ht="19" customHeight="1" x14ac:dyDescent="0.35">
      <c r="A227" s="165"/>
      <c r="B227" s="168"/>
      <c r="C227" s="166"/>
      <c r="D227" s="167"/>
      <c r="E227" s="167"/>
      <c r="F227" s="168"/>
      <c r="G227" s="165"/>
    </row>
    <row r="228" spans="1:7" s="17" customFormat="1" ht="19" customHeight="1" x14ac:dyDescent="0.35">
      <c r="A228" s="165"/>
      <c r="B228" s="168"/>
      <c r="C228" s="166"/>
      <c r="D228" s="167"/>
      <c r="E228" s="167"/>
      <c r="F228" s="168"/>
      <c r="G228" s="165"/>
    </row>
    <row r="229" spans="1:7" s="17" customFormat="1" ht="19" customHeight="1" x14ac:dyDescent="0.35">
      <c r="A229" s="165"/>
      <c r="B229" s="168"/>
      <c r="C229" s="166"/>
      <c r="D229" s="167"/>
      <c r="E229" s="167"/>
      <c r="F229" s="168"/>
      <c r="G229" s="165"/>
    </row>
    <row r="230" spans="1:7" s="17" customFormat="1" ht="19" customHeight="1" x14ac:dyDescent="0.35">
      <c r="A230" s="165"/>
      <c r="B230" s="168"/>
      <c r="C230" s="166"/>
      <c r="D230" s="167"/>
      <c r="E230" s="167"/>
      <c r="F230" s="168"/>
      <c r="G230" s="165"/>
    </row>
    <row r="231" spans="1:7" s="17" customFormat="1" ht="19" customHeight="1" x14ac:dyDescent="0.35">
      <c r="A231" s="165"/>
      <c r="B231" s="168"/>
      <c r="C231" s="166"/>
      <c r="D231" s="167"/>
      <c r="E231" s="167"/>
      <c r="F231" s="168"/>
      <c r="G231" s="165"/>
    </row>
    <row r="232" spans="1:7" s="17" customFormat="1" ht="19" customHeight="1" x14ac:dyDescent="0.35">
      <c r="A232" s="165"/>
      <c r="B232" s="168"/>
      <c r="C232" s="168"/>
      <c r="D232" s="168"/>
      <c r="E232" s="168"/>
      <c r="F232" s="168"/>
      <c r="G232" s="165"/>
    </row>
    <row r="233" spans="1:7" s="17" customFormat="1" ht="19" customHeight="1" x14ac:dyDescent="0.35">
      <c r="A233" s="165"/>
      <c r="B233" s="165"/>
      <c r="C233" s="166"/>
      <c r="D233" s="167"/>
      <c r="E233" s="167"/>
      <c r="F233" s="168"/>
      <c r="G233" s="165"/>
    </row>
    <row r="234" spans="1:7" s="17" customFormat="1" ht="19" customHeight="1" x14ac:dyDescent="0.35">
      <c r="A234" s="165"/>
      <c r="B234" s="165"/>
      <c r="C234" s="166"/>
      <c r="D234" s="167"/>
      <c r="E234" s="167"/>
      <c r="F234" s="168"/>
      <c r="G234" s="165"/>
    </row>
    <row r="235" spans="1:7" s="17" customFormat="1" ht="19" customHeight="1" x14ac:dyDescent="0.35">
      <c r="A235" s="165"/>
      <c r="B235" s="165"/>
      <c r="C235" s="166"/>
      <c r="D235" s="167"/>
      <c r="E235" s="167"/>
      <c r="F235" s="168"/>
      <c r="G235" s="165"/>
    </row>
    <row r="236" spans="1:7" s="17" customFormat="1" ht="19" customHeight="1" x14ac:dyDescent="0.35">
      <c r="A236" s="165"/>
      <c r="B236" s="165"/>
      <c r="C236" s="166"/>
      <c r="D236" s="167"/>
      <c r="E236" s="167"/>
      <c r="F236" s="168"/>
      <c r="G236" s="165"/>
    </row>
    <row r="237" spans="1:7" s="17" customFormat="1" ht="19" customHeight="1" x14ac:dyDescent="0.35">
      <c r="A237" s="165"/>
      <c r="B237" s="165"/>
      <c r="C237" s="166"/>
      <c r="D237" s="167"/>
      <c r="E237" s="167"/>
      <c r="F237" s="168"/>
      <c r="G237" s="165"/>
    </row>
    <row r="238" spans="1:7" s="17" customFormat="1" ht="19" customHeight="1" x14ac:dyDescent="0.35">
      <c r="A238" s="165"/>
      <c r="B238" s="165"/>
      <c r="C238" s="166"/>
      <c r="D238" s="167"/>
      <c r="E238" s="167"/>
      <c r="F238" s="168"/>
      <c r="G238" s="165"/>
    </row>
    <row r="239" spans="1:7" s="17" customFormat="1" ht="19" customHeight="1" x14ac:dyDescent="0.35">
      <c r="A239" s="165"/>
      <c r="B239" s="165"/>
      <c r="C239" s="166"/>
      <c r="D239" s="167"/>
      <c r="E239" s="167"/>
      <c r="F239" s="168"/>
      <c r="G239" s="165"/>
    </row>
    <row r="240" spans="1:7" s="17" customFormat="1" ht="19" customHeight="1" x14ac:dyDescent="0.35">
      <c r="A240" s="165"/>
      <c r="B240" s="165"/>
      <c r="C240" s="166"/>
      <c r="D240" s="167"/>
      <c r="E240" s="167"/>
      <c r="F240" s="168"/>
      <c r="G240" s="165"/>
    </row>
    <row r="241" spans="1:8" s="17" customFormat="1" ht="19" customHeight="1" x14ac:dyDescent="0.35">
      <c r="A241" s="165"/>
      <c r="B241" s="165"/>
      <c r="C241" s="166"/>
      <c r="D241" s="167"/>
      <c r="E241" s="167"/>
      <c r="F241" s="168"/>
      <c r="G241" s="165"/>
    </row>
    <row r="242" spans="1:8" s="17" customFormat="1" ht="19" customHeight="1" x14ac:dyDescent="0.35">
      <c r="A242" s="165"/>
      <c r="B242" s="165"/>
      <c r="C242" s="166"/>
      <c r="D242" s="167"/>
      <c r="E242" s="167"/>
      <c r="F242" s="168"/>
      <c r="G242" s="165"/>
    </row>
    <row r="243" spans="1:8" s="17" customFormat="1" ht="19" customHeight="1" x14ac:dyDescent="0.35">
      <c r="A243" s="165"/>
      <c r="B243" s="165"/>
      <c r="C243" s="166"/>
      <c r="D243" s="167"/>
      <c r="E243" s="167"/>
      <c r="F243" s="168"/>
      <c r="G243" s="165"/>
    </row>
    <row r="244" spans="1:8" s="17" customFormat="1" ht="19" customHeight="1" x14ac:dyDescent="0.35">
      <c r="A244" s="165"/>
      <c r="B244" s="165"/>
      <c r="C244" s="166"/>
      <c r="D244" s="167"/>
      <c r="E244" s="167"/>
      <c r="F244" s="168"/>
      <c r="G244" s="165"/>
    </row>
    <row r="245" spans="1:8" s="17" customFormat="1" ht="19" customHeight="1" x14ac:dyDescent="0.35">
      <c r="A245" s="165"/>
      <c r="B245" s="165"/>
      <c r="C245" s="166"/>
      <c r="D245" s="167"/>
      <c r="E245" s="167"/>
      <c r="F245" s="168"/>
      <c r="G245" s="165"/>
    </row>
    <row r="246" spans="1:8" s="17" customFormat="1" ht="19" customHeight="1" x14ac:dyDescent="0.35">
      <c r="A246" s="165"/>
      <c r="B246" s="165"/>
      <c r="C246" s="166"/>
      <c r="D246" s="167"/>
      <c r="E246" s="167"/>
      <c r="F246" s="168"/>
      <c r="G246" s="165"/>
    </row>
    <row r="247" spans="1:8" s="17" customFormat="1" ht="19" customHeight="1" x14ac:dyDescent="0.35">
      <c r="A247" s="165"/>
      <c r="B247" s="165"/>
      <c r="C247" s="166"/>
      <c r="D247" s="167"/>
      <c r="E247" s="167"/>
      <c r="F247" s="168"/>
      <c r="G247" s="165"/>
    </row>
    <row r="248" spans="1:8" s="17" customFormat="1" ht="19" customHeight="1" x14ac:dyDescent="0.35">
      <c r="A248" s="165"/>
      <c r="B248" s="165"/>
      <c r="C248" s="166"/>
      <c r="D248" s="167"/>
      <c r="E248" s="167"/>
      <c r="F248" s="168"/>
      <c r="G248" s="165"/>
    </row>
    <row r="249" spans="1:8" s="17" customFormat="1" ht="19" customHeight="1" x14ac:dyDescent="0.35">
      <c r="A249" s="165"/>
      <c r="B249" s="165"/>
      <c r="C249" s="166"/>
      <c r="D249" s="167"/>
      <c r="E249" s="167"/>
      <c r="F249" s="168"/>
      <c r="G249" s="165"/>
    </row>
    <row r="250" spans="1:8" s="17" customFormat="1" ht="19" customHeight="1" x14ac:dyDescent="0.35">
      <c r="A250" s="165"/>
      <c r="B250" s="165"/>
      <c r="C250" s="166"/>
      <c r="D250" s="167"/>
      <c r="E250" s="167"/>
      <c r="F250" s="168"/>
      <c r="G250" s="165"/>
    </row>
    <row r="251" spans="1:8" s="17" customFormat="1" ht="19" customHeight="1" x14ac:dyDescent="0.35">
      <c r="A251" s="165"/>
      <c r="B251" s="165"/>
      <c r="C251" s="166"/>
      <c r="D251" s="167"/>
      <c r="E251" s="167"/>
      <c r="F251" s="168"/>
      <c r="G251" s="165"/>
    </row>
    <row r="252" spans="1:8" s="17" customFormat="1" ht="19" customHeight="1" x14ac:dyDescent="0.35">
      <c r="A252" s="165"/>
      <c r="B252" s="165"/>
      <c r="C252" s="166"/>
      <c r="D252" s="167"/>
      <c r="E252" s="167"/>
      <c r="F252" s="168"/>
      <c r="G252" s="165"/>
    </row>
    <row r="253" spans="1:8" s="17" customFormat="1" ht="19" customHeight="1" x14ac:dyDescent="0.35">
      <c r="A253" s="165"/>
      <c r="B253" s="165"/>
      <c r="C253" s="166"/>
      <c r="D253" s="167"/>
      <c r="E253" s="167"/>
      <c r="F253" s="168"/>
      <c r="G253" s="165"/>
    </row>
    <row r="254" spans="1:8" s="17" customFormat="1" ht="19" customHeight="1" x14ac:dyDescent="0.35">
      <c r="A254" s="165"/>
      <c r="B254" s="165"/>
      <c r="C254" s="166"/>
      <c r="D254" s="167"/>
      <c r="E254" s="167"/>
      <c r="F254" s="168"/>
      <c r="G254" s="165"/>
    </row>
    <row r="255" spans="1:8" s="17" customFormat="1" ht="19" customHeight="1" x14ac:dyDescent="0.35">
      <c r="A255" s="165"/>
      <c r="B255" s="165"/>
      <c r="C255" s="166"/>
      <c r="D255" s="167"/>
      <c r="E255" s="167"/>
      <c r="F255" s="168"/>
      <c r="G255" s="165"/>
    </row>
    <row r="256" spans="1:8" s="17" customFormat="1" ht="19" customHeight="1" x14ac:dyDescent="0.35">
      <c r="A256" s="165"/>
      <c r="B256" s="165"/>
      <c r="C256" s="166"/>
      <c r="D256" s="167"/>
      <c r="E256" s="167"/>
      <c r="F256" s="168"/>
      <c r="G256" s="165"/>
      <c r="H256" s="17" t="s">
        <v>104</v>
      </c>
    </row>
    <row r="257" spans="1:7" s="17" customFormat="1" ht="19" customHeight="1" x14ac:dyDescent="0.35">
      <c r="A257" s="165"/>
      <c r="B257" s="165"/>
      <c r="C257" s="166"/>
      <c r="D257" s="167"/>
      <c r="E257" s="167"/>
      <c r="F257" s="168"/>
      <c r="G257" s="165"/>
    </row>
    <row r="258" spans="1:7" s="17" customFormat="1" ht="19" customHeight="1" x14ac:dyDescent="0.35">
      <c r="A258" s="165"/>
      <c r="B258" s="165"/>
      <c r="C258" s="166"/>
      <c r="D258" s="167"/>
      <c r="E258" s="167"/>
      <c r="F258" s="168"/>
      <c r="G258" s="165"/>
    </row>
    <row r="259" spans="1:7" s="17" customFormat="1" ht="19" customHeight="1" x14ac:dyDescent="0.35">
      <c r="A259" s="165"/>
      <c r="B259" s="165"/>
      <c r="C259" s="166"/>
      <c r="D259" s="167"/>
      <c r="E259" s="167"/>
      <c r="F259" s="168"/>
      <c r="G259" s="165"/>
    </row>
    <row r="260" spans="1:7" s="17" customFormat="1" ht="19" customHeight="1" x14ac:dyDescent="0.35">
      <c r="A260" s="165"/>
      <c r="B260" s="165"/>
      <c r="C260" s="166"/>
      <c r="D260" s="167"/>
      <c r="E260" s="167"/>
      <c r="F260" s="168"/>
      <c r="G260" s="165"/>
    </row>
    <row r="261" spans="1:7" s="17" customFormat="1" ht="19" customHeight="1" x14ac:dyDescent="0.35">
      <c r="A261" s="165"/>
      <c r="B261" s="165"/>
      <c r="C261" s="166"/>
      <c r="D261" s="167"/>
      <c r="E261" s="167"/>
      <c r="F261" s="168"/>
      <c r="G261" s="165"/>
    </row>
    <row r="262" spans="1:7" s="17" customFormat="1" ht="19" customHeight="1" x14ac:dyDescent="0.35">
      <c r="A262" s="165"/>
      <c r="B262" s="165"/>
      <c r="C262" s="166"/>
      <c r="D262" s="167"/>
      <c r="E262" s="167"/>
      <c r="F262" s="168"/>
      <c r="G262" s="165"/>
    </row>
    <row r="263" spans="1:7" s="17" customFormat="1" ht="19" customHeight="1" x14ac:dyDescent="0.35">
      <c r="A263" s="165"/>
      <c r="B263" s="165"/>
      <c r="C263" s="166"/>
      <c r="D263" s="167"/>
      <c r="E263" s="167"/>
      <c r="F263" s="168"/>
      <c r="G263" s="165"/>
    </row>
    <row r="264" spans="1:7" s="17" customFormat="1" ht="19" customHeight="1" x14ac:dyDescent="0.35">
      <c r="A264" s="165"/>
      <c r="B264" s="165"/>
      <c r="C264" s="166"/>
      <c r="D264" s="167"/>
      <c r="E264" s="167"/>
      <c r="F264" s="168"/>
      <c r="G264" s="165"/>
    </row>
    <row r="265" spans="1:7" s="17" customFormat="1" ht="19" customHeight="1" x14ac:dyDescent="0.35">
      <c r="A265" s="165"/>
      <c r="B265" s="165"/>
      <c r="C265" s="166"/>
      <c r="D265" s="167"/>
      <c r="E265" s="167"/>
      <c r="F265" s="168"/>
      <c r="G265" s="165"/>
    </row>
    <row r="266" spans="1:7" s="17" customFormat="1" ht="19" customHeight="1" x14ac:dyDescent="0.35">
      <c r="A266" s="165"/>
      <c r="B266" s="165"/>
      <c r="C266" s="166"/>
      <c r="D266" s="167"/>
      <c r="E266" s="167"/>
      <c r="F266" s="168"/>
      <c r="G266" s="165"/>
    </row>
    <row r="267" spans="1:7" s="17" customFormat="1" ht="19" customHeight="1" x14ac:dyDescent="0.35">
      <c r="A267" s="165"/>
      <c r="B267" s="165"/>
      <c r="C267" s="166"/>
      <c r="D267" s="167"/>
      <c r="E267" s="167"/>
      <c r="F267" s="168"/>
      <c r="G267" s="165"/>
    </row>
    <row r="268" spans="1:7" s="17" customFormat="1" ht="19" customHeight="1" x14ac:dyDescent="0.35">
      <c r="A268" s="165"/>
      <c r="B268" s="165"/>
      <c r="C268" s="166"/>
      <c r="D268" s="167"/>
      <c r="E268" s="167"/>
      <c r="F268" s="168"/>
      <c r="G268" s="165"/>
    </row>
    <row r="269" spans="1:7" s="17" customFormat="1" ht="19" customHeight="1" x14ac:dyDescent="0.35">
      <c r="A269" s="165"/>
      <c r="B269" s="165"/>
      <c r="C269" s="166"/>
      <c r="D269" s="167"/>
      <c r="E269" s="167"/>
      <c r="F269" s="168"/>
      <c r="G269" s="165"/>
    </row>
    <row r="270" spans="1:7" s="17" customFormat="1" ht="19" customHeight="1" x14ac:dyDescent="0.35">
      <c r="A270" s="165"/>
      <c r="B270" s="165"/>
      <c r="C270" s="166"/>
      <c r="D270" s="167"/>
      <c r="E270" s="167"/>
      <c r="F270" s="168"/>
      <c r="G270" s="165"/>
    </row>
    <row r="271" spans="1:7" s="17" customFormat="1" ht="19" customHeight="1" x14ac:dyDescent="0.35">
      <c r="A271" s="165"/>
      <c r="B271" s="165"/>
      <c r="C271" s="166"/>
      <c r="D271" s="167"/>
      <c r="E271" s="167"/>
      <c r="F271" s="168"/>
      <c r="G271" s="165"/>
    </row>
    <row r="272" spans="1:7" s="17" customFormat="1" ht="19" customHeight="1" x14ac:dyDescent="0.35">
      <c r="A272" s="165"/>
      <c r="B272" s="165"/>
      <c r="C272" s="166"/>
      <c r="D272" s="167"/>
      <c r="E272" s="167"/>
      <c r="F272" s="168"/>
      <c r="G272" s="165"/>
    </row>
    <row r="273" spans="1:7" s="17" customFormat="1" ht="19" customHeight="1" x14ac:dyDescent="0.35">
      <c r="A273" s="165"/>
      <c r="B273" s="165"/>
      <c r="C273" s="166"/>
      <c r="D273" s="167"/>
      <c r="E273" s="167"/>
      <c r="F273" s="168"/>
      <c r="G273" s="165"/>
    </row>
    <row r="274" spans="1:7" s="17" customFormat="1" ht="19" customHeight="1" x14ac:dyDescent="0.35">
      <c r="A274" s="165"/>
      <c r="B274" s="165"/>
      <c r="C274" s="166"/>
      <c r="D274" s="167"/>
      <c r="E274" s="167"/>
      <c r="F274" s="168"/>
      <c r="G274" s="165"/>
    </row>
    <row r="275" spans="1:7" s="17" customFormat="1" ht="19" customHeight="1" x14ac:dyDescent="0.35">
      <c r="A275" s="165"/>
      <c r="B275" s="165"/>
      <c r="C275" s="166"/>
      <c r="D275" s="167"/>
      <c r="E275" s="167"/>
      <c r="F275" s="168"/>
      <c r="G275" s="165"/>
    </row>
    <row r="276" spans="1:7" s="17" customFormat="1" ht="19" customHeight="1" x14ac:dyDescent="0.35">
      <c r="A276" s="165"/>
      <c r="B276" s="165"/>
      <c r="C276" s="166"/>
      <c r="D276" s="167"/>
      <c r="E276" s="167"/>
      <c r="F276" s="168"/>
      <c r="G276" s="165"/>
    </row>
    <row r="277" spans="1:7" s="17" customFormat="1" ht="19" customHeight="1" x14ac:dyDescent="0.35">
      <c r="A277" s="165"/>
      <c r="B277" s="165"/>
      <c r="C277" s="166"/>
      <c r="D277" s="167"/>
      <c r="E277" s="167"/>
      <c r="F277" s="168"/>
      <c r="G277" s="165"/>
    </row>
    <row r="278" spans="1:7" s="17" customFormat="1" ht="19" customHeight="1" x14ac:dyDescent="0.35">
      <c r="A278" s="165"/>
      <c r="B278" s="165"/>
      <c r="C278" s="166"/>
      <c r="D278" s="167"/>
      <c r="E278" s="167"/>
      <c r="F278" s="168"/>
      <c r="G278" s="165"/>
    </row>
    <row r="279" spans="1:7" s="17" customFormat="1" ht="19" customHeight="1" x14ac:dyDescent="0.35">
      <c r="A279" s="165"/>
      <c r="B279" s="165"/>
      <c r="C279" s="166"/>
      <c r="D279" s="167"/>
      <c r="E279" s="167"/>
      <c r="F279" s="168"/>
      <c r="G279" s="165"/>
    </row>
    <row r="280" spans="1:7" s="17" customFormat="1" ht="19" customHeight="1" x14ac:dyDescent="0.35">
      <c r="A280" s="165"/>
      <c r="B280" s="165"/>
      <c r="C280" s="166"/>
      <c r="D280" s="167"/>
      <c r="E280" s="167"/>
      <c r="F280" s="168"/>
      <c r="G280" s="165"/>
    </row>
    <row r="281" spans="1:7" s="17" customFormat="1" ht="19" customHeight="1" x14ac:dyDescent="0.35">
      <c r="A281" s="165"/>
      <c r="B281" s="165"/>
      <c r="C281" s="166"/>
      <c r="D281" s="167"/>
      <c r="E281" s="167"/>
      <c r="F281" s="168"/>
      <c r="G281" s="165"/>
    </row>
    <row r="282" spans="1:7" s="17" customFormat="1" ht="19" customHeight="1" x14ac:dyDescent="0.35">
      <c r="A282" s="165"/>
      <c r="B282" s="165"/>
      <c r="C282" s="166"/>
      <c r="D282" s="167"/>
      <c r="E282" s="167"/>
      <c r="F282" s="168"/>
      <c r="G282" s="165"/>
    </row>
    <row r="283" spans="1:7" s="17" customFormat="1" ht="19" customHeight="1" x14ac:dyDescent="0.35">
      <c r="A283" s="165"/>
      <c r="B283" s="165"/>
      <c r="C283" s="166"/>
      <c r="D283" s="167"/>
      <c r="E283" s="167"/>
      <c r="F283" s="168"/>
      <c r="G283" s="165"/>
    </row>
    <row r="284" spans="1:7" s="17" customFormat="1" ht="19" customHeight="1" x14ac:dyDescent="0.35">
      <c r="A284" s="165"/>
      <c r="B284" s="165"/>
      <c r="C284" s="166"/>
      <c r="D284" s="167"/>
      <c r="E284" s="167"/>
      <c r="F284" s="168"/>
      <c r="G284" s="165"/>
    </row>
    <row r="285" spans="1:7" s="17" customFormat="1" ht="19" customHeight="1" x14ac:dyDescent="0.35">
      <c r="A285" s="165"/>
      <c r="B285" s="165"/>
      <c r="C285" s="166"/>
      <c r="D285" s="167"/>
      <c r="E285" s="167"/>
      <c r="F285" s="168"/>
      <c r="G285" s="165"/>
    </row>
    <row r="286" spans="1:7" s="17" customFormat="1" ht="19" customHeight="1" x14ac:dyDescent="0.35">
      <c r="A286" s="165"/>
      <c r="B286" s="165"/>
      <c r="C286" s="166"/>
      <c r="D286" s="167"/>
      <c r="E286" s="167"/>
      <c r="F286" s="168"/>
      <c r="G286" s="165"/>
    </row>
    <row r="287" spans="1:7" s="17" customFormat="1" ht="19" customHeight="1" x14ac:dyDescent="0.35">
      <c r="A287" s="165"/>
      <c r="B287" s="165"/>
      <c r="C287" s="166"/>
      <c r="D287" s="167"/>
      <c r="E287" s="167"/>
      <c r="F287" s="168"/>
      <c r="G287" s="165"/>
    </row>
    <row r="288" spans="1:7" s="17" customFormat="1" ht="19" customHeight="1" x14ac:dyDescent="0.35">
      <c r="A288" s="165"/>
      <c r="B288" s="165"/>
      <c r="C288" s="166"/>
      <c r="D288" s="167"/>
      <c r="E288" s="167"/>
      <c r="F288" s="168"/>
      <c r="G288" s="165"/>
    </row>
    <row r="289" spans="1:7" s="17" customFormat="1" ht="19" customHeight="1" x14ac:dyDescent="0.35">
      <c r="A289" s="165"/>
      <c r="B289" s="165"/>
      <c r="C289" s="166"/>
      <c r="D289" s="167"/>
      <c r="E289" s="167"/>
      <c r="F289" s="168"/>
      <c r="G289" s="165"/>
    </row>
    <row r="290" spans="1:7" s="17" customFormat="1" ht="19" customHeight="1" x14ac:dyDescent="0.35">
      <c r="A290" s="165"/>
      <c r="B290" s="165"/>
      <c r="C290" s="166"/>
      <c r="D290" s="167"/>
      <c r="E290" s="167"/>
      <c r="F290" s="168"/>
      <c r="G290" s="165"/>
    </row>
    <row r="291" spans="1:7" s="17" customFormat="1" ht="19" customHeight="1" x14ac:dyDescent="0.35">
      <c r="A291" s="165"/>
      <c r="B291" s="165"/>
      <c r="C291" s="166"/>
      <c r="D291" s="167"/>
      <c r="E291" s="167"/>
      <c r="F291" s="168"/>
      <c r="G291" s="165"/>
    </row>
    <row r="292" spans="1:7" s="17" customFormat="1" ht="19" customHeight="1" x14ac:dyDescent="0.35">
      <c r="A292" s="165"/>
      <c r="B292" s="165"/>
      <c r="C292" s="166"/>
      <c r="D292" s="167"/>
      <c r="E292" s="167"/>
      <c r="F292" s="168"/>
      <c r="G292" s="165"/>
    </row>
    <row r="293" spans="1:7" s="17" customFormat="1" ht="19" customHeight="1" x14ac:dyDescent="0.35">
      <c r="A293" s="165"/>
      <c r="B293" s="165"/>
      <c r="C293" s="166"/>
      <c r="D293" s="167"/>
      <c r="E293" s="167"/>
      <c r="F293" s="168"/>
      <c r="G293" s="165"/>
    </row>
    <row r="294" spans="1:7" s="17" customFormat="1" ht="19" customHeight="1" x14ac:dyDescent="0.35">
      <c r="A294" s="165"/>
      <c r="B294" s="165"/>
      <c r="C294" s="166"/>
      <c r="D294" s="167"/>
      <c r="E294" s="167"/>
      <c r="F294" s="168"/>
      <c r="G294" s="165"/>
    </row>
    <row r="295" spans="1:7" s="17" customFormat="1" ht="19" customHeight="1" x14ac:dyDescent="0.35">
      <c r="A295" s="165"/>
      <c r="B295" s="165"/>
      <c r="C295" s="166"/>
      <c r="D295" s="167"/>
      <c r="E295" s="167"/>
      <c r="F295" s="168"/>
      <c r="G295" s="165"/>
    </row>
    <row r="296" spans="1:7" s="17" customFormat="1" ht="19" customHeight="1" x14ac:dyDescent="0.35">
      <c r="A296" s="165"/>
      <c r="B296" s="165"/>
      <c r="C296" s="166"/>
      <c r="D296" s="167"/>
      <c r="E296" s="167"/>
      <c r="F296" s="168"/>
      <c r="G296" s="165"/>
    </row>
    <row r="297" spans="1:7" s="17" customFormat="1" ht="19" customHeight="1" x14ac:dyDescent="0.35">
      <c r="A297" s="165"/>
      <c r="B297" s="165"/>
      <c r="C297" s="166"/>
      <c r="D297" s="167"/>
      <c r="E297" s="167"/>
      <c r="F297" s="168"/>
      <c r="G297" s="165"/>
    </row>
    <row r="298" spans="1:7" s="17" customFormat="1" ht="19" customHeight="1" x14ac:dyDescent="0.35">
      <c r="A298" s="165"/>
      <c r="B298" s="165"/>
      <c r="C298" s="166"/>
      <c r="D298" s="167"/>
      <c r="E298" s="167"/>
      <c r="F298" s="168"/>
      <c r="G298" s="165"/>
    </row>
    <row r="299" spans="1:7" s="17" customFormat="1" ht="19" customHeight="1" x14ac:dyDescent="0.35">
      <c r="A299" s="165"/>
      <c r="B299" s="165"/>
      <c r="C299" s="166"/>
      <c r="D299" s="167"/>
      <c r="E299" s="167"/>
      <c r="F299" s="168"/>
      <c r="G299" s="165"/>
    </row>
    <row r="300" spans="1:7" s="17" customFormat="1" ht="19" customHeight="1" x14ac:dyDescent="0.35">
      <c r="A300" s="165"/>
      <c r="B300" s="165"/>
      <c r="C300" s="166"/>
      <c r="D300" s="167"/>
      <c r="E300" s="167"/>
      <c r="F300" s="168"/>
      <c r="G300" s="165"/>
    </row>
    <row r="301" spans="1:7" s="17" customFormat="1" ht="19" customHeight="1" x14ac:dyDescent="0.35">
      <c r="A301" s="165"/>
      <c r="B301" s="165"/>
      <c r="C301" s="166"/>
      <c r="D301" s="167"/>
      <c r="E301" s="167"/>
      <c r="F301" s="168"/>
      <c r="G301" s="165"/>
    </row>
    <row r="302" spans="1:7" s="17" customFormat="1" ht="19" customHeight="1" x14ac:dyDescent="0.35">
      <c r="A302" s="165"/>
      <c r="B302" s="165"/>
      <c r="C302" s="166"/>
      <c r="D302" s="167"/>
      <c r="E302" s="167"/>
      <c r="F302" s="168"/>
      <c r="G302" s="165"/>
    </row>
    <row r="303" spans="1:7" s="17" customFormat="1" ht="19" customHeight="1" x14ac:dyDescent="0.35">
      <c r="A303" s="165"/>
      <c r="B303" s="165"/>
      <c r="C303" s="166"/>
      <c r="D303" s="167"/>
      <c r="E303" s="167"/>
      <c r="F303" s="168"/>
      <c r="G303" s="165"/>
    </row>
    <row r="304" spans="1:7" s="17" customFormat="1" ht="19" customHeight="1" x14ac:dyDescent="0.35">
      <c r="A304" s="165"/>
      <c r="B304" s="165"/>
      <c r="C304" s="166"/>
      <c r="D304" s="167"/>
      <c r="E304" s="167"/>
      <c r="F304" s="168"/>
      <c r="G304" s="165"/>
    </row>
    <row r="305" spans="1:7" s="17" customFormat="1" ht="19" customHeight="1" x14ac:dyDescent="0.35">
      <c r="A305" s="165"/>
      <c r="B305" s="165"/>
      <c r="C305" s="166"/>
      <c r="D305" s="167"/>
      <c r="E305" s="167"/>
      <c r="F305" s="168"/>
      <c r="G305" s="165"/>
    </row>
    <row r="306" spans="1:7" s="17" customFormat="1" ht="19" customHeight="1" x14ac:dyDescent="0.35">
      <c r="A306" s="169"/>
      <c r="B306" s="169"/>
      <c r="C306" s="169"/>
      <c r="D306" s="169"/>
      <c r="E306" s="169"/>
      <c r="F306" s="169"/>
      <c r="G306" s="170"/>
    </row>
    <row r="307" spans="1:7" s="17" customFormat="1" ht="19" customHeight="1" x14ac:dyDescent="0.35">
      <c r="A307" s="165"/>
      <c r="B307" s="165"/>
      <c r="C307" s="166"/>
      <c r="D307" s="167"/>
      <c r="E307" s="167"/>
      <c r="F307" s="168"/>
      <c r="G307" s="165"/>
    </row>
    <row r="308" spans="1:7" s="17" customFormat="1" ht="19" customHeight="1" x14ac:dyDescent="0.35">
      <c r="A308" s="165"/>
      <c r="B308" s="165"/>
      <c r="C308" s="166"/>
      <c r="D308" s="167"/>
      <c r="E308" s="167"/>
      <c r="F308" s="168"/>
      <c r="G308" s="165"/>
    </row>
    <row r="309" spans="1:7" s="17" customFormat="1" ht="19" customHeight="1" x14ac:dyDescent="0.35">
      <c r="A309" s="165"/>
      <c r="B309" s="165"/>
      <c r="C309" s="166"/>
      <c r="D309" s="167"/>
      <c r="E309" s="167"/>
      <c r="F309" s="168"/>
      <c r="G309" s="165"/>
    </row>
    <row r="310" spans="1:7" s="17" customFormat="1" ht="19" customHeight="1" x14ac:dyDescent="0.35">
      <c r="A310" s="165"/>
      <c r="B310" s="165"/>
      <c r="C310" s="166"/>
      <c r="D310" s="167"/>
      <c r="E310" s="167"/>
      <c r="F310" s="168"/>
      <c r="G310" s="165"/>
    </row>
    <row r="311" spans="1:7" s="17" customFormat="1" ht="19" customHeight="1" x14ac:dyDescent="0.35">
      <c r="A311" s="165"/>
      <c r="B311" s="165"/>
      <c r="C311" s="166"/>
      <c r="D311" s="167"/>
      <c r="E311" s="167"/>
      <c r="F311" s="168"/>
      <c r="G311" s="165"/>
    </row>
    <row r="312" spans="1:7" s="17" customFormat="1" ht="19" customHeight="1" x14ac:dyDescent="0.35">
      <c r="A312" s="165"/>
      <c r="B312" s="165"/>
      <c r="C312" s="166"/>
      <c r="D312" s="167"/>
      <c r="E312" s="167"/>
      <c r="F312" s="168"/>
      <c r="G312" s="165"/>
    </row>
    <row r="313" spans="1:7" s="17" customFormat="1" ht="19" customHeight="1" x14ac:dyDescent="0.35">
      <c r="A313" s="165"/>
      <c r="B313" s="165"/>
      <c r="C313" s="166"/>
      <c r="D313" s="167"/>
      <c r="E313" s="167"/>
      <c r="F313" s="168"/>
      <c r="G313" s="165"/>
    </row>
    <row r="314" spans="1:7" s="17" customFormat="1" ht="19" customHeight="1" x14ac:dyDescent="0.35">
      <c r="A314" s="165"/>
      <c r="B314" s="165"/>
      <c r="C314" s="166"/>
      <c r="D314" s="167"/>
      <c r="E314" s="167"/>
      <c r="F314" s="168"/>
      <c r="G314" s="165"/>
    </row>
    <row r="315" spans="1:7" s="17" customFormat="1" ht="19" customHeight="1" x14ac:dyDescent="0.35">
      <c r="A315" s="165"/>
      <c r="B315" s="165"/>
      <c r="C315" s="166"/>
      <c r="D315" s="167"/>
      <c r="E315" s="167"/>
      <c r="F315" s="168"/>
      <c r="G315" s="165"/>
    </row>
    <row r="316" spans="1:7" s="17" customFormat="1" ht="19" customHeight="1" x14ac:dyDescent="0.35">
      <c r="A316" s="165"/>
      <c r="B316" s="165"/>
      <c r="C316" s="166"/>
      <c r="D316" s="167"/>
      <c r="E316" s="167"/>
      <c r="F316" s="168"/>
      <c r="G316" s="165"/>
    </row>
    <row r="317" spans="1:7" s="17" customFormat="1" ht="19" customHeight="1" x14ac:dyDescent="0.35">
      <c r="A317" s="165"/>
      <c r="B317" s="165"/>
      <c r="C317" s="166"/>
      <c r="D317" s="167"/>
      <c r="E317" s="167"/>
      <c r="F317" s="168"/>
      <c r="G317" s="165"/>
    </row>
    <row r="318" spans="1:7" s="17" customFormat="1" ht="19" customHeight="1" x14ac:dyDescent="0.35">
      <c r="A318" s="165"/>
      <c r="B318" s="165"/>
      <c r="C318" s="166"/>
      <c r="D318" s="167"/>
      <c r="E318" s="167"/>
      <c r="F318" s="168"/>
      <c r="G318" s="165"/>
    </row>
    <row r="319" spans="1:7" s="17" customFormat="1" ht="19" customHeight="1" x14ac:dyDescent="0.35">
      <c r="A319" s="165"/>
      <c r="B319" s="165"/>
      <c r="C319" s="166"/>
      <c r="D319" s="167"/>
      <c r="E319" s="167"/>
      <c r="F319" s="168"/>
      <c r="G319" s="165"/>
    </row>
    <row r="320" spans="1:7" s="17" customFormat="1" ht="19" customHeight="1" x14ac:dyDescent="0.35">
      <c r="A320" s="165"/>
      <c r="B320" s="165"/>
      <c r="C320" s="166"/>
      <c r="D320" s="167"/>
      <c r="E320" s="167"/>
      <c r="F320" s="168"/>
      <c r="G320" s="165"/>
    </row>
    <row r="321" spans="1:8" s="17" customFormat="1" ht="19" customHeight="1" x14ac:dyDescent="0.35">
      <c r="A321" s="165"/>
      <c r="B321" s="165"/>
      <c r="C321" s="166"/>
      <c r="D321" s="167"/>
      <c r="E321" s="167"/>
      <c r="F321" s="168"/>
      <c r="G321" s="165"/>
    </row>
    <row r="322" spans="1:8" s="17" customFormat="1" ht="19" customHeight="1" x14ac:dyDescent="0.35">
      <c r="A322" s="165"/>
      <c r="B322" s="165"/>
      <c r="C322" s="166"/>
      <c r="D322" s="167"/>
      <c r="E322" s="167"/>
      <c r="F322" s="168"/>
      <c r="G322" s="165"/>
    </row>
    <row r="323" spans="1:8" s="17" customFormat="1" ht="19" customHeight="1" x14ac:dyDescent="0.35">
      <c r="A323" s="165"/>
      <c r="B323" s="165"/>
      <c r="C323" s="166"/>
      <c r="D323" s="167"/>
      <c r="E323" s="167"/>
      <c r="F323" s="168"/>
      <c r="G323" s="165"/>
    </row>
    <row r="324" spans="1:8" s="17" customFormat="1" ht="19" customHeight="1" x14ac:dyDescent="0.35">
      <c r="A324" s="165"/>
      <c r="B324" s="165"/>
      <c r="C324" s="166"/>
      <c r="D324" s="167"/>
      <c r="E324" s="167"/>
      <c r="F324" s="168"/>
      <c r="G324" s="165"/>
    </row>
    <row r="325" spans="1:8" s="17" customFormat="1" ht="19" customHeight="1" x14ac:dyDescent="0.35">
      <c r="A325" s="165"/>
      <c r="B325" s="165"/>
      <c r="C325" s="166"/>
      <c r="D325" s="167"/>
      <c r="E325" s="167"/>
      <c r="F325" s="168"/>
      <c r="G325" s="165"/>
    </row>
    <row r="326" spans="1:8" s="17" customFormat="1" ht="19" customHeight="1" x14ac:dyDescent="0.35">
      <c r="A326" s="165"/>
      <c r="B326" s="165"/>
      <c r="C326" s="166"/>
      <c r="D326" s="167"/>
      <c r="E326" s="167"/>
      <c r="F326" s="168"/>
      <c r="G326" s="165"/>
      <c r="H326" s="17" t="s">
        <v>104</v>
      </c>
    </row>
    <row r="327" spans="1:8" s="17" customFormat="1" ht="19" customHeight="1" x14ac:dyDescent="0.35">
      <c r="A327" s="165"/>
      <c r="B327" s="165"/>
      <c r="C327" s="166"/>
      <c r="D327" s="167"/>
      <c r="E327" s="167"/>
      <c r="F327" s="168"/>
      <c r="G327" s="165"/>
    </row>
    <row r="328" spans="1:8" s="17" customFormat="1" ht="19" customHeight="1" x14ac:dyDescent="0.35">
      <c r="A328" s="165"/>
      <c r="B328" s="165"/>
      <c r="C328" s="166"/>
      <c r="D328" s="167"/>
      <c r="E328" s="167"/>
      <c r="F328" s="168"/>
      <c r="G328" s="165"/>
    </row>
    <row r="329" spans="1:8" s="17" customFormat="1" ht="19" customHeight="1" x14ac:dyDescent="0.35">
      <c r="A329" s="165"/>
      <c r="B329" s="165"/>
      <c r="C329" s="166"/>
      <c r="D329" s="167"/>
      <c r="E329" s="167"/>
      <c r="F329" s="168"/>
      <c r="G329" s="165"/>
    </row>
    <row r="330" spans="1:8" s="17" customFormat="1" ht="19" customHeight="1" x14ac:dyDescent="0.35">
      <c r="A330" s="165"/>
      <c r="B330" s="165"/>
      <c r="C330" s="166"/>
      <c r="D330" s="167"/>
      <c r="E330" s="167"/>
      <c r="F330" s="168"/>
      <c r="G330" s="165"/>
    </row>
    <row r="331" spans="1:8" s="17" customFormat="1" ht="19" customHeight="1" x14ac:dyDescent="0.35">
      <c r="A331" s="165"/>
      <c r="B331" s="165"/>
      <c r="C331" s="166"/>
      <c r="D331" s="167"/>
      <c r="E331" s="167"/>
      <c r="F331" s="168"/>
      <c r="G331" s="165"/>
    </row>
    <row r="332" spans="1:8" s="17" customFormat="1" ht="19" customHeight="1" x14ac:dyDescent="0.35">
      <c r="A332" s="165"/>
      <c r="B332" s="165"/>
      <c r="C332" s="166"/>
      <c r="D332" s="167"/>
      <c r="E332" s="167"/>
      <c r="F332" s="168"/>
      <c r="G332" s="165"/>
    </row>
    <row r="333" spans="1:8" s="17" customFormat="1" ht="19" customHeight="1" x14ac:dyDescent="0.35">
      <c r="A333" s="165"/>
      <c r="B333" s="165"/>
      <c r="C333" s="166"/>
      <c r="D333" s="167"/>
      <c r="E333" s="167"/>
      <c r="F333" s="168"/>
      <c r="G333" s="165"/>
    </row>
    <row r="334" spans="1:8" s="17" customFormat="1" ht="19" customHeight="1" x14ac:dyDescent="0.35">
      <c r="A334" s="165"/>
      <c r="B334" s="165"/>
      <c r="C334" s="166"/>
      <c r="D334" s="167"/>
      <c r="E334" s="167"/>
      <c r="F334" s="168"/>
      <c r="G334" s="165"/>
    </row>
    <row r="335" spans="1:8" s="17" customFormat="1" ht="19" customHeight="1" x14ac:dyDescent="0.35">
      <c r="A335" s="165"/>
      <c r="B335" s="165"/>
      <c r="C335" s="166"/>
      <c r="D335" s="167"/>
      <c r="E335" s="167"/>
      <c r="F335" s="168"/>
      <c r="G335" s="165"/>
    </row>
    <row r="336" spans="1:8" s="17" customFormat="1" ht="19" customHeight="1" x14ac:dyDescent="0.35">
      <c r="A336" s="165"/>
      <c r="B336" s="165"/>
      <c r="C336" s="166"/>
      <c r="D336" s="167"/>
      <c r="E336" s="167"/>
      <c r="F336" s="168"/>
      <c r="G336" s="165"/>
    </row>
    <row r="337" spans="1:7" s="17" customFormat="1" ht="19" customHeight="1" x14ac:dyDescent="0.35">
      <c r="A337" s="165"/>
      <c r="B337" s="165"/>
      <c r="C337" s="166"/>
      <c r="D337" s="167"/>
      <c r="E337" s="167"/>
      <c r="F337" s="168"/>
      <c r="G337" s="165"/>
    </row>
    <row r="338" spans="1:7" s="17" customFormat="1" ht="19" customHeight="1" x14ac:dyDescent="0.35">
      <c r="A338" s="165"/>
      <c r="B338" s="165"/>
      <c r="C338" s="166"/>
      <c r="D338" s="167"/>
      <c r="E338" s="167"/>
      <c r="F338" s="168"/>
      <c r="G338" s="165"/>
    </row>
    <row r="339" spans="1:7" s="17" customFormat="1" ht="19" customHeight="1" x14ac:dyDescent="0.35">
      <c r="A339" s="165"/>
      <c r="B339" s="165"/>
      <c r="C339" s="166"/>
      <c r="D339" s="167"/>
      <c r="E339" s="167"/>
      <c r="F339" s="168"/>
      <c r="G339" s="165"/>
    </row>
    <row r="340" spans="1:7" s="17" customFormat="1" ht="19" customHeight="1" x14ac:dyDescent="0.35">
      <c r="A340" s="165"/>
      <c r="B340" s="165"/>
      <c r="C340" s="166"/>
      <c r="D340" s="167"/>
      <c r="E340" s="167"/>
      <c r="F340" s="168"/>
      <c r="G340" s="165"/>
    </row>
    <row r="341" spans="1:7" s="17" customFormat="1" ht="19" customHeight="1" x14ac:dyDescent="0.35">
      <c r="A341" s="165"/>
      <c r="B341" s="165"/>
      <c r="C341" s="166"/>
      <c r="D341" s="167"/>
      <c r="E341" s="167"/>
      <c r="F341" s="168"/>
      <c r="G341" s="165"/>
    </row>
    <row r="342" spans="1:7" s="17" customFormat="1" ht="19" customHeight="1" x14ac:dyDescent="0.35">
      <c r="A342" s="165"/>
      <c r="B342" s="165"/>
      <c r="C342" s="166"/>
      <c r="D342" s="167"/>
      <c r="E342" s="167"/>
      <c r="F342" s="168"/>
      <c r="G342" s="165"/>
    </row>
    <row r="343" spans="1:7" s="17" customFormat="1" ht="19" customHeight="1" x14ac:dyDescent="0.35">
      <c r="A343" s="165"/>
      <c r="B343" s="165"/>
      <c r="C343" s="166"/>
      <c r="D343" s="167"/>
      <c r="E343" s="167"/>
      <c r="F343" s="168"/>
      <c r="G343" s="165"/>
    </row>
    <row r="344" spans="1:7" s="17" customFormat="1" ht="19" customHeight="1" x14ac:dyDescent="0.35">
      <c r="A344" s="165"/>
      <c r="B344" s="165"/>
      <c r="C344" s="166"/>
      <c r="D344" s="167"/>
      <c r="E344" s="167"/>
      <c r="F344" s="168"/>
      <c r="G344" s="165"/>
    </row>
    <row r="345" spans="1:7" s="17" customFormat="1" ht="19" customHeight="1" x14ac:dyDescent="0.35">
      <c r="A345" s="165"/>
      <c r="B345" s="165"/>
      <c r="C345" s="166"/>
      <c r="D345" s="167"/>
      <c r="E345" s="167"/>
      <c r="F345" s="168"/>
      <c r="G345" s="165"/>
    </row>
    <row r="346" spans="1:7" s="17" customFormat="1" ht="19" customHeight="1" x14ac:dyDescent="0.35">
      <c r="A346" s="165"/>
      <c r="B346" s="165"/>
      <c r="C346" s="166"/>
      <c r="D346" s="167"/>
      <c r="E346" s="167"/>
      <c r="F346" s="168"/>
      <c r="G346" s="165"/>
    </row>
    <row r="347" spans="1:7" s="17" customFormat="1" ht="19" customHeight="1" x14ac:dyDescent="0.35">
      <c r="A347" s="165"/>
      <c r="B347" s="165"/>
      <c r="C347" s="166"/>
      <c r="D347" s="167"/>
      <c r="E347" s="167"/>
      <c r="F347" s="168"/>
      <c r="G347" s="165"/>
    </row>
    <row r="348" spans="1:7" s="17" customFormat="1" ht="19" customHeight="1" x14ac:dyDescent="0.35">
      <c r="A348" s="165"/>
      <c r="B348" s="165"/>
      <c r="C348" s="166"/>
      <c r="D348" s="167"/>
      <c r="E348" s="167"/>
      <c r="F348" s="168"/>
      <c r="G348" s="165"/>
    </row>
    <row r="349" spans="1:7" s="17" customFormat="1" ht="19" customHeight="1" x14ac:dyDescent="0.35">
      <c r="A349" s="165"/>
      <c r="B349" s="165"/>
      <c r="C349" s="166"/>
      <c r="D349" s="167"/>
      <c r="E349" s="167"/>
      <c r="F349" s="168"/>
      <c r="G349" s="165"/>
    </row>
    <row r="350" spans="1:7" s="17" customFormat="1" ht="19" customHeight="1" x14ac:dyDescent="0.35">
      <c r="A350" s="165"/>
      <c r="B350" s="165"/>
      <c r="C350" s="166"/>
      <c r="D350" s="167"/>
      <c r="E350" s="167"/>
      <c r="F350" s="168"/>
      <c r="G350" s="165"/>
    </row>
    <row r="351" spans="1:7" s="17" customFormat="1" ht="19" customHeight="1" x14ac:dyDescent="0.35">
      <c r="A351" s="165"/>
      <c r="B351" s="165"/>
      <c r="C351" s="166"/>
      <c r="D351" s="167"/>
      <c r="E351" s="167"/>
      <c r="F351" s="168"/>
      <c r="G351" s="165"/>
    </row>
    <row r="352" spans="1:7" s="17" customFormat="1" ht="19" customHeight="1" x14ac:dyDescent="0.35">
      <c r="A352" s="165"/>
      <c r="B352" s="165"/>
      <c r="C352" s="166"/>
      <c r="D352" s="167"/>
      <c r="E352" s="167"/>
      <c r="F352" s="168"/>
      <c r="G352" s="165"/>
    </row>
    <row r="353" spans="1:7" s="17" customFormat="1" ht="19" customHeight="1" x14ac:dyDescent="0.35">
      <c r="A353" s="165"/>
      <c r="B353" s="165"/>
      <c r="C353" s="166"/>
      <c r="D353" s="167"/>
      <c r="E353" s="167"/>
      <c r="F353" s="168"/>
      <c r="G353" s="165"/>
    </row>
    <row r="354" spans="1:7" s="17" customFormat="1" ht="19" customHeight="1" x14ac:dyDescent="0.35">
      <c r="A354" s="165"/>
      <c r="B354" s="165"/>
      <c r="C354" s="166"/>
      <c r="D354" s="167"/>
      <c r="E354" s="167"/>
      <c r="F354" s="168"/>
      <c r="G354" s="165"/>
    </row>
    <row r="355" spans="1:7" s="17" customFormat="1" ht="19" customHeight="1" x14ac:dyDescent="0.35">
      <c r="A355" s="165"/>
      <c r="B355" s="165"/>
      <c r="C355" s="166"/>
      <c r="D355" s="167"/>
      <c r="E355" s="167"/>
      <c r="F355" s="168"/>
      <c r="G355" s="165"/>
    </row>
    <row r="356" spans="1:7" s="17" customFormat="1" ht="19" customHeight="1" x14ac:dyDescent="0.35">
      <c r="A356" s="165"/>
      <c r="B356" s="165"/>
      <c r="C356" s="166"/>
      <c r="D356" s="167"/>
      <c r="E356" s="167"/>
      <c r="F356" s="168"/>
      <c r="G356" s="165"/>
    </row>
    <row r="357" spans="1:7" s="17" customFormat="1" ht="19" customHeight="1" x14ac:dyDescent="0.35">
      <c r="A357" s="165"/>
      <c r="B357" s="165"/>
      <c r="C357" s="166"/>
      <c r="D357" s="167"/>
      <c r="E357" s="167"/>
      <c r="F357" s="168"/>
      <c r="G357" s="165"/>
    </row>
    <row r="358" spans="1:7" s="17" customFormat="1" ht="19" customHeight="1" x14ac:dyDescent="0.35">
      <c r="A358" s="165"/>
      <c r="B358" s="165"/>
      <c r="C358" s="166"/>
      <c r="D358" s="167"/>
      <c r="E358" s="167"/>
      <c r="F358" s="168"/>
      <c r="G358" s="165"/>
    </row>
    <row r="359" spans="1:7" s="17" customFormat="1" ht="19" customHeight="1" x14ac:dyDescent="0.35">
      <c r="A359" s="165"/>
      <c r="B359" s="165"/>
      <c r="C359" s="166"/>
      <c r="D359" s="167"/>
      <c r="E359" s="167"/>
      <c r="F359" s="168"/>
      <c r="G359" s="165"/>
    </row>
    <row r="360" spans="1:7" s="17" customFormat="1" ht="19" customHeight="1" x14ac:dyDescent="0.35">
      <c r="A360" s="165"/>
      <c r="B360" s="165"/>
      <c r="C360" s="166"/>
      <c r="D360" s="167"/>
      <c r="E360" s="167"/>
      <c r="F360" s="168"/>
      <c r="G360" s="165"/>
    </row>
    <row r="361" spans="1:7" s="17" customFormat="1" ht="19" customHeight="1" x14ac:dyDescent="0.35">
      <c r="A361" s="165"/>
      <c r="B361" s="165"/>
      <c r="C361" s="166"/>
      <c r="D361" s="167"/>
      <c r="E361" s="167"/>
      <c r="F361" s="168"/>
      <c r="G361" s="165"/>
    </row>
    <row r="362" spans="1:7" s="17" customFormat="1" ht="19" customHeight="1" x14ac:dyDescent="0.35">
      <c r="A362" s="165"/>
      <c r="B362" s="165"/>
      <c r="C362" s="166"/>
      <c r="D362" s="167"/>
      <c r="E362" s="167"/>
      <c r="F362" s="168"/>
      <c r="G362" s="165"/>
    </row>
    <row r="363" spans="1:7" s="17" customFormat="1" ht="19" customHeight="1" x14ac:dyDescent="0.35">
      <c r="A363" s="165"/>
      <c r="B363" s="165"/>
      <c r="C363" s="166"/>
      <c r="D363" s="167"/>
      <c r="E363" s="167"/>
      <c r="F363" s="168"/>
      <c r="G363" s="165"/>
    </row>
    <row r="364" spans="1:7" s="17" customFormat="1" ht="19" customHeight="1" x14ac:dyDescent="0.35">
      <c r="A364" s="165"/>
      <c r="B364" s="165"/>
      <c r="C364" s="166"/>
      <c r="D364" s="167"/>
      <c r="E364" s="167"/>
      <c r="F364" s="168"/>
      <c r="G364" s="165"/>
    </row>
    <row r="365" spans="1:7" s="17" customFormat="1" ht="19" customHeight="1" x14ac:dyDescent="0.35">
      <c r="A365" s="165"/>
      <c r="B365" s="165"/>
      <c r="C365" s="166"/>
      <c r="D365" s="167"/>
      <c r="E365" s="167"/>
      <c r="F365" s="168"/>
      <c r="G365" s="165"/>
    </row>
    <row r="366" spans="1:7" s="17" customFormat="1" ht="19" customHeight="1" x14ac:dyDescent="0.35">
      <c r="A366" s="165"/>
      <c r="B366" s="165"/>
      <c r="C366" s="166"/>
      <c r="D366" s="167"/>
      <c r="E366" s="167"/>
      <c r="F366" s="168"/>
      <c r="G366" s="165"/>
    </row>
    <row r="367" spans="1:7" s="17" customFormat="1" ht="19" customHeight="1" x14ac:dyDescent="0.35">
      <c r="A367" s="165"/>
      <c r="B367" s="165"/>
      <c r="C367" s="166"/>
      <c r="D367" s="167"/>
      <c r="E367" s="167"/>
      <c r="F367" s="168"/>
      <c r="G367" s="165"/>
    </row>
    <row r="368" spans="1:7" s="17" customFormat="1" ht="19" customHeight="1" x14ac:dyDescent="0.35">
      <c r="A368" s="165"/>
      <c r="B368" s="165"/>
      <c r="C368" s="166"/>
      <c r="D368" s="167"/>
      <c r="E368" s="167"/>
      <c r="F368" s="168"/>
      <c r="G368" s="165"/>
    </row>
    <row r="369" spans="1:7" s="17" customFormat="1" ht="19" customHeight="1" x14ac:dyDescent="0.35">
      <c r="A369" s="165"/>
      <c r="B369" s="165"/>
      <c r="C369" s="166"/>
      <c r="D369" s="167"/>
      <c r="E369" s="167"/>
      <c r="F369" s="168"/>
      <c r="G369" s="165"/>
    </row>
    <row r="370" spans="1:7" s="17" customFormat="1" ht="19" customHeight="1" x14ac:dyDescent="0.35">
      <c r="A370" s="165"/>
      <c r="B370" s="165"/>
      <c r="C370" s="166"/>
      <c r="D370" s="167"/>
      <c r="E370" s="167"/>
      <c r="F370" s="168"/>
      <c r="G370" s="165"/>
    </row>
    <row r="371" spans="1:7" s="17" customFormat="1" ht="19" customHeight="1" x14ac:dyDescent="0.35">
      <c r="A371" s="165"/>
      <c r="B371" s="165"/>
      <c r="C371" s="166"/>
      <c r="D371" s="167"/>
      <c r="E371" s="167"/>
      <c r="F371" s="168"/>
      <c r="G371" s="165"/>
    </row>
    <row r="372" spans="1:7" s="17" customFormat="1" ht="19" customHeight="1" x14ac:dyDescent="0.35">
      <c r="A372" s="165"/>
      <c r="B372" s="165"/>
      <c r="C372" s="166"/>
      <c r="D372" s="167"/>
      <c r="E372" s="167"/>
      <c r="F372" s="168"/>
      <c r="G372" s="165"/>
    </row>
    <row r="373" spans="1:7" x14ac:dyDescent="0.3">
      <c r="A373" s="165"/>
      <c r="B373" s="165"/>
      <c r="C373" s="166"/>
      <c r="D373" s="167"/>
      <c r="E373" s="167"/>
      <c r="F373" s="168"/>
      <c r="G373" s="165"/>
    </row>
    <row r="374" spans="1:7" x14ac:dyDescent="0.3">
      <c r="A374" s="165"/>
      <c r="B374" s="165"/>
      <c r="C374" s="166"/>
      <c r="D374" s="167"/>
      <c r="E374" s="167"/>
      <c r="F374" s="168"/>
      <c r="G374" s="165"/>
    </row>
    <row r="375" spans="1:7" x14ac:dyDescent="0.3">
      <c r="A375" s="165"/>
      <c r="B375" s="165"/>
      <c r="C375" s="166"/>
      <c r="D375" s="167"/>
      <c r="E375" s="167"/>
      <c r="F375" s="168"/>
      <c r="G375" s="165"/>
    </row>
    <row r="376" spans="1:7" x14ac:dyDescent="0.3">
      <c r="A376" s="165"/>
      <c r="B376" s="165"/>
      <c r="C376" s="166"/>
      <c r="D376" s="167"/>
      <c r="E376" s="167"/>
      <c r="F376" s="171"/>
      <c r="G376" s="165"/>
    </row>
    <row r="377" spans="1:7" x14ac:dyDescent="0.3">
      <c r="A377" s="165"/>
      <c r="B377" s="165"/>
      <c r="C377" s="166"/>
      <c r="D377" s="167"/>
      <c r="E377" s="167"/>
      <c r="F377" s="168"/>
      <c r="G377" s="165"/>
    </row>
    <row r="378" spans="1:7" x14ac:dyDescent="0.3">
      <c r="A378" s="165"/>
      <c r="B378" s="165"/>
      <c r="C378" s="166"/>
      <c r="D378" s="167"/>
      <c r="E378" s="167"/>
      <c r="F378" s="168"/>
      <c r="G378" s="165"/>
    </row>
    <row r="379" spans="1:7" x14ac:dyDescent="0.3">
      <c r="A379" s="165"/>
      <c r="B379" s="165"/>
      <c r="C379" s="166"/>
      <c r="D379" s="167"/>
      <c r="E379" s="167"/>
      <c r="F379" s="168"/>
      <c r="G379" s="165"/>
    </row>
    <row r="380" spans="1:7" x14ac:dyDescent="0.3">
      <c r="A380" s="165"/>
      <c r="B380" s="165"/>
      <c r="C380" s="166"/>
      <c r="D380" s="167"/>
      <c r="E380" s="167"/>
      <c r="F380" s="168"/>
      <c r="G380" s="165"/>
    </row>
    <row r="381" spans="1:7" x14ac:dyDescent="0.3">
      <c r="A381" s="165"/>
      <c r="B381" s="165"/>
      <c r="C381" s="166"/>
      <c r="D381" s="167"/>
      <c r="E381" s="167"/>
      <c r="F381" s="168"/>
      <c r="G381" s="165"/>
    </row>
    <row r="382" spans="1:7" x14ac:dyDescent="0.3">
      <c r="A382" s="165"/>
      <c r="B382" s="165"/>
      <c r="C382" s="166"/>
      <c r="D382" s="167"/>
      <c r="E382" s="167"/>
      <c r="F382" s="168"/>
      <c r="G382" s="165"/>
    </row>
    <row r="383" spans="1:7" x14ac:dyDescent="0.3">
      <c r="A383" s="165"/>
      <c r="B383" s="165"/>
      <c r="C383" s="166"/>
      <c r="D383" s="167"/>
      <c r="E383" s="167"/>
      <c r="F383" s="168"/>
      <c r="G383" s="165"/>
    </row>
    <row r="384" spans="1:7" x14ac:dyDescent="0.3">
      <c r="A384" s="165"/>
      <c r="B384" s="165"/>
      <c r="C384" s="166"/>
      <c r="D384" s="167"/>
      <c r="E384" s="167"/>
      <c r="F384" s="168"/>
      <c r="G384" s="165"/>
    </row>
    <row r="385" spans="1:7" x14ac:dyDescent="0.3">
      <c r="A385" s="165"/>
      <c r="B385" s="165"/>
      <c r="C385" s="166"/>
      <c r="D385" s="167"/>
      <c r="E385" s="167"/>
      <c r="F385" s="168"/>
      <c r="G385" s="165"/>
    </row>
    <row r="386" spans="1:7" x14ac:dyDescent="0.3">
      <c r="A386" s="165"/>
      <c r="B386" s="165"/>
      <c r="C386" s="166"/>
      <c r="D386" s="167"/>
      <c r="E386" s="167"/>
      <c r="F386" s="168"/>
      <c r="G386" s="165"/>
    </row>
    <row r="387" spans="1:7" x14ac:dyDescent="0.3">
      <c r="A387" s="165"/>
      <c r="B387" s="165"/>
      <c r="C387" s="166"/>
      <c r="D387" s="167"/>
      <c r="E387" s="167"/>
      <c r="F387" s="168"/>
      <c r="G387" s="165"/>
    </row>
  </sheetData>
  <autoFilter ref="A4:G370" xr:uid="{00000000-0009-0000-0000-000000000000}"/>
  <mergeCells count="2">
    <mergeCell ref="A1:G1"/>
    <mergeCell ref="A2:G2"/>
  </mergeCells>
  <phoneticPr fontId="8" type="noConversion"/>
  <pageMargins left="0.39370078740157483" right="0.39370078740157483" top="0.78740157480314965" bottom="0.39370078740157483" header="0.31496062992125984" footer="0.31496062992125984"/>
  <pageSetup paperSize="10000" scale="11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96"/>
  <sheetViews>
    <sheetView zoomScale="64" zoomScaleNormal="85" workbookViewId="0">
      <pane xSplit="9" ySplit="1" topLeftCell="J2" activePane="bottomRight" state="frozen"/>
      <selection pane="topRight" activeCell="I1" sqref="I1"/>
      <selection pane="bottomLeft" activeCell="A5" sqref="A5"/>
      <selection pane="bottomRight" activeCell="D2" sqref="D2"/>
    </sheetView>
  </sheetViews>
  <sheetFormatPr defaultRowHeight="14.5" outlineLevelCol="1" x14ac:dyDescent="0.35"/>
  <cols>
    <col min="1" max="1" width="5.1796875" customWidth="1"/>
    <col min="2" max="2" width="8.453125" customWidth="1"/>
    <col min="3" max="3" width="11.54296875" hidden="1" customWidth="1" outlineLevel="1"/>
    <col min="4" max="4" width="8.7265625" style="19" collapsed="1"/>
    <col min="5" max="5" width="11.54296875" style="19" customWidth="1"/>
    <col min="6" max="6" width="11.54296875" style="19" customWidth="1" outlineLevel="1"/>
    <col min="7" max="7" width="9.453125" style="19" bestFit="1" customWidth="1"/>
    <col min="8" max="8" width="26.453125" style="19" customWidth="1"/>
    <col min="9" max="9" width="9.1796875" style="18" customWidth="1"/>
    <col min="10" max="10" width="11.90625" style="18" bestFit="1" customWidth="1"/>
    <col min="11" max="11" width="27.36328125" style="18" bestFit="1" customWidth="1"/>
    <col min="12" max="12" width="16" style="18" customWidth="1"/>
    <col min="13" max="13" width="12.1796875" style="18" customWidth="1"/>
    <col min="14" max="14" width="14.26953125" style="18" customWidth="1"/>
    <col min="15" max="15" width="31.1796875" style="18" customWidth="1" outlineLevel="1"/>
    <col min="16" max="16" width="32.7265625" style="18" customWidth="1"/>
    <col min="17" max="17" width="32" style="18" customWidth="1"/>
    <col min="18" max="18" width="19.453125" style="18" customWidth="1" outlineLevel="1"/>
    <col min="19" max="19" width="18.26953125" style="18" customWidth="1" outlineLevel="1"/>
    <col min="20" max="20" width="17.26953125" style="59" customWidth="1"/>
    <col min="21" max="21" width="19.1796875" style="18" customWidth="1"/>
    <col min="22" max="22" width="33" customWidth="1"/>
    <col min="23" max="23" width="53.81640625" customWidth="1"/>
    <col min="24" max="24" width="20.08984375" bestFit="1" customWidth="1"/>
    <col min="25" max="27" width="8.7265625" customWidth="1" outlineLevel="1"/>
    <col min="28" max="28" width="12.90625" style="25" customWidth="1" outlineLevel="1"/>
    <col min="29" max="30" width="8.7265625" customWidth="1" outlineLevel="1"/>
    <col min="31" max="31" width="15.1796875" customWidth="1" outlineLevel="1"/>
    <col min="32" max="32" width="11" customWidth="1" outlineLevel="1"/>
    <col min="33" max="34" width="11.26953125" customWidth="1" outlineLevel="1"/>
    <col min="35" max="35" width="9.81640625" customWidth="1" outlineLevel="1"/>
    <col min="36" max="46" width="8.7265625" customWidth="1" outlineLevel="1"/>
    <col min="47" max="47" width="19.81640625" customWidth="1" outlineLevel="1"/>
    <col min="48" max="49" width="8.7265625" customWidth="1" outlineLevel="1"/>
    <col min="50" max="51" width="9.81640625" customWidth="1" outlineLevel="1"/>
    <col min="52" max="52" width="3.453125" customWidth="1"/>
  </cols>
  <sheetData>
    <row r="1" spans="1:53" s="22" customFormat="1" ht="55" customHeight="1" x14ac:dyDescent="0.35">
      <c r="A1" s="151" t="s">
        <v>394</v>
      </c>
      <c r="B1" s="151" t="s">
        <v>376</v>
      </c>
      <c r="C1" s="151" t="s">
        <v>356</v>
      </c>
      <c r="D1" s="151" t="s">
        <v>132</v>
      </c>
      <c r="E1" s="151" t="s">
        <v>247</v>
      </c>
      <c r="F1" s="151" t="s">
        <v>359</v>
      </c>
      <c r="G1" s="151" t="s">
        <v>354</v>
      </c>
      <c r="H1" s="152" t="s">
        <v>248</v>
      </c>
      <c r="I1" s="152" t="s">
        <v>249</v>
      </c>
      <c r="J1" s="152" t="s">
        <v>527</v>
      </c>
      <c r="K1" s="152" t="s">
        <v>526</v>
      </c>
      <c r="L1" s="152" t="s">
        <v>250</v>
      </c>
      <c r="M1" s="152" t="s">
        <v>136</v>
      </c>
      <c r="N1" s="152" t="s">
        <v>9</v>
      </c>
      <c r="O1" s="152" t="s">
        <v>251</v>
      </c>
      <c r="P1" s="152" t="s">
        <v>252</v>
      </c>
      <c r="Q1" s="152" t="s">
        <v>253</v>
      </c>
      <c r="R1" s="152" t="s">
        <v>444</v>
      </c>
      <c r="S1" s="152" t="s">
        <v>254</v>
      </c>
      <c r="T1" s="153" t="s">
        <v>255</v>
      </c>
      <c r="U1" s="152" t="s">
        <v>256</v>
      </c>
      <c r="V1" s="152" t="s">
        <v>360</v>
      </c>
      <c r="W1" s="152" t="s">
        <v>355</v>
      </c>
      <c r="X1" s="154"/>
      <c r="Y1" s="155" t="s">
        <v>357</v>
      </c>
      <c r="Z1" s="155" t="s">
        <v>132</v>
      </c>
      <c r="AA1" s="155" t="s">
        <v>358</v>
      </c>
      <c r="AB1" s="156" t="s">
        <v>518</v>
      </c>
      <c r="AC1" s="155" t="s">
        <v>362</v>
      </c>
      <c r="AD1" s="155" t="s">
        <v>363</v>
      </c>
      <c r="AE1" s="155" t="s">
        <v>365</v>
      </c>
      <c r="AF1" s="155" t="s">
        <v>364</v>
      </c>
      <c r="AG1" s="155" t="s">
        <v>134</v>
      </c>
      <c r="AH1" s="155" t="s">
        <v>136</v>
      </c>
      <c r="AI1" s="155" t="s">
        <v>399</v>
      </c>
      <c r="AJ1" s="155" t="s">
        <v>400</v>
      </c>
      <c r="AK1" s="155" t="s">
        <v>401</v>
      </c>
      <c r="AL1" s="155" t="s">
        <v>132</v>
      </c>
      <c r="AM1" s="157" t="s">
        <v>423</v>
      </c>
      <c r="AN1" s="155" t="s">
        <v>400</v>
      </c>
      <c r="AO1" s="155" t="s">
        <v>401</v>
      </c>
      <c r="AP1" s="155" t="s">
        <v>132</v>
      </c>
      <c r="AQ1" s="157" t="s">
        <v>443</v>
      </c>
      <c r="AR1" s="155" t="s">
        <v>400</v>
      </c>
      <c r="AS1" s="155" t="s">
        <v>401</v>
      </c>
      <c r="AT1" s="155" t="s">
        <v>132</v>
      </c>
      <c r="AU1" s="155" t="s">
        <v>499</v>
      </c>
    </row>
    <row r="2" spans="1:53" x14ac:dyDescent="0.35">
      <c r="A2" s="18">
        <v>1</v>
      </c>
      <c r="B2" s="36" t="s">
        <v>379</v>
      </c>
      <c r="C2" s="18" t="str">
        <f>IF(G2="","",IF(G2="Umum",G2,VLOOKUP(F2,'Data Induk Pegawai'!B:AE,4,FALSE)))</f>
        <v/>
      </c>
      <c r="D2" s="19" t="str">
        <f>IF('REGISTER SK'!A5="","",IF('REGISTER SK'!B5=0,D1,'REGISTER SK'!B5))</f>
        <v>Tahun</v>
      </c>
      <c r="E2" s="19" t="s">
        <v>366</v>
      </c>
      <c r="F2" s="29"/>
      <c r="G2" s="29"/>
      <c r="H2" s="31" t="str">
        <f>IF(F2="","",VLOOKUP(F2,'Data Induk Pegawai'!B:U,2,FALSE))</f>
        <v/>
      </c>
      <c r="I2" s="19" t="str">
        <f>IF('REGISTER SK'!C5="","",'REGISTER SK'!C5)</f>
        <v/>
      </c>
      <c r="J2" s="125"/>
      <c r="K2" s="125"/>
      <c r="L2" s="26" t="str">
        <f>IF('REGISTER SK'!D5="","",'REGISTER SK'!D5)</f>
        <v/>
      </c>
      <c r="M2" s="26" t="str">
        <f>IF('REGISTER SK'!E5="","",'REGISTER SK'!E5)</f>
        <v/>
      </c>
      <c r="N2" s="31" t="str">
        <f>IF(G2="","",IF(OR(G2="GTT",G2="PTT"),"--",VLOOKUP(F2,'Data Induk Pegawai'!B:AE,4,FALSE)))</f>
        <v/>
      </c>
      <c r="O2" s="18" t="s">
        <v>257</v>
      </c>
      <c r="P2" s="31" t="str">
        <f>IF(G2="","",VLOOKUP(F2,'Data Induk Pegawai'!B:AE,7,FALSE))</f>
        <v/>
      </c>
      <c r="Q2" s="30"/>
      <c r="R2" s="26" t="str">
        <f>IF(G2="","","Nomor "&amp;RIGHT(VLOOKUP(F2,'Data Induk Pegawai'!B:AE,12,FALSE),2)&amp;" Tahun "&amp;MID(VLOOKUP(F2,'Data Induk Pegawai'!B:AE,12,FALSE),5,4))</f>
        <v/>
      </c>
      <c r="S2" s="26" t="str">
        <f>IF(G2="","",VLOOKUP(F2,'Data Induk Pegawai'!B:AE,11,FALSE))</f>
        <v/>
      </c>
      <c r="T2" s="56"/>
      <c r="U2" s="18" t="str">
        <f>IF(Y2="","",IF(Z2&lt;1,AA2&amp;" Bulan",IF(AND(Z2&gt;0,AA2=0),Z2&amp;" Tahun",Z2&amp;" Tahun "&amp;AA2&amp;" Bulan")))</f>
        <v/>
      </c>
      <c r="V2" s="30"/>
      <c r="W2" s="18" t="str">
        <f>V2&amp;H2</f>
        <v/>
      </c>
      <c r="X2" s="16"/>
      <c r="Y2" t="str">
        <f>IFERROR(IF(S2="","",DATEDIF(S2,M2,"M")),"?")</f>
        <v/>
      </c>
      <c r="Z2" t="str">
        <f>IFERROR(IF(Y2="","",ROUNDDOWN(Y2/12,0)),"-")</f>
        <v/>
      </c>
      <c r="AA2" t="str">
        <f>IFERROR(IF(Y2="","",Y2-Z2*12),"-")</f>
        <v/>
      </c>
      <c r="AB2" t="str">
        <f>COUNTIFS(AC2:AC$596,AC2)&amp;AC2</f>
        <v>595</v>
      </c>
      <c r="AC2" t="str">
        <f>IF(LEFT(V2,16)="SK Pemberhentian","OUT"&amp;F2,IF(RIGHT(G2,2)="TT","GPTT",IF(RIGHT(G2,2)="TY","GPTY",G2))&amp;F2)</f>
        <v/>
      </c>
      <c r="AD2" t="str">
        <f>COUNTIFS(AC$2:AC2,AC2)&amp;AC2</f>
        <v>1</v>
      </c>
      <c r="AE2" t="str">
        <f>IF(LEFT(V2,16)="SK Pemberhentian",E2&amp;"OUT"&amp;F2,E2&amp;G2&amp;F2)</f>
        <v>2015/2016</v>
      </c>
      <c r="AF2" t="str">
        <f>G2&amp;"."&amp;D2&amp;"."&amp;I2</f>
        <v>.Tahun.</v>
      </c>
      <c r="AG2" s="28" t="str">
        <f>L2</f>
        <v/>
      </c>
      <c r="AH2" s="28" t="str">
        <f>M2</f>
        <v/>
      </c>
      <c r="AI2" t="str">
        <f t="shared" ref="AI2:AI65" si="0">IF(AG2="","",AJ2&amp;" "&amp;VLOOKUP(AK2,AX:AY,2,FALSE)&amp;" "&amp;AL2)</f>
        <v/>
      </c>
      <c r="AJ2" t="str">
        <f>TEXT(AG2,"D")</f>
        <v/>
      </c>
      <c r="AK2" t="str">
        <f>TEXT(AG2,"MMMM")</f>
        <v/>
      </c>
      <c r="AL2" t="str">
        <f>TEXT(AG2,"YYYY")</f>
        <v/>
      </c>
      <c r="AM2" t="str">
        <f t="shared" ref="AM2:AM65" si="1">IF(AI2="","",AN2&amp;" "&amp;VLOOKUP(AO2,AX:AY,2,FALSE)&amp;" "&amp;AP2)</f>
        <v/>
      </c>
      <c r="AN2" t="str">
        <f>TEXT(S2,"D")</f>
        <v/>
      </c>
      <c r="AO2" t="str">
        <f>TEXT(S2,"MMMM")</f>
        <v/>
      </c>
      <c r="AP2" t="str">
        <f>TEXT(S2,"YYYY")</f>
        <v/>
      </c>
      <c r="AQ2" t="str">
        <f t="shared" ref="AQ2:AQ65" si="2">IF(AM2="","",AR2&amp;" "&amp;VLOOKUP(AS2,AX:AY,2,FALSE)&amp;" "&amp;AT2)</f>
        <v/>
      </c>
      <c r="AR2" t="str">
        <f>TEXT(M2,"D")</f>
        <v/>
      </c>
      <c r="AS2" t="str">
        <f>TEXT(M2,"MMMM")</f>
        <v/>
      </c>
      <c r="AT2" t="str">
        <f>TEXT(M2,"YYYY")</f>
        <v/>
      </c>
      <c r="AU2" s="25" t="str">
        <f>IF(OR(G2="Umum",G2=""),"",VLOOKUP(VALUE(TEXT(M2,"M")-1),AW:AY,3,FALSE))</f>
        <v/>
      </c>
      <c r="AW2">
        <v>1</v>
      </c>
      <c r="AX2" t="s">
        <v>402</v>
      </c>
      <c r="AY2" t="s">
        <v>414</v>
      </c>
      <c r="BA2">
        <f>'REGISTER SK'!F5</f>
        <v>0</v>
      </c>
    </row>
    <row r="3" spans="1:53" x14ac:dyDescent="0.35">
      <c r="A3" s="18">
        <v>2</v>
      </c>
      <c r="B3" s="36" t="s">
        <v>379</v>
      </c>
      <c r="C3" s="18" t="str">
        <f>IF(G3="","",IF(G3="Umum",G3,VLOOKUP(F3,'Data Induk Pegawai'!B:AE,4,FALSE)))</f>
        <v/>
      </c>
      <c r="D3" s="19" t="str">
        <f>IF('REGISTER SK'!A6="","",IF('REGISTER SK'!B6=0,D2,'REGISTER SK'!B6))</f>
        <v/>
      </c>
      <c r="E3" s="19" t="str">
        <f t="shared" ref="E3:E66" si="3">IF(D3="","",D3&amp;"/"&amp;D3+1)</f>
        <v/>
      </c>
      <c r="F3" s="29"/>
      <c r="G3" s="29"/>
      <c r="H3" s="31" t="str">
        <f>IF(F3="","",VLOOKUP(F3,'Data Induk Pegawai'!B:U,2,FALSE))</f>
        <v/>
      </c>
      <c r="I3" s="19" t="str">
        <f>IF('REGISTER SK'!C6="","",'REGISTER SK'!C6)</f>
        <v/>
      </c>
      <c r="J3" s="125"/>
      <c r="K3" s="125"/>
      <c r="L3" s="26" t="str">
        <f>IF('REGISTER SK'!D6="","",'REGISTER SK'!D6)</f>
        <v/>
      </c>
      <c r="M3" s="26" t="str">
        <f>IF('REGISTER SK'!E6="","",'REGISTER SK'!E6)</f>
        <v/>
      </c>
      <c r="N3" s="31" t="str">
        <f>IF(G3="","",IF(OR(G3="GTT",G3="PTT"),"--",VLOOKUP(F3,'Data Induk Pegawai'!B:AE,4,FALSE)))</f>
        <v/>
      </c>
      <c r="O3" s="18" t="s">
        <v>260</v>
      </c>
      <c r="P3" s="31" t="str">
        <f>IF(G3="","",VLOOKUP(F3,'Data Induk Pegawai'!B:AE,7,FALSE))</f>
        <v/>
      </c>
      <c r="Q3" s="30"/>
      <c r="R3" s="26" t="str">
        <f>IF(G3="","","Nomor "&amp;RIGHT(VLOOKUP(F3,'Data Induk Pegawai'!B:AE,12,FALSE),2)&amp;" Tahun "&amp;MID(VLOOKUP(F3,'Data Induk Pegawai'!B:AE,12,FALSE),5,4))</f>
        <v/>
      </c>
      <c r="S3" s="26" t="str">
        <f>IF(G3="","",VLOOKUP(F3,'Data Induk Pegawai'!B:AE,11,FALSE))</f>
        <v/>
      </c>
      <c r="T3" s="56"/>
      <c r="U3" s="18" t="str">
        <f t="shared" ref="U3:U66" si="4">IF(Y3="","",IF(Z3&lt;1,AA3&amp;" Bulan",IF(AND(Z3&gt;0,AA3=0),Z3&amp;" Tahun",Z3&amp;" Tahun "&amp;AA3&amp;" Bulan")))</f>
        <v/>
      </c>
      <c r="V3" s="30"/>
      <c r="W3" s="18" t="str">
        <f t="shared" ref="W3:W66" si="5">V3&amp;H3</f>
        <v/>
      </c>
      <c r="X3" s="16"/>
      <c r="Y3" t="str">
        <f t="shared" ref="Y3:Y66" si="6">IFERROR(IF(S3="","",DATEDIF(S3,M3,"M")),"?")</f>
        <v/>
      </c>
      <c r="Z3" t="str">
        <f t="shared" ref="Z3:Z66" si="7">IFERROR(IF(Y3="","",ROUNDDOWN(Y3/12,0)),"-")</f>
        <v/>
      </c>
      <c r="AA3" t="str">
        <f t="shared" ref="AA3:AA66" si="8">IFERROR(IF(Y3="","",Y3-Z3*12),"-")</f>
        <v/>
      </c>
      <c r="AB3" t="str">
        <f>COUNTIFS(AC3:AC$596,AC3)&amp;AC3</f>
        <v>594</v>
      </c>
      <c r="AC3" t="str">
        <f t="shared" ref="AC3:AC66" si="9">IF(LEFT(V3,16)="SK Pemberhentian","OUT"&amp;F3,IF(RIGHT(G3,2)="TT","GPTT",IF(RIGHT(G3,2)="TY","GPTY",G3))&amp;F3)</f>
        <v/>
      </c>
      <c r="AD3" t="str">
        <f>COUNTIFS(AC$2:AC3,AC3)&amp;AC3</f>
        <v>2</v>
      </c>
      <c r="AE3" t="str">
        <f t="shared" ref="AE3:AE66" si="10">IF(LEFT(V3,16)="SK Pemberhentian",E3&amp;"OUT"&amp;F3,E3&amp;G3&amp;F3)</f>
        <v/>
      </c>
      <c r="AF3" t="str">
        <f t="shared" ref="AF3:AF66" si="11">G3&amp;"."&amp;D3&amp;"."&amp;I3</f>
        <v>..</v>
      </c>
      <c r="AG3" s="28" t="str">
        <f t="shared" ref="AG3:AG66" si="12">L3</f>
        <v/>
      </c>
      <c r="AH3" s="28" t="str">
        <f t="shared" ref="AH3:AH66" si="13">M3</f>
        <v/>
      </c>
      <c r="AI3" t="str">
        <f t="shared" si="0"/>
        <v/>
      </c>
      <c r="AJ3" t="str">
        <f t="shared" ref="AJ3:AJ66" si="14">TEXT(AG3,"D")</f>
        <v/>
      </c>
      <c r="AK3" t="str">
        <f t="shared" ref="AK3:AK66" si="15">TEXT(AG3,"MMMM")</f>
        <v/>
      </c>
      <c r="AL3" t="str">
        <f t="shared" ref="AL3:AL66" si="16">TEXT(AG3,"YYYY")</f>
        <v/>
      </c>
      <c r="AM3" t="str">
        <f t="shared" si="1"/>
        <v/>
      </c>
      <c r="AN3" t="str">
        <f t="shared" ref="AN3:AN66" si="17">TEXT(S3,"D")</f>
        <v/>
      </c>
      <c r="AO3" t="str">
        <f t="shared" ref="AO3:AO66" si="18">TEXT(S3,"MMMM")</f>
        <v/>
      </c>
      <c r="AP3" t="str">
        <f t="shared" ref="AP3:AP66" si="19">TEXT(S3,"YYYY")</f>
        <v/>
      </c>
      <c r="AQ3" t="str">
        <f t="shared" si="2"/>
        <v/>
      </c>
      <c r="AR3" t="str">
        <f t="shared" ref="AR3:AR66" si="20">TEXT(M3,"D")</f>
        <v/>
      </c>
      <c r="AS3" t="str">
        <f t="shared" ref="AS3:AS66" si="21">TEXT(M3,"MMMM")</f>
        <v/>
      </c>
      <c r="AT3" t="str">
        <f t="shared" ref="AT3:AT66" si="22">TEXT(M3,"YYYY")</f>
        <v/>
      </c>
      <c r="AU3" s="25" t="str">
        <f t="shared" ref="AU3:AU66" si="23">IF(OR(G3="Umum",G3=""),"",VLOOKUP(VALUE(TEXT(M3,"M")-1),AW:AY,3,FALSE))</f>
        <v/>
      </c>
      <c r="AW3">
        <v>2</v>
      </c>
      <c r="AX3" t="s">
        <v>403</v>
      </c>
      <c r="AY3" t="s">
        <v>415</v>
      </c>
      <c r="BA3">
        <f>'REGISTER SK'!F6</f>
        <v>0</v>
      </c>
    </row>
    <row r="4" spans="1:53" x14ac:dyDescent="0.35">
      <c r="A4" s="18">
        <v>3</v>
      </c>
      <c r="B4" s="36" t="s">
        <v>379</v>
      </c>
      <c r="C4" s="18" t="str">
        <f>IF(G4="","",IF(G4="Umum",G4,VLOOKUP(F4,'Data Induk Pegawai'!B:AE,4,FALSE)))</f>
        <v/>
      </c>
      <c r="D4" s="19" t="str">
        <f>IF('REGISTER SK'!A7="","",IF('REGISTER SK'!B7=0,D3,'REGISTER SK'!B7))</f>
        <v/>
      </c>
      <c r="E4" s="19" t="str">
        <f t="shared" si="3"/>
        <v/>
      </c>
      <c r="F4" s="29"/>
      <c r="G4" s="29"/>
      <c r="H4" s="31" t="str">
        <f>IF(F4="","",VLOOKUP(F4,'Data Induk Pegawai'!B:U,2,FALSE))</f>
        <v/>
      </c>
      <c r="I4" s="19" t="str">
        <f>IF('REGISTER SK'!C7="","",'REGISTER SK'!C7)</f>
        <v/>
      </c>
      <c r="J4" s="125"/>
      <c r="K4" s="125"/>
      <c r="L4" s="26" t="str">
        <f>IF('REGISTER SK'!D7="","",'REGISTER SK'!D7)</f>
        <v/>
      </c>
      <c r="M4" s="26" t="str">
        <f>IF('REGISTER SK'!E7="","",'REGISTER SK'!E7)</f>
        <v/>
      </c>
      <c r="N4" s="31" t="str">
        <f>IF(G4="","",IF(OR(G4="GTT",G4="PTT"),"--",VLOOKUP(F4,'Data Induk Pegawai'!B:AE,4,FALSE)))</f>
        <v/>
      </c>
      <c r="O4" s="18" t="s">
        <v>262</v>
      </c>
      <c r="P4" s="31" t="str">
        <f>IF(G4="","",VLOOKUP(F4,'Data Induk Pegawai'!B:AE,7,FALSE))</f>
        <v/>
      </c>
      <c r="Q4" s="30"/>
      <c r="R4" s="26" t="str">
        <f>IF(G4="","","Nomor "&amp;RIGHT(VLOOKUP(F4,'Data Induk Pegawai'!B:AE,12,FALSE),2)&amp;" Tahun "&amp;MID(VLOOKUP(F4,'Data Induk Pegawai'!B:AE,12,FALSE),5,4))</f>
        <v/>
      </c>
      <c r="S4" s="26" t="str">
        <f>IF(G4="","",VLOOKUP(F4,'Data Induk Pegawai'!B:AE,11,FALSE))</f>
        <v/>
      </c>
      <c r="T4" s="56"/>
      <c r="U4" s="18" t="str">
        <f t="shared" si="4"/>
        <v/>
      </c>
      <c r="V4" s="30"/>
      <c r="W4" s="18" t="str">
        <f t="shared" si="5"/>
        <v/>
      </c>
      <c r="X4" s="16"/>
      <c r="Y4" t="str">
        <f t="shared" si="6"/>
        <v/>
      </c>
      <c r="Z4" t="str">
        <f t="shared" si="7"/>
        <v/>
      </c>
      <c r="AA4" t="str">
        <f t="shared" si="8"/>
        <v/>
      </c>
      <c r="AB4" t="str">
        <f>COUNTIFS(AC4:AC$596,AC4)&amp;AC4</f>
        <v>593</v>
      </c>
      <c r="AC4" t="str">
        <f t="shared" si="9"/>
        <v/>
      </c>
      <c r="AD4" t="str">
        <f>COUNTIFS(AC$2:AC4,AC4)&amp;AC4</f>
        <v>3</v>
      </c>
      <c r="AE4" t="str">
        <f t="shared" si="10"/>
        <v/>
      </c>
      <c r="AF4" t="str">
        <f t="shared" si="11"/>
        <v>..</v>
      </c>
      <c r="AG4" s="28" t="str">
        <f t="shared" si="12"/>
        <v/>
      </c>
      <c r="AH4" s="28" t="str">
        <f t="shared" si="13"/>
        <v/>
      </c>
      <c r="AI4" t="str">
        <f t="shared" si="0"/>
        <v/>
      </c>
      <c r="AJ4" t="str">
        <f t="shared" si="14"/>
        <v/>
      </c>
      <c r="AK4" t="str">
        <f t="shared" si="15"/>
        <v/>
      </c>
      <c r="AL4" t="str">
        <f t="shared" si="16"/>
        <v/>
      </c>
      <c r="AM4" t="str">
        <f t="shared" si="1"/>
        <v/>
      </c>
      <c r="AN4" t="str">
        <f t="shared" si="17"/>
        <v/>
      </c>
      <c r="AO4" t="str">
        <f t="shared" si="18"/>
        <v/>
      </c>
      <c r="AP4" t="str">
        <f t="shared" si="19"/>
        <v/>
      </c>
      <c r="AQ4" t="str">
        <f t="shared" si="2"/>
        <v/>
      </c>
      <c r="AR4" t="str">
        <f t="shared" si="20"/>
        <v/>
      </c>
      <c r="AS4" t="str">
        <f t="shared" si="21"/>
        <v/>
      </c>
      <c r="AT4" t="str">
        <f t="shared" si="22"/>
        <v/>
      </c>
      <c r="AU4" s="25" t="str">
        <f t="shared" si="23"/>
        <v/>
      </c>
      <c r="AW4">
        <v>3</v>
      </c>
      <c r="AX4" t="s">
        <v>404</v>
      </c>
      <c r="AY4" t="s">
        <v>416</v>
      </c>
      <c r="BA4">
        <f>'REGISTER SK'!F7</f>
        <v>0</v>
      </c>
    </row>
    <row r="5" spans="1:53" x14ac:dyDescent="0.35">
      <c r="A5" s="18">
        <v>4</v>
      </c>
      <c r="B5" s="36" t="s">
        <v>379</v>
      </c>
      <c r="C5" s="18" t="str">
        <f>IF(G5="","",IF(G5="Umum",G5,VLOOKUP(F5,'Data Induk Pegawai'!B:AE,4,FALSE)))</f>
        <v/>
      </c>
      <c r="D5" s="19" t="str">
        <f>IF('REGISTER SK'!A8="","",IF('REGISTER SK'!B8=0,D4,'REGISTER SK'!B8))</f>
        <v/>
      </c>
      <c r="E5" s="19" t="str">
        <f t="shared" si="3"/>
        <v/>
      </c>
      <c r="F5" s="29"/>
      <c r="G5" s="29"/>
      <c r="H5" s="31" t="str">
        <f>IF(F5="","",VLOOKUP(F5,'Data Induk Pegawai'!B:U,2,FALSE))</f>
        <v/>
      </c>
      <c r="I5" s="19" t="str">
        <f>IF('REGISTER SK'!C8="","",'REGISTER SK'!C8)</f>
        <v/>
      </c>
      <c r="J5" s="125"/>
      <c r="K5" s="125"/>
      <c r="L5" s="26" t="str">
        <f>IF('REGISTER SK'!D8="","",'REGISTER SK'!D8)</f>
        <v/>
      </c>
      <c r="M5" s="26" t="str">
        <f>IF('REGISTER SK'!E8="","",'REGISTER SK'!E8)</f>
        <v/>
      </c>
      <c r="N5" s="31" t="str">
        <f>IF(G5="","",IF(OR(G5="GTT",G5="PTT"),"--",VLOOKUP(F5,'Data Induk Pegawai'!B:AE,4,FALSE)))</f>
        <v/>
      </c>
      <c r="O5" s="18" t="s">
        <v>264</v>
      </c>
      <c r="P5" s="31" t="str">
        <f>IF(G5="","",VLOOKUP(F5,'Data Induk Pegawai'!B:AE,7,FALSE))</f>
        <v/>
      </c>
      <c r="Q5" s="30"/>
      <c r="R5" s="26" t="str">
        <f>IF(G5="","","Nomor "&amp;RIGHT(VLOOKUP(F5,'Data Induk Pegawai'!B:AE,12,FALSE),2)&amp;" Tahun "&amp;MID(VLOOKUP(F5,'Data Induk Pegawai'!B:AE,12,FALSE),5,4))</f>
        <v/>
      </c>
      <c r="S5" s="26" t="str">
        <f>IF(G5="","",VLOOKUP(F5,'Data Induk Pegawai'!B:AE,11,FALSE))</f>
        <v/>
      </c>
      <c r="T5" s="56"/>
      <c r="U5" s="18" t="str">
        <f t="shared" si="4"/>
        <v/>
      </c>
      <c r="V5" s="30"/>
      <c r="W5" s="18" t="str">
        <f t="shared" si="5"/>
        <v/>
      </c>
      <c r="X5" s="16"/>
      <c r="Y5" t="str">
        <f t="shared" si="6"/>
        <v/>
      </c>
      <c r="Z5" t="str">
        <f t="shared" si="7"/>
        <v/>
      </c>
      <c r="AA5" t="str">
        <f t="shared" si="8"/>
        <v/>
      </c>
      <c r="AB5" t="str">
        <f>COUNTIFS(AC5:AC$596,AC5)&amp;AC5</f>
        <v>592</v>
      </c>
      <c r="AC5" t="str">
        <f t="shared" si="9"/>
        <v/>
      </c>
      <c r="AD5" t="str">
        <f>COUNTIFS(AC$2:AC5,AC5)&amp;AC5</f>
        <v>4</v>
      </c>
      <c r="AE5" t="str">
        <f t="shared" si="10"/>
        <v/>
      </c>
      <c r="AF5" t="str">
        <f t="shared" si="11"/>
        <v>..</v>
      </c>
      <c r="AG5" s="28" t="str">
        <f t="shared" si="12"/>
        <v/>
      </c>
      <c r="AH5" s="28" t="str">
        <f t="shared" si="13"/>
        <v/>
      </c>
      <c r="AI5" t="str">
        <f t="shared" si="0"/>
        <v/>
      </c>
      <c r="AJ5" t="str">
        <f t="shared" si="14"/>
        <v/>
      </c>
      <c r="AK5" t="str">
        <f t="shared" si="15"/>
        <v/>
      </c>
      <c r="AL5" t="str">
        <f t="shared" si="16"/>
        <v/>
      </c>
      <c r="AM5" t="str">
        <f t="shared" si="1"/>
        <v/>
      </c>
      <c r="AN5" t="str">
        <f t="shared" si="17"/>
        <v/>
      </c>
      <c r="AO5" t="str">
        <f t="shared" si="18"/>
        <v/>
      </c>
      <c r="AP5" t="str">
        <f t="shared" si="19"/>
        <v/>
      </c>
      <c r="AQ5" t="str">
        <f t="shared" si="2"/>
        <v/>
      </c>
      <c r="AR5" t="str">
        <f t="shared" si="20"/>
        <v/>
      </c>
      <c r="AS5" t="str">
        <f t="shared" si="21"/>
        <v/>
      </c>
      <c r="AT5" t="str">
        <f t="shared" si="22"/>
        <v/>
      </c>
      <c r="AU5" s="25" t="str">
        <f t="shared" si="23"/>
        <v/>
      </c>
      <c r="AW5">
        <v>4</v>
      </c>
      <c r="AX5" t="s">
        <v>405</v>
      </c>
      <c r="AY5" t="s">
        <v>405</v>
      </c>
      <c r="BA5">
        <f>'REGISTER SK'!F8</f>
        <v>0</v>
      </c>
    </row>
    <row r="6" spans="1:53" x14ac:dyDescent="0.35">
      <c r="A6" s="18">
        <v>5</v>
      </c>
      <c r="B6" s="36" t="s">
        <v>379</v>
      </c>
      <c r="C6" s="18" t="str">
        <f>IF(G6="","",IF(G6="Umum",G6,VLOOKUP(F6,'Data Induk Pegawai'!B:AE,4,FALSE)))</f>
        <v/>
      </c>
      <c r="D6" s="19" t="str">
        <f>IF('REGISTER SK'!A9="","",IF('REGISTER SK'!B9=0,D5,'REGISTER SK'!B9))</f>
        <v/>
      </c>
      <c r="E6" s="19" t="str">
        <f t="shared" si="3"/>
        <v/>
      </c>
      <c r="F6" s="29"/>
      <c r="G6" s="29"/>
      <c r="H6" s="31" t="str">
        <f>IF(F6="","",VLOOKUP(F6,'Data Induk Pegawai'!B:U,2,FALSE))</f>
        <v/>
      </c>
      <c r="I6" s="19" t="str">
        <f>IF('REGISTER SK'!C9="","",'REGISTER SK'!C9)</f>
        <v/>
      </c>
      <c r="J6" s="125"/>
      <c r="K6" s="125"/>
      <c r="L6" s="26" t="str">
        <f>IF('REGISTER SK'!D9="","",'REGISTER SK'!D9)</f>
        <v/>
      </c>
      <c r="M6" s="26" t="str">
        <f>IF('REGISTER SK'!E9="","",'REGISTER SK'!E9)</f>
        <v/>
      </c>
      <c r="N6" s="31" t="str">
        <f>IF(G6="","",IF(OR(G6="GTT",G6="PTT"),"--",VLOOKUP(F6,'Data Induk Pegawai'!B:AE,4,FALSE)))</f>
        <v/>
      </c>
      <c r="O6" s="18" t="s">
        <v>257</v>
      </c>
      <c r="P6" s="31" t="str">
        <f>IF(G6="","",VLOOKUP(F6,'Data Induk Pegawai'!B:AE,7,FALSE))</f>
        <v/>
      </c>
      <c r="Q6" s="30"/>
      <c r="R6" s="26" t="str">
        <f>IF(G6="","","Nomor "&amp;RIGHT(VLOOKUP(F6,'Data Induk Pegawai'!B:AE,12,FALSE),2)&amp;" Tahun "&amp;MID(VLOOKUP(F6,'Data Induk Pegawai'!B:AE,12,FALSE),5,4))</f>
        <v/>
      </c>
      <c r="S6" s="26" t="str">
        <f>IF(G6="","",VLOOKUP(F6,'Data Induk Pegawai'!B:AE,11,FALSE))</f>
        <v/>
      </c>
      <c r="T6" s="56"/>
      <c r="U6" s="18" t="str">
        <f t="shared" si="4"/>
        <v/>
      </c>
      <c r="V6" s="30"/>
      <c r="W6" s="18" t="str">
        <f t="shared" si="5"/>
        <v/>
      </c>
      <c r="X6" s="16"/>
      <c r="Y6" t="str">
        <f t="shared" si="6"/>
        <v/>
      </c>
      <c r="Z6" t="str">
        <f t="shared" si="7"/>
        <v/>
      </c>
      <c r="AA6" t="str">
        <f t="shared" si="8"/>
        <v/>
      </c>
      <c r="AB6" t="str">
        <f>COUNTIFS(AC6:AC$596,AC6)&amp;AC6</f>
        <v>591</v>
      </c>
      <c r="AC6" t="str">
        <f t="shared" si="9"/>
        <v/>
      </c>
      <c r="AD6" t="str">
        <f>COUNTIFS(AC$2:AC6,AC6)&amp;AC6</f>
        <v>5</v>
      </c>
      <c r="AE6" t="str">
        <f t="shared" si="10"/>
        <v/>
      </c>
      <c r="AF6" t="str">
        <f t="shared" si="11"/>
        <v>..</v>
      </c>
      <c r="AG6" s="28" t="str">
        <f t="shared" si="12"/>
        <v/>
      </c>
      <c r="AH6" s="28" t="str">
        <f t="shared" si="13"/>
        <v/>
      </c>
      <c r="AI6" t="str">
        <f t="shared" si="0"/>
        <v/>
      </c>
      <c r="AJ6" t="str">
        <f t="shared" si="14"/>
        <v/>
      </c>
      <c r="AK6" t="str">
        <f t="shared" si="15"/>
        <v/>
      </c>
      <c r="AL6" t="str">
        <f t="shared" si="16"/>
        <v/>
      </c>
      <c r="AM6" t="str">
        <f t="shared" si="1"/>
        <v/>
      </c>
      <c r="AN6" t="str">
        <f t="shared" si="17"/>
        <v/>
      </c>
      <c r="AO6" t="str">
        <f t="shared" si="18"/>
        <v/>
      </c>
      <c r="AP6" t="str">
        <f t="shared" si="19"/>
        <v/>
      </c>
      <c r="AQ6" t="str">
        <f t="shared" si="2"/>
        <v/>
      </c>
      <c r="AR6" t="str">
        <f t="shared" si="20"/>
        <v/>
      </c>
      <c r="AS6" t="str">
        <f t="shared" si="21"/>
        <v/>
      </c>
      <c r="AT6" t="str">
        <f t="shared" si="22"/>
        <v/>
      </c>
      <c r="AU6" s="25" t="str">
        <f t="shared" si="23"/>
        <v/>
      </c>
      <c r="AW6">
        <v>5</v>
      </c>
      <c r="AX6" t="s">
        <v>406</v>
      </c>
      <c r="AY6" t="s">
        <v>417</v>
      </c>
      <c r="BA6">
        <f>'REGISTER SK'!F9</f>
        <v>0</v>
      </c>
    </row>
    <row r="7" spans="1:53" x14ac:dyDescent="0.35">
      <c r="A7" s="18">
        <v>6</v>
      </c>
      <c r="B7" s="36" t="s">
        <v>379</v>
      </c>
      <c r="C7" s="18" t="str">
        <f>IF(G7="","",IF(G7="Umum",G7,VLOOKUP(F7,'Data Induk Pegawai'!B:AE,4,FALSE)))</f>
        <v/>
      </c>
      <c r="D7" s="19" t="str">
        <f>IF('REGISTER SK'!A10="","",IF('REGISTER SK'!B10=0,D6,'REGISTER SK'!B10))</f>
        <v/>
      </c>
      <c r="E7" s="19" t="str">
        <f t="shared" si="3"/>
        <v/>
      </c>
      <c r="F7" s="29"/>
      <c r="G7" s="29"/>
      <c r="H7" s="31" t="str">
        <f>IF(F7="","",VLOOKUP(F7,'Data Induk Pegawai'!B:U,2,FALSE))</f>
        <v/>
      </c>
      <c r="I7" s="19" t="str">
        <f>IF('REGISTER SK'!C10="","",'REGISTER SK'!C10)</f>
        <v/>
      </c>
      <c r="J7" s="125"/>
      <c r="K7" s="125"/>
      <c r="L7" s="26" t="str">
        <f>IF('REGISTER SK'!D10="","",'REGISTER SK'!D10)</f>
        <v/>
      </c>
      <c r="M7" s="26" t="str">
        <f>IF('REGISTER SK'!E10="","",'REGISTER SK'!E10)</f>
        <v/>
      </c>
      <c r="N7" s="31" t="str">
        <f>IF(G7="","",IF(OR(G7="GTT",G7="PTT"),"--",VLOOKUP(F7,'Data Induk Pegawai'!B:AE,4,FALSE)))</f>
        <v/>
      </c>
      <c r="O7" s="18" t="s">
        <v>265</v>
      </c>
      <c r="P7" s="31" t="str">
        <f>IF(G7="","",VLOOKUP(F7,'Data Induk Pegawai'!B:AE,7,FALSE))</f>
        <v/>
      </c>
      <c r="Q7" s="30"/>
      <c r="R7" s="26" t="str">
        <f>IF(G7="","","Nomor "&amp;RIGHT(VLOOKUP(F7,'Data Induk Pegawai'!B:AE,12,FALSE),2)&amp;" Tahun "&amp;MID(VLOOKUP(F7,'Data Induk Pegawai'!B:AE,12,FALSE),5,4))</f>
        <v/>
      </c>
      <c r="S7" s="26" t="str">
        <f>IF(G7="","",VLOOKUP(F7,'Data Induk Pegawai'!B:AE,11,FALSE))</f>
        <v/>
      </c>
      <c r="T7" s="56"/>
      <c r="U7" s="18" t="str">
        <f t="shared" si="4"/>
        <v/>
      </c>
      <c r="V7" s="30"/>
      <c r="W7" s="18" t="str">
        <f t="shared" si="5"/>
        <v/>
      </c>
      <c r="X7" s="16"/>
      <c r="Y7" t="str">
        <f t="shared" si="6"/>
        <v/>
      </c>
      <c r="Z7" t="str">
        <f t="shared" si="7"/>
        <v/>
      </c>
      <c r="AA7" t="str">
        <f t="shared" si="8"/>
        <v/>
      </c>
      <c r="AB7" t="str">
        <f>COUNTIFS(AC7:AC$596,AC7)&amp;AC7</f>
        <v>590</v>
      </c>
      <c r="AC7" t="str">
        <f t="shared" si="9"/>
        <v/>
      </c>
      <c r="AD7" t="str">
        <f>COUNTIFS(AC$2:AC7,AC7)&amp;AC7</f>
        <v>6</v>
      </c>
      <c r="AE7" t="str">
        <f t="shared" si="10"/>
        <v/>
      </c>
      <c r="AF7" t="str">
        <f t="shared" si="11"/>
        <v>..</v>
      </c>
      <c r="AG7" s="28" t="str">
        <f t="shared" si="12"/>
        <v/>
      </c>
      <c r="AH7" s="28" t="str">
        <f t="shared" si="13"/>
        <v/>
      </c>
      <c r="AI7" t="str">
        <f t="shared" si="0"/>
        <v/>
      </c>
      <c r="AJ7" t="str">
        <f t="shared" si="14"/>
        <v/>
      </c>
      <c r="AK7" t="str">
        <f t="shared" si="15"/>
        <v/>
      </c>
      <c r="AL7" t="str">
        <f t="shared" si="16"/>
        <v/>
      </c>
      <c r="AM7" t="str">
        <f t="shared" si="1"/>
        <v/>
      </c>
      <c r="AN7" t="str">
        <f t="shared" si="17"/>
        <v/>
      </c>
      <c r="AO7" t="str">
        <f t="shared" si="18"/>
        <v/>
      </c>
      <c r="AP7" t="str">
        <f t="shared" si="19"/>
        <v/>
      </c>
      <c r="AQ7" t="str">
        <f t="shared" si="2"/>
        <v/>
      </c>
      <c r="AR7" t="str">
        <f t="shared" si="20"/>
        <v/>
      </c>
      <c r="AS7" t="str">
        <f t="shared" si="21"/>
        <v/>
      </c>
      <c r="AT7" t="str">
        <f t="shared" si="22"/>
        <v/>
      </c>
      <c r="AU7" s="25" t="str">
        <f t="shared" si="23"/>
        <v/>
      </c>
      <c r="AW7">
        <v>6</v>
      </c>
      <c r="AX7" t="s">
        <v>407</v>
      </c>
      <c r="AY7" t="s">
        <v>418</v>
      </c>
      <c r="BA7">
        <f>'REGISTER SK'!F10</f>
        <v>0</v>
      </c>
    </row>
    <row r="8" spans="1:53" x14ac:dyDescent="0.35">
      <c r="A8" s="18">
        <v>7</v>
      </c>
      <c r="B8" s="36" t="s">
        <v>379</v>
      </c>
      <c r="C8" s="18" t="str">
        <f>IF(G8="","",IF(G8="Umum",G8,VLOOKUP(F8,'Data Induk Pegawai'!B:AE,4,FALSE)))</f>
        <v/>
      </c>
      <c r="D8" s="19" t="str">
        <f>IF('REGISTER SK'!A11="","",IF('REGISTER SK'!B11=0,D7,'REGISTER SK'!B11))</f>
        <v/>
      </c>
      <c r="E8" s="19" t="str">
        <f t="shared" si="3"/>
        <v/>
      </c>
      <c r="F8" s="29"/>
      <c r="G8" s="29"/>
      <c r="H8" s="31" t="str">
        <f>IF(F8="","",VLOOKUP(F8,'Data Induk Pegawai'!B:U,2,FALSE))</f>
        <v/>
      </c>
      <c r="I8" s="19" t="str">
        <f>IF('REGISTER SK'!C11="","",'REGISTER SK'!C11)</f>
        <v/>
      </c>
      <c r="J8" s="125"/>
      <c r="K8" s="125"/>
      <c r="L8" s="26" t="str">
        <f>IF('REGISTER SK'!D11="","",'REGISTER SK'!D11)</f>
        <v/>
      </c>
      <c r="M8" s="26" t="str">
        <f>IF('REGISTER SK'!E11="","",'REGISTER SK'!E11)</f>
        <v/>
      </c>
      <c r="N8" s="31" t="str">
        <f>IF(G8="","",IF(OR(G8="GTT",G8="PTT"),"--",VLOOKUP(F8,'Data Induk Pegawai'!B:AE,4,FALSE)))</f>
        <v/>
      </c>
      <c r="O8" s="18" t="s">
        <v>267</v>
      </c>
      <c r="P8" s="31" t="str">
        <f>IF(G8="","",VLOOKUP(F8,'Data Induk Pegawai'!B:AE,7,FALSE))</f>
        <v/>
      </c>
      <c r="Q8" s="30"/>
      <c r="R8" s="26" t="str">
        <f>IF(G8="","","Nomor "&amp;RIGHT(VLOOKUP(F8,'Data Induk Pegawai'!B:AE,12,FALSE),2)&amp;" Tahun "&amp;MID(VLOOKUP(F8,'Data Induk Pegawai'!B:AE,12,FALSE),5,4))</f>
        <v/>
      </c>
      <c r="S8" s="26" t="str">
        <f>IF(G8="","",VLOOKUP(F8,'Data Induk Pegawai'!B:AE,11,FALSE))</f>
        <v/>
      </c>
      <c r="T8" s="56"/>
      <c r="U8" s="18" t="str">
        <f t="shared" si="4"/>
        <v/>
      </c>
      <c r="V8" s="30"/>
      <c r="W8" s="18" t="str">
        <f t="shared" si="5"/>
        <v/>
      </c>
      <c r="X8" s="16"/>
      <c r="Y8" t="str">
        <f t="shared" si="6"/>
        <v/>
      </c>
      <c r="Z8" t="str">
        <f t="shared" si="7"/>
        <v/>
      </c>
      <c r="AA8" t="str">
        <f t="shared" si="8"/>
        <v/>
      </c>
      <c r="AB8" t="str">
        <f>COUNTIFS(AC8:AC$596,AC8)&amp;AC8</f>
        <v>589</v>
      </c>
      <c r="AC8" t="str">
        <f t="shared" si="9"/>
        <v/>
      </c>
      <c r="AD8" t="str">
        <f>COUNTIFS(AC$2:AC8,AC8)&amp;AC8</f>
        <v>7</v>
      </c>
      <c r="AE8" t="str">
        <f t="shared" si="10"/>
        <v/>
      </c>
      <c r="AF8" t="str">
        <f t="shared" si="11"/>
        <v>..</v>
      </c>
      <c r="AG8" s="28" t="str">
        <f t="shared" si="12"/>
        <v/>
      </c>
      <c r="AH8" s="28" t="str">
        <f t="shared" si="13"/>
        <v/>
      </c>
      <c r="AI8" t="str">
        <f t="shared" si="0"/>
        <v/>
      </c>
      <c r="AJ8" t="str">
        <f t="shared" si="14"/>
        <v/>
      </c>
      <c r="AK8" t="str">
        <f t="shared" si="15"/>
        <v/>
      </c>
      <c r="AL8" t="str">
        <f t="shared" si="16"/>
        <v/>
      </c>
      <c r="AM8" t="str">
        <f t="shared" si="1"/>
        <v/>
      </c>
      <c r="AN8" t="str">
        <f t="shared" si="17"/>
        <v/>
      </c>
      <c r="AO8" t="str">
        <f t="shared" si="18"/>
        <v/>
      </c>
      <c r="AP8" t="str">
        <f t="shared" si="19"/>
        <v/>
      </c>
      <c r="AQ8" t="str">
        <f t="shared" si="2"/>
        <v/>
      </c>
      <c r="AR8" t="str">
        <f t="shared" si="20"/>
        <v/>
      </c>
      <c r="AS8" t="str">
        <f t="shared" si="21"/>
        <v/>
      </c>
      <c r="AT8" t="str">
        <f t="shared" si="22"/>
        <v/>
      </c>
      <c r="AU8" s="25" t="str">
        <f t="shared" si="23"/>
        <v/>
      </c>
      <c r="AW8">
        <v>7</v>
      </c>
      <c r="AX8" t="s">
        <v>408</v>
      </c>
      <c r="AY8" t="s">
        <v>419</v>
      </c>
      <c r="BA8">
        <f>'REGISTER SK'!F11</f>
        <v>0</v>
      </c>
    </row>
    <row r="9" spans="1:53" x14ac:dyDescent="0.35">
      <c r="A9" s="18">
        <v>8</v>
      </c>
      <c r="B9" s="36" t="s">
        <v>379</v>
      </c>
      <c r="C9" s="18" t="str">
        <f>IF(G9="","",IF(G9="Umum",G9,VLOOKUP(F9,'Data Induk Pegawai'!B:AE,4,FALSE)))</f>
        <v/>
      </c>
      <c r="D9" s="19" t="str">
        <f>IF('REGISTER SK'!A12="","",IF('REGISTER SK'!B12=0,D8,'REGISTER SK'!B12))</f>
        <v/>
      </c>
      <c r="E9" s="19" t="str">
        <f t="shared" si="3"/>
        <v/>
      </c>
      <c r="F9" s="29"/>
      <c r="G9" s="29"/>
      <c r="H9" s="31" t="str">
        <f>IF(F9="","",VLOOKUP(F9,'Data Induk Pegawai'!B:U,2,FALSE))</f>
        <v/>
      </c>
      <c r="I9" s="19" t="str">
        <f>IF('REGISTER SK'!C12="","",'REGISTER SK'!C12)</f>
        <v/>
      </c>
      <c r="J9" s="125"/>
      <c r="K9" s="125"/>
      <c r="L9" s="26" t="str">
        <f>IF('REGISTER SK'!D12="","",'REGISTER SK'!D12)</f>
        <v/>
      </c>
      <c r="M9" s="26" t="str">
        <f>IF('REGISTER SK'!E12="","",'REGISTER SK'!E12)</f>
        <v/>
      </c>
      <c r="N9" s="31" t="str">
        <f>IF(G9="","",IF(OR(G9="GTT",G9="PTT"),"--",VLOOKUP(F9,'Data Induk Pegawai'!B:AE,4,FALSE)))</f>
        <v/>
      </c>
      <c r="O9" s="18" t="s">
        <v>267</v>
      </c>
      <c r="P9" s="31" t="str">
        <f>IF(G9="","",VLOOKUP(F9,'Data Induk Pegawai'!B:AE,7,FALSE))</f>
        <v/>
      </c>
      <c r="Q9" s="30"/>
      <c r="R9" s="26" t="str">
        <f>IF(G9="","","Nomor "&amp;RIGHT(VLOOKUP(F9,'Data Induk Pegawai'!B:AE,12,FALSE),2)&amp;" Tahun "&amp;MID(VLOOKUP(F9,'Data Induk Pegawai'!B:AE,12,FALSE),5,4))</f>
        <v/>
      </c>
      <c r="S9" s="26" t="str">
        <f>IF(G9="","",VLOOKUP(F9,'Data Induk Pegawai'!B:AE,11,FALSE))</f>
        <v/>
      </c>
      <c r="T9" s="56"/>
      <c r="U9" s="18" t="str">
        <f t="shared" si="4"/>
        <v/>
      </c>
      <c r="V9" s="30"/>
      <c r="W9" s="18" t="str">
        <f t="shared" si="5"/>
        <v/>
      </c>
      <c r="X9" s="16"/>
      <c r="Y9" t="str">
        <f t="shared" si="6"/>
        <v/>
      </c>
      <c r="Z9" t="str">
        <f t="shared" si="7"/>
        <v/>
      </c>
      <c r="AA9" t="str">
        <f t="shared" si="8"/>
        <v/>
      </c>
      <c r="AB9" t="str">
        <f>COUNTIFS(AC9:AC$596,AC9)&amp;AC9</f>
        <v>588</v>
      </c>
      <c r="AC9" t="str">
        <f t="shared" si="9"/>
        <v/>
      </c>
      <c r="AD9" t="str">
        <f>COUNTIFS(AC$2:AC9,AC9)&amp;AC9</f>
        <v>8</v>
      </c>
      <c r="AE9" t="str">
        <f t="shared" si="10"/>
        <v/>
      </c>
      <c r="AF9" t="str">
        <f t="shared" si="11"/>
        <v>..</v>
      </c>
      <c r="AG9" s="28" t="str">
        <f t="shared" si="12"/>
        <v/>
      </c>
      <c r="AH9" s="28" t="str">
        <f t="shared" si="13"/>
        <v/>
      </c>
      <c r="AI9" t="str">
        <f t="shared" si="0"/>
        <v/>
      </c>
      <c r="AJ9" t="str">
        <f t="shared" si="14"/>
        <v/>
      </c>
      <c r="AK9" t="str">
        <f t="shared" si="15"/>
        <v/>
      </c>
      <c r="AL9" t="str">
        <f t="shared" si="16"/>
        <v/>
      </c>
      <c r="AM9" t="str">
        <f t="shared" si="1"/>
        <v/>
      </c>
      <c r="AN9" t="str">
        <f t="shared" si="17"/>
        <v/>
      </c>
      <c r="AO9" t="str">
        <f t="shared" si="18"/>
        <v/>
      </c>
      <c r="AP9" t="str">
        <f t="shared" si="19"/>
        <v/>
      </c>
      <c r="AQ9" t="str">
        <f t="shared" si="2"/>
        <v/>
      </c>
      <c r="AR9" t="str">
        <f t="shared" si="20"/>
        <v/>
      </c>
      <c r="AS9" t="str">
        <f t="shared" si="21"/>
        <v/>
      </c>
      <c r="AT9" t="str">
        <f t="shared" si="22"/>
        <v/>
      </c>
      <c r="AU9" s="25" t="str">
        <f t="shared" si="23"/>
        <v/>
      </c>
      <c r="AW9">
        <v>8</v>
      </c>
      <c r="AX9" t="s">
        <v>409</v>
      </c>
      <c r="AY9" t="s">
        <v>420</v>
      </c>
      <c r="BA9">
        <f>'REGISTER SK'!F12</f>
        <v>0</v>
      </c>
    </row>
    <row r="10" spans="1:53" x14ac:dyDescent="0.35">
      <c r="A10" s="18">
        <v>9</v>
      </c>
      <c r="B10" s="36"/>
      <c r="C10" s="18" t="str">
        <f>IF(G10="","",IF(G10="Umum",G10,VLOOKUP(F10,'Data Induk Pegawai'!B:AE,4,FALSE)))</f>
        <v/>
      </c>
      <c r="D10" s="19" t="str">
        <f>IF('REGISTER SK'!A13="","",IF('REGISTER SK'!B13=0,D9,'REGISTER SK'!B13))</f>
        <v/>
      </c>
      <c r="E10" s="19" t="str">
        <f t="shared" si="3"/>
        <v/>
      </c>
      <c r="F10" s="29"/>
      <c r="G10" s="29"/>
      <c r="H10" s="31" t="str">
        <f>IF(F10="","",VLOOKUP(F10,'Data Induk Pegawai'!B:U,2,FALSE))</f>
        <v/>
      </c>
      <c r="I10" s="19" t="str">
        <f>IF('REGISTER SK'!C13="","",'REGISTER SK'!C13)</f>
        <v/>
      </c>
      <c r="J10" s="125"/>
      <c r="K10" s="125"/>
      <c r="L10" s="26" t="str">
        <f>IF('REGISTER SK'!D13="","",'REGISTER SK'!D13)</f>
        <v/>
      </c>
      <c r="M10" s="26" t="str">
        <f>IF('REGISTER SK'!E13="","",'REGISTER SK'!E13)</f>
        <v/>
      </c>
      <c r="N10" s="31" t="str">
        <f>IF(G10="","",IF(OR(G10="GTT",G10="PTT"),"--",VLOOKUP(F10,'Data Induk Pegawai'!B:AE,4,FALSE)))</f>
        <v/>
      </c>
      <c r="O10" s="18" t="s">
        <v>378</v>
      </c>
      <c r="P10" s="31" t="str">
        <f>IF(G10="","",VLOOKUP(F10,'Data Induk Pegawai'!B:AE,7,FALSE))</f>
        <v/>
      </c>
      <c r="Q10" s="30"/>
      <c r="R10" s="26" t="str">
        <f>IF(G10="","","Nomor "&amp;RIGHT(VLOOKUP(F10,'Data Induk Pegawai'!B:AE,12,FALSE),2)&amp;" Tahun "&amp;MID(VLOOKUP(F10,'Data Induk Pegawai'!B:AE,12,FALSE),5,4))</f>
        <v/>
      </c>
      <c r="S10" s="26" t="str">
        <f>IF(G10="","",VLOOKUP(F10,'Data Induk Pegawai'!B:AE,11,FALSE))</f>
        <v/>
      </c>
      <c r="T10" s="56"/>
      <c r="U10" s="18" t="str">
        <f t="shared" si="4"/>
        <v/>
      </c>
      <c r="V10" s="30"/>
      <c r="W10" s="18" t="str">
        <f t="shared" si="5"/>
        <v/>
      </c>
      <c r="X10" s="16"/>
      <c r="Y10" t="str">
        <f t="shared" si="6"/>
        <v/>
      </c>
      <c r="Z10" t="str">
        <f t="shared" si="7"/>
        <v/>
      </c>
      <c r="AA10" t="str">
        <f t="shared" si="8"/>
        <v/>
      </c>
      <c r="AB10" t="str">
        <f>COUNTIFS(AC10:AC$596,AC10)&amp;AC10</f>
        <v>587</v>
      </c>
      <c r="AC10" t="str">
        <f t="shared" si="9"/>
        <v/>
      </c>
      <c r="AD10" t="str">
        <f>COUNTIFS(AC$2:AC10,AC10)&amp;AC10</f>
        <v>9</v>
      </c>
      <c r="AE10" t="str">
        <f t="shared" si="10"/>
        <v/>
      </c>
      <c r="AF10" t="str">
        <f t="shared" si="11"/>
        <v>..</v>
      </c>
      <c r="AG10" s="28" t="str">
        <f t="shared" si="12"/>
        <v/>
      </c>
      <c r="AH10" s="28" t="str">
        <f t="shared" si="13"/>
        <v/>
      </c>
      <c r="AI10" t="str">
        <f t="shared" si="0"/>
        <v/>
      </c>
      <c r="AJ10" t="str">
        <f t="shared" si="14"/>
        <v/>
      </c>
      <c r="AK10" t="str">
        <f t="shared" si="15"/>
        <v/>
      </c>
      <c r="AL10" t="str">
        <f t="shared" si="16"/>
        <v/>
      </c>
      <c r="AM10" t="str">
        <f t="shared" si="1"/>
        <v/>
      </c>
      <c r="AN10" t="str">
        <f t="shared" si="17"/>
        <v/>
      </c>
      <c r="AO10" t="str">
        <f t="shared" si="18"/>
        <v/>
      </c>
      <c r="AP10" t="str">
        <f t="shared" si="19"/>
        <v/>
      </c>
      <c r="AQ10" t="str">
        <f t="shared" si="2"/>
        <v/>
      </c>
      <c r="AR10" t="str">
        <f t="shared" si="20"/>
        <v/>
      </c>
      <c r="AS10" t="str">
        <f t="shared" si="21"/>
        <v/>
      </c>
      <c r="AT10" t="str">
        <f t="shared" si="22"/>
        <v/>
      </c>
      <c r="AU10" s="25" t="str">
        <f t="shared" si="23"/>
        <v/>
      </c>
      <c r="AW10">
        <v>9</v>
      </c>
      <c r="AX10" t="s">
        <v>410</v>
      </c>
      <c r="AY10" t="s">
        <v>410</v>
      </c>
      <c r="BA10">
        <f>'REGISTER SK'!F13</f>
        <v>0</v>
      </c>
    </row>
    <row r="11" spans="1:53" x14ac:dyDescent="0.35">
      <c r="A11" s="18">
        <v>10</v>
      </c>
      <c r="B11" s="36" t="s">
        <v>379</v>
      </c>
      <c r="C11" s="18" t="str">
        <f>IF(G11="","",IF(G11="Umum",G11,VLOOKUP(F11,'Data Induk Pegawai'!B:AE,4,FALSE)))</f>
        <v/>
      </c>
      <c r="D11" s="19" t="str">
        <f>IF('REGISTER SK'!A14="","",IF('REGISTER SK'!B14=0,D10,'REGISTER SK'!B14))</f>
        <v/>
      </c>
      <c r="E11" s="19" t="str">
        <f t="shared" si="3"/>
        <v/>
      </c>
      <c r="F11" s="29"/>
      <c r="G11" s="29"/>
      <c r="H11" s="31" t="str">
        <f>IF(F11="","",VLOOKUP(F11,'Data Induk Pegawai'!B:U,2,FALSE))</f>
        <v/>
      </c>
      <c r="I11" s="19" t="str">
        <f>IF('REGISTER SK'!C14="","",'REGISTER SK'!C14)</f>
        <v/>
      </c>
      <c r="J11" s="125"/>
      <c r="K11" s="125"/>
      <c r="L11" s="26" t="str">
        <f>IF('REGISTER SK'!D14="","",'REGISTER SK'!D14)</f>
        <v/>
      </c>
      <c r="M11" s="26" t="str">
        <f>IF('REGISTER SK'!E14="","",'REGISTER SK'!E14)</f>
        <v/>
      </c>
      <c r="N11" s="31" t="str">
        <f>IF(G11="","",IF(OR(G11="GTT",G11="PTT"),"--",VLOOKUP(F11,'Data Induk Pegawai'!B:AE,4,FALSE)))</f>
        <v/>
      </c>
      <c r="O11" s="18" t="s">
        <v>257</v>
      </c>
      <c r="P11" s="31" t="str">
        <f>IF(G11="","",VLOOKUP(F11,'Data Induk Pegawai'!B:AE,7,FALSE))</f>
        <v/>
      </c>
      <c r="Q11" s="30"/>
      <c r="R11" s="26" t="str">
        <f>IF(G11="","","Nomor "&amp;RIGHT(VLOOKUP(F11,'Data Induk Pegawai'!B:AE,12,FALSE),2)&amp;" Tahun "&amp;MID(VLOOKUP(F11,'Data Induk Pegawai'!B:AE,12,FALSE),5,4))</f>
        <v/>
      </c>
      <c r="S11" s="26" t="str">
        <f>IF(G11="","",VLOOKUP(F11,'Data Induk Pegawai'!B:AE,11,FALSE))</f>
        <v/>
      </c>
      <c r="T11" s="56"/>
      <c r="U11" s="18" t="str">
        <f t="shared" si="4"/>
        <v/>
      </c>
      <c r="V11" s="30"/>
      <c r="W11" s="18" t="str">
        <f t="shared" si="5"/>
        <v/>
      </c>
      <c r="X11" s="16"/>
      <c r="Y11" t="str">
        <f t="shared" si="6"/>
        <v/>
      </c>
      <c r="Z11" t="str">
        <f t="shared" si="7"/>
        <v/>
      </c>
      <c r="AA11" t="str">
        <f t="shared" si="8"/>
        <v/>
      </c>
      <c r="AB11" t="str">
        <f>COUNTIFS(AC11:AC$596,AC11)&amp;AC11</f>
        <v>586</v>
      </c>
      <c r="AC11" t="str">
        <f t="shared" si="9"/>
        <v/>
      </c>
      <c r="AD11" t="str">
        <f>COUNTIFS(AC$2:AC11,AC11)&amp;AC11</f>
        <v>10</v>
      </c>
      <c r="AE11" t="str">
        <f t="shared" si="10"/>
        <v/>
      </c>
      <c r="AF11" t="str">
        <f t="shared" si="11"/>
        <v>..</v>
      </c>
      <c r="AG11" s="28" t="str">
        <f t="shared" si="12"/>
        <v/>
      </c>
      <c r="AH11" s="28" t="str">
        <f t="shared" si="13"/>
        <v/>
      </c>
      <c r="AI11" t="str">
        <f t="shared" si="0"/>
        <v/>
      </c>
      <c r="AJ11" t="str">
        <f t="shared" si="14"/>
        <v/>
      </c>
      <c r="AK11" t="str">
        <f t="shared" si="15"/>
        <v/>
      </c>
      <c r="AL11" t="str">
        <f t="shared" si="16"/>
        <v/>
      </c>
      <c r="AM11" t="str">
        <f t="shared" si="1"/>
        <v/>
      </c>
      <c r="AN11" t="str">
        <f t="shared" si="17"/>
        <v/>
      </c>
      <c r="AO11" t="str">
        <f t="shared" si="18"/>
        <v/>
      </c>
      <c r="AP11" t="str">
        <f t="shared" si="19"/>
        <v/>
      </c>
      <c r="AQ11" t="str">
        <f t="shared" si="2"/>
        <v/>
      </c>
      <c r="AR11" t="str">
        <f t="shared" si="20"/>
        <v/>
      </c>
      <c r="AS11" t="str">
        <f t="shared" si="21"/>
        <v/>
      </c>
      <c r="AT11" t="str">
        <f t="shared" si="22"/>
        <v/>
      </c>
      <c r="AU11" s="25" t="str">
        <f t="shared" si="23"/>
        <v/>
      </c>
      <c r="AW11">
        <v>10</v>
      </c>
      <c r="AX11" t="s">
        <v>411</v>
      </c>
      <c r="AY11" t="s">
        <v>421</v>
      </c>
      <c r="BA11">
        <f>'REGISTER SK'!F14</f>
        <v>0</v>
      </c>
    </row>
    <row r="12" spans="1:53" x14ac:dyDescent="0.35">
      <c r="A12" s="18">
        <v>11</v>
      </c>
      <c r="B12" s="36" t="s">
        <v>379</v>
      </c>
      <c r="C12" s="18" t="str">
        <f>IF(G12="","",IF(G12="Umum",G12,VLOOKUP(F12,'Data Induk Pegawai'!B:AE,4,FALSE)))</f>
        <v/>
      </c>
      <c r="D12" s="19" t="str">
        <f>IF('REGISTER SK'!A15="","",IF('REGISTER SK'!B15=0,D11,'REGISTER SK'!B15))</f>
        <v/>
      </c>
      <c r="E12" s="19" t="str">
        <f t="shared" si="3"/>
        <v/>
      </c>
      <c r="F12" s="29"/>
      <c r="G12" s="29"/>
      <c r="H12" s="31" t="str">
        <f>IF(F12="","",VLOOKUP(F12,'Data Induk Pegawai'!B:U,2,FALSE))</f>
        <v/>
      </c>
      <c r="I12" s="19" t="str">
        <f>IF('REGISTER SK'!C15="","",'REGISTER SK'!C15)</f>
        <v/>
      </c>
      <c r="J12" s="125"/>
      <c r="K12" s="125"/>
      <c r="L12" s="26" t="str">
        <f>IF('REGISTER SK'!D15="","",'REGISTER SK'!D15)</f>
        <v/>
      </c>
      <c r="M12" s="26" t="str">
        <f>IF('REGISTER SK'!E15="","",'REGISTER SK'!E15)</f>
        <v/>
      </c>
      <c r="N12" s="31" t="str">
        <f>IF(G12="","",IF(OR(G12="GTT",G12="PTT"),"--",VLOOKUP(F12,'Data Induk Pegawai'!B:AE,4,FALSE)))</f>
        <v/>
      </c>
      <c r="O12" s="18" t="s">
        <v>267</v>
      </c>
      <c r="P12" s="31" t="str">
        <f>IF(G12="","",VLOOKUP(F12,'Data Induk Pegawai'!B:AE,7,FALSE))</f>
        <v/>
      </c>
      <c r="Q12" s="30"/>
      <c r="R12" s="26" t="str">
        <f>IF(G12="","","Nomor "&amp;RIGHT(VLOOKUP(F12,'Data Induk Pegawai'!B:AE,12,FALSE),2)&amp;" Tahun "&amp;MID(VLOOKUP(F12,'Data Induk Pegawai'!B:AE,12,FALSE),5,4))</f>
        <v/>
      </c>
      <c r="S12" s="26" t="str">
        <f>IF(G12="","",VLOOKUP(F12,'Data Induk Pegawai'!B:AE,11,FALSE))</f>
        <v/>
      </c>
      <c r="T12" s="56"/>
      <c r="U12" s="18" t="str">
        <f t="shared" si="4"/>
        <v/>
      </c>
      <c r="V12" s="30"/>
      <c r="W12" s="18" t="str">
        <f t="shared" si="5"/>
        <v/>
      </c>
      <c r="X12" s="16"/>
      <c r="Y12" t="str">
        <f t="shared" si="6"/>
        <v/>
      </c>
      <c r="Z12" t="str">
        <f t="shared" si="7"/>
        <v/>
      </c>
      <c r="AA12" t="str">
        <f t="shared" si="8"/>
        <v/>
      </c>
      <c r="AB12" t="str">
        <f>COUNTIFS(AC12:AC$596,AC12)&amp;AC12</f>
        <v>585</v>
      </c>
      <c r="AC12" t="str">
        <f t="shared" si="9"/>
        <v/>
      </c>
      <c r="AD12" t="str">
        <f>COUNTIFS(AC$2:AC12,AC12)&amp;AC12</f>
        <v>11</v>
      </c>
      <c r="AE12" t="str">
        <f t="shared" si="10"/>
        <v/>
      </c>
      <c r="AF12" t="str">
        <f t="shared" si="11"/>
        <v>..</v>
      </c>
      <c r="AG12" s="28" t="str">
        <f t="shared" si="12"/>
        <v/>
      </c>
      <c r="AH12" s="28" t="str">
        <f t="shared" si="13"/>
        <v/>
      </c>
      <c r="AI12" t="str">
        <f t="shared" si="0"/>
        <v/>
      </c>
      <c r="AJ12" t="str">
        <f t="shared" si="14"/>
        <v/>
      </c>
      <c r="AK12" t="str">
        <f t="shared" si="15"/>
        <v/>
      </c>
      <c r="AL12" t="str">
        <f t="shared" si="16"/>
        <v/>
      </c>
      <c r="AM12" t="str">
        <f t="shared" si="1"/>
        <v/>
      </c>
      <c r="AN12" t="str">
        <f t="shared" si="17"/>
        <v/>
      </c>
      <c r="AO12" t="str">
        <f t="shared" si="18"/>
        <v/>
      </c>
      <c r="AP12" t="str">
        <f t="shared" si="19"/>
        <v/>
      </c>
      <c r="AQ12" t="str">
        <f t="shared" si="2"/>
        <v/>
      </c>
      <c r="AR12" t="str">
        <f t="shared" si="20"/>
        <v/>
      </c>
      <c r="AS12" t="str">
        <f t="shared" si="21"/>
        <v/>
      </c>
      <c r="AT12" t="str">
        <f t="shared" si="22"/>
        <v/>
      </c>
      <c r="AU12" s="25" t="str">
        <f t="shared" si="23"/>
        <v/>
      </c>
      <c r="AW12">
        <v>11</v>
      </c>
      <c r="AX12" t="s">
        <v>412</v>
      </c>
      <c r="AY12" t="s">
        <v>412</v>
      </c>
      <c r="BA12">
        <f>'REGISTER SK'!F15</f>
        <v>0</v>
      </c>
    </row>
    <row r="13" spans="1:53" x14ac:dyDescent="0.35">
      <c r="A13" s="18">
        <v>12</v>
      </c>
      <c r="B13" s="36" t="s">
        <v>379</v>
      </c>
      <c r="C13" s="18" t="str">
        <f>IF(G13="","",IF(G13="Umum",G13,VLOOKUP(F13,'Data Induk Pegawai'!B:AE,4,FALSE)))</f>
        <v/>
      </c>
      <c r="D13" s="19" t="str">
        <f>IF('REGISTER SK'!A16="","",IF('REGISTER SK'!B16=0,D12,'REGISTER SK'!B16))</f>
        <v/>
      </c>
      <c r="E13" s="19" t="str">
        <f t="shared" si="3"/>
        <v/>
      </c>
      <c r="F13" s="29"/>
      <c r="G13" s="29"/>
      <c r="H13" s="31" t="str">
        <f>IF(F13="","",VLOOKUP(F13,'Data Induk Pegawai'!B:U,2,FALSE))</f>
        <v/>
      </c>
      <c r="I13" s="19" t="str">
        <f>IF('REGISTER SK'!C16="","",'REGISTER SK'!C16)</f>
        <v/>
      </c>
      <c r="J13" s="125"/>
      <c r="K13" s="125"/>
      <c r="L13" s="26" t="str">
        <f>IF('REGISTER SK'!D16="","",'REGISTER SK'!D16)</f>
        <v/>
      </c>
      <c r="M13" s="26" t="str">
        <f>IF('REGISTER SK'!E16="","",'REGISTER SK'!E16)</f>
        <v/>
      </c>
      <c r="N13" s="31" t="str">
        <f>IF(G13="","",IF(OR(G13="GTT",G13="PTT"),"--",VLOOKUP(F13,'Data Induk Pegawai'!B:AE,4,FALSE)))</f>
        <v/>
      </c>
      <c r="O13" s="18" t="s">
        <v>260</v>
      </c>
      <c r="P13" s="31" t="str">
        <f>IF(G13="","",VLOOKUP(F13,'Data Induk Pegawai'!B:AE,7,FALSE))</f>
        <v/>
      </c>
      <c r="Q13" s="30"/>
      <c r="R13" s="26" t="str">
        <f>IF(G13="","","Nomor "&amp;RIGHT(VLOOKUP(F13,'Data Induk Pegawai'!B:AE,12,FALSE),2)&amp;" Tahun "&amp;MID(VLOOKUP(F13,'Data Induk Pegawai'!B:AE,12,FALSE),5,4))</f>
        <v/>
      </c>
      <c r="S13" s="26" t="str">
        <f>IF(G13="","",VLOOKUP(F13,'Data Induk Pegawai'!B:AE,11,FALSE))</f>
        <v/>
      </c>
      <c r="T13" s="56"/>
      <c r="U13" s="18" t="str">
        <f t="shared" si="4"/>
        <v/>
      </c>
      <c r="V13" s="30"/>
      <c r="W13" s="18" t="str">
        <f t="shared" si="5"/>
        <v/>
      </c>
      <c r="X13" s="16"/>
      <c r="Y13" t="str">
        <f t="shared" si="6"/>
        <v/>
      </c>
      <c r="Z13" t="str">
        <f t="shared" si="7"/>
        <v/>
      </c>
      <c r="AA13" t="str">
        <f t="shared" si="8"/>
        <v/>
      </c>
      <c r="AB13" t="str">
        <f>COUNTIFS(AC13:AC$596,AC13)&amp;AC13</f>
        <v>584</v>
      </c>
      <c r="AC13" t="str">
        <f t="shared" si="9"/>
        <v/>
      </c>
      <c r="AD13" t="str">
        <f>COUNTIFS(AC$2:AC13,AC13)&amp;AC13</f>
        <v>12</v>
      </c>
      <c r="AE13" t="str">
        <f t="shared" si="10"/>
        <v/>
      </c>
      <c r="AF13" t="str">
        <f t="shared" si="11"/>
        <v>..</v>
      </c>
      <c r="AG13" s="28" t="str">
        <f t="shared" si="12"/>
        <v/>
      </c>
      <c r="AH13" s="28" t="str">
        <f t="shared" si="13"/>
        <v/>
      </c>
      <c r="AI13" t="str">
        <f t="shared" si="0"/>
        <v/>
      </c>
      <c r="AJ13" t="str">
        <f t="shared" si="14"/>
        <v/>
      </c>
      <c r="AK13" t="str">
        <f t="shared" si="15"/>
        <v/>
      </c>
      <c r="AL13" t="str">
        <f t="shared" si="16"/>
        <v/>
      </c>
      <c r="AM13" t="str">
        <f t="shared" si="1"/>
        <v/>
      </c>
      <c r="AN13" t="str">
        <f t="shared" si="17"/>
        <v/>
      </c>
      <c r="AO13" t="str">
        <f t="shared" si="18"/>
        <v/>
      </c>
      <c r="AP13" t="str">
        <f t="shared" si="19"/>
        <v/>
      </c>
      <c r="AQ13" t="str">
        <f t="shared" si="2"/>
        <v/>
      </c>
      <c r="AR13" t="str">
        <f t="shared" si="20"/>
        <v/>
      </c>
      <c r="AS13" t="str">
        <f t="shared" si="21"/>
        <v/>
      </c>
      <c r="AT13" t="str">
        <f t="shared" si="22"/>
        <v/>
      </c>
      <c r="AU13" s="25" t="str">
        <f t="shared" si="23"/>
        <v/>
      </c>
      <c r="AW13">
        <v>0</v>
      </c>
      <c r="AX13" t="s">
        <v>413</v>
      </c>
      <c r="AY13" t="s">
        <v>422</v>
      </c>
      <c r="BA13">
        <f>'REGISTER SK'!F16</f>
        <v>0</v>
      </c>
    </row>
    <row r="14" spans="1:53" x14ac:dyDescent="0.35">
      <c r="A14" s="18">
        <v>13</v>
      </c>
      <c r="B14" s="36" t="s">
        <v>379</v>
      </c>
      <c r="C14" s="18" t="str">
        <f>IF(G14="","",IF(G14="Umum",G14,VLOOKUP(F14,'Data Induk Pegawai'!B:AE,4,FALSE)))</f>
        <v/>
      </c>
      <c r="D14" s="19" t="str">
        <f>IF('REGISTER SK'!A17="","",IF('REGISTER SK'!B17=0,D13,'REGISTER SK'!B17))</f>
        <v/>
      </c>
      <c r="E14" s="19" t="str">
        <f t="shared" si="3"/>
        <v/>
      </c>
      <c r="F14" s="29"/>
      <c r="G14" s="29"/>
      <c r="H14" s="31" t="str">
        <f>IF(F14="","",VLOOKUP(F14,'Data Induk Pegawai'!B:U,2,FALSE))</f>
        <v/>
      </c>
      <c r="I14" s="19" t="str">
        <f>IF('REGISTER SK'!C17="","",'REGISTER SK'!C17)</f>
        <v/>
      </c>
      <c r="J14" s="125"/>
      <c r="K14" s="125"/>
      <c r="L14" s="26" t="str">
        <f>IF('REGISTER SK'!D17="","",'REGISTER SK'!D17)</f>
        <v/>
      </c>
      <c r="M14" s="26" t="str">
        <f>IF('REGISTER SK'!E17="","",'REGISTER SK'!E17)</f>
        <v/>
      </c>
      <c r="N14" s="31" t="str">
        <f>IF(G14="","",IF(OR(G14="GTT",G14="PTT"),"--",VLOOKUP(F14,'Data Induk Pegawai'!B:AE,4,FALSE)))</f>
        <v/>
      </c>
      <c r="O14" s="18" t="s">
        <v>262</v>
      </c>
      <c r="P14" s="31" t="str">
        <f>IF(G14="","",VLOOKUP(F14,'Data Induk Pegawai'!B:AE,7,FALSE))</f>
        <v/>
      </c>
      <c r="Q14" s="30"/>
      <c r="R14" s="26" t="str">
        <f>IF(G14="","","Nomor "&amp;RIGHT(VLOOKUP(F14,'Data Induk Pegawai'!B:AE,12,FALSE),2)&amp;" Tahun "&amp;MID(VLOOKUP(F14,'Data Induk Pegawai'!B:AE,12,FALSE),5,4))</f>
        <v/>
      </c>
      <c r="S14" s="26" t="str">
        <f>IF(G14="","",VLOOKUP(F14,'Data Induk Pegawai'!B:AE,11,FALSE))</f>
        <v/>
      </c>
      <c r="T14" s="56"/>
      <c r="U14" s="18" t="str">
        <f t="shared" si="4"/>
        <v/>
      </c>
      <c r="V14" s="30"/>
      <c r="W14" s="18" t="str">
        <f t="shared" si="5"/>
        <v/>
      </c>
      <c r="X14" s="16"/>
      <c r="Y14" t="str">
        <f t="shared" si="6"/>
        <v/>
      </c>
      <c r="Z14" t="str">
        <f t="shared" si="7"/>
        <v/>
      </c>
      <c r="AA14" t="str">
        <f t="shared" si="8"/>
        <v/>
      </c>
      <c r="AB14" t="str">
        <f>COUNTIFS(AC14:AC$596,AC14)&amp;AC14</f>
        <v>583</v>
      </c>
      <c r="AC14" t="str">
        <f t="shared" si="9"/>
        <v/>
      </c>
      <c r="AD14" t="str">
        <f>COUNTIFS(AC$2:AC14,AC14)&amp;AC14</f>
        <v>13</v>
      </c>
      <c r="AE14" t="str">
        <f t="shared" si="10"/>
        <v/>
      </c>
      <c r="AF14" t="str">
        <f t="shared" si="11"/>
        <v>..</v>
      </c>
      <c r="AG14" s="28" t="str">
        <f t="shared" si="12"/>
        <v/>
      </c>
      <c r="AH14" s="28" t="str">
        <f t="shared" si="13"/>
        <v/>
      </c>
      <c r="AI14" t="str">
        <f t="shared" si="0"/>
        <v/>
      </c>
      <c r="AJ14" t="str">
        <f t="shared" si="14"/>
        <v/>
      </c>
      <c r="AK14" t="str">
        <f t="shared" si="15"/>
        <v/>
      </c>
      <c r="AL14" t="str">
        <f t="shared" si="16"/>
        <v/>
      </c>
      <c r="AM14" t="str">
        <f t="shared" si="1"/>
        <v/>
      </c>
      <c r="AN14" t="str">
        <f t="shared" si="17"/>
        <v/>
      </c>
      <c r="AO14" t="str">
        <f t="shared" si="18"/>
        <v/>
      </c>
      <c r="AP14" t="str">
        <f t="shared" si="19"/>
        <v/>
      </c>
      <c r="AQ14" t="str">
        <f t="shared" si="2"/>
        <v/>
      </c>
      <c r="AR14" t="str">
        <f t="shared" si="20"/>
        <v/>
      </c>
      <c r="AS14" t="str">
        <f t="shared" si="21"/>
        <v/>
      </c>
      <c r="AT14" t="str">
        <f t="shared" si="22"/>
        <v/>
      </c>
      <c r="AU14" s="25" t="str">
        <f t="shared" si="23"/>
        <v/>
      </c>
      <c r="AW14">
        <v>1</v>
      </c>
      <c r="AX14" t="s">
        <v>414</v>
      </c>
      <c r="AY14" t="s">
        <v>414</v>
      </c>
      <c r="BA14">
        <f>'REGISTER SK'!F17</f>
        <v>0</v>
      </c>
    </row>
    <row r="15" spans="1:53" x14ac:dyDescent="0.35">
      <c r="A15" s="18">
        <v>14</v>
      </c>
      <c r="B15" s="36" t="s">
        <v>379</v>
      </c>
      <c r="C15" s="18" t="str">
        <f>IF(G15="","",IF(G15="Umum",G15,VLOOKUP(F15,'Data Induk Pegawai'!B:AE,4,FALSE)))</f>
        <v/>
      </c>
      <c r="D15" s="19" t="str">
        <f>IF('REGISTER SK'!A18="","",IF('REGISTER SK'!B18=0,D14,'REGISTER SK'!B18))</f>
        <v/>
      </c>
      <c r="E15" s="19" t="str">
        <f t="shared" si="3"/>
        <v/>
      </c>
      <c r="F15" s="29"/>
      <c r="G15" s="29"/>
      <c r="H15" s="31" t="str">
        <f>IF(F15="","",VLOOKUP(F15,'Data Induk Pegawai'!B:U,2,FALSE))</f>
        <v/>
      </c>
      <c r="I15" s="19" t="str">
        <f>IF('REGISTER SK'!C18="","",'REGISTER SK'!C18)</f>
        <v/>
      </c>
      <c r="J15" s="125"/>
      <c r="K15" s="125"/>
      <c r="L15" s="26" t="str">
        <f>IF('REGISTER SK'!D18="","",'REGISTER SK'!D18)</f>
        <v/>
      </c>
      <c r="M15" s="26" t="str">
        <f>IF('REGISTER SK'!E18="","",'REGISTER SK'!E18)</f>
        <v/>
      </c>
      <c r="N15" s="31" t="str">
        <f>IF(G15="","",IF(OR(G15="GTT",G15="PTT"),"--",VLOOKUP(F15,'Data Induk Pegawai'!B:AE,4,FALSE)))</f>
        <v/>
      </c>
      <c r="O15" s="18" t="s">
        <v>264</v>
      </c>
      <c r="P15" s="31" t="str">
        <f>IF(G15="","",VLOOKUP(F15,'Data Induk Pegawai'!B:AE,7,FALSE))</f>
        <v/>
      </c>
      <c r="Q15" s="30"/>
      <c r="R15" s="26" t="str">
        <f>IF(G15="","","Nomor "&amp;RIGHT(VLOOKUP(F15,'Data Induk Pegawai'!B:AE,12,FALSE),2)&amp;" Tahun "&amp;MID(VLOOKUP(F15,'Data Induk Pegawai'!B:AE,12,FALSE),5,4))</f>
        <v/>
      </c>
      <c r="S15" s="26" t="str">
        <f>IF(G15="","",VLOOKUP(F15,'Data Induk Pegawai'!B:AE,11,FALSE))</f>
        <v/>
      </c>
      <c r="T15" s="56"/>
      <c r="U15" s="18" t="str">
        <f t="shared" si="4"/>
        <v/>
      </c>
      <c r="V15" s="30"/>
      <c r="W15" s="18" t="str">
        <f t="shared" si="5"/>
        <v/>
      </c>
      <c r="X15" s="16"/>
      <c r="Y15" t="str">
        <f t="shared" si="6"/>
        <v/>
      </c>
      <c r="Z15" t="str">
        <f t="shared" si="7"/>
        <v/>
      </c>
      <c r="AA15" t="str">
        <f t="shared" si="8"/>
        <v/>
      </c>
      <c r="AB15" t="str">
        <f>COUNTIFS(AC15:AC$596,AC15)&amp;AC15</f>
        <v>582</v>
      </c>
      <c r="AC15" t="str">
        <f t="shared" si="9"/>
        <v/>
      </c>
      <c r="AD15" t="str">
        <f>COUNTIFS(AC$2:AC15,AC15)&amp;AC15</f>
        <v>14</v>
      </c>
      <c r="AE15" t="str">
        <f t="shared" si="10"/>
        <v/>
      </c>
      <c r="AF15" t="str">
        <f t="shared" si="11"/>
        <v>..</v>
      </c>
      <c r="AG15" s="28" t="str">
        <f t="shared" si="12"/>
        <v/>
      </c>
      <c r="AH15" s="28" t="str">
        <f t="shared" si="13"/>
        <v/>
      </c>
      <c r="AI15" t="str">
        <f t="shared" si="0"/>
        <v/>
      </c>
      <c r="AJ15" t="str">
        <f t="shared" si="14"/>
        <v/>
      </c>
      <c r="AK15" t="str">
        <f t="shared" si="15"/>
        <v/>
      </c>
      <c r="AL15" t="str">
        <f t="shared" si="16"/>
        <v/>
      </c>
      <c r="AM15" t="str">
        <f t="shared" si="1"/>
        <v/>
      </c>
      <c r="AN15" t="str">
        <f t="shared" si="17"/>
        <v/>
      </c>
      <c r="AO15" t="str">
        <f t="shared" si="18"/>
        <v/>
      </c>
      <c r="AP15" t="str">
        <f t="shared" si="19"/>
        <v/>
      </c>
      <c r="AQ15" t="str">
        <f t="shared" si="2"/>
        <v/>
      </c>
      <c r="AR15" t="str">
        <f t="shared" si="20"/>
        <v/>
      </c>
      <c r="AS15" t="str">
        <f t="shared" si="21"/>
        <v/>
      </c>
      <c r="AT15" t="str">
        <f t="shared" si="22"/>
        <v/>
      </c>
      <c r="AU15" s="25" t="str">
        <f t="shared" si="23"/>
        <v/>
      </c>
      <c r="AW15">
        <v>2</v>
      </c>
      <c r="AX15" t="s">
        <v>415</v>
      </c>
      <c r="AY15" t="s">
        <v>415</v>
      </c>
      <c r="BA15">
        <f>'REGISTER SK'!F18</f>
        <v>0</v>
      </c>
    </row>
    <row r="16" spans="1:53" x14ac:dyDescent="0.35">
      <c r="A16" s="18">
        <v>15</v>
      </c>
      <c r="B16" s="36" t="s">
        <v>379</v>
      </c>
      <c r="C16" s="18" t="str">
        <f>IF(G16="","",IF(G16="Umum",G16,VLOOKUP(F16,'Data Induk Pegawai'!B:AE,4,FALSE)))</f>
        <v/>
      </c>
      <c r="D16" s="19" t="str">
        <f>IF('REGISTER SK'!A19="","",IF('REGISTER SK'!B19=0,D15,'REGISTER SK'!B19))</f>
        <v/>
      </c>
      <c r="E16" s="19" t="str">
        <f t="shared" si="3"/>
        <v/>
      </c>
      <c r="F16" s="29"/>
      <c r="G16" s="29"/>
      <c r="H16" s="31" t="str">
        <f>IF(F16="","",VLOOKUP(F16,'Data Induk Pegawai'!B:U,2,FALSE))</f>
        <v/>
      </c>
      <c r="I16" s="19" t="str">
        <f>IF('REGISTER SK'!C19="","",'REGISTER SK'!C19)</f>
        <v/>
      </c>
      <c r="J16" s="125"/>
      <c r="K16" s="125"/>
      <c r="L16" s="26" t="str">
        <f>IF('REGISTER SK'!D19="","",'REGISTER SK'!D19)</f>
        <v/>
      </c>
      <c r="M16" s="26" t="str">
        <f>IF('REGISTER SK'!E19="","",'REGISTER SK'!E19)</f>
        <v/>
      </c>
      <c r="N16" s="31" t="str">
        <f>IF(G16="","",IF(OR(G16="GTT",G16="PTT"),"--",VLOOKUP(F16,'Data Induk Pegawai'!B:AE,4,FALSE)))</f>
        <v/>
      </c>
      <c r="O16" s="18" t="s">
        <v>265</v>
      </c>
      <c r="P16" s="31" t="str">
        <f>IF(G16="","",VLOOKUP(F16,'Data Induk Pegawai'!B:AE,7,FALSE))</f>
        <v/>
      </c>
      <c r="Q16" s="30"/>
      <c r="R16" s="26" t="str">
        <f>IF(G16="","","Nomor "&amp;RIGHT(VLOOKUP(F16,'Data Induk Pegawai'!B:AE,12,FALSE),2)&amp;" Tahun "&amp;MID(VLOOKUP(F16,'Data Induk Pegawai'!B:AE,12,FALSE),5,4))</f>
        <v/>
      </c>
      <c r="S16" s="26" t="str">
        <f>IF(G16="","",VLOOKUP(F16,'Data Induk Pegawai'!B:AE,11,FALSE))</f>
        <v/>
      </c>
      <c r="T16" s="56"/>
      <c r="U16" s="18" t="str">
        <f t="shared" si="4"/>
        <v/>
      </c>
      <c r="V16" s="30"/>
      <c r="W16" s="18" t="str">
        <f t="shared" si="5"/>
        <v/>
      </c>
      <c r="X16" s="16"/>
      <c r="Y16" t="str">
        <f t="shared" si="6"/>
        <v/>
      </c>
      <c r="Z16" t="str">
        <f t="shared" si="7"/>
        <v/>
      </c>
      <c r="AA16" t="str">
        <f t="shared" si="8"/>
        <v/>
      </c>
      <c r="AB16" t="str">
        <f>COUNTIFS(AC16:AC$596,AC16)&amp;AC16</f>
        <v>581</v>
      </c>
      <c r="AC16" t="str">
        <f t="shared" si="9"/>
        <v/>
      </c>
      <c r="AD16" t="str">
        <f>COUNTIFS(AC$2:AC16,AC16)&amp;AC16</f>
        <v>15</v>
      </c>
      <c r="AE16" t="str">
        <f t="shared" si="10"/>
        <v/>
      </c>
      <c r="AF16" t="str">
        <f t="shared" si="11"/>
        <v>..</v>
      </c>
      <c r="AG16" s="28" t="str">
        <f t="shared" si="12"/>
        <v/>
      </c>
      <c r="AH16" s="28" t="str">
        <f t="shared" si="13"/>
        <v/>
      </c>
      <c r="AI16" t="str">
        <f t="shared" si="0"/>
        <v/>
      </c>
      <c r="AJ16" t="str">
        <f t="shared" si="14"/>
        <v/>
      </c>
      <c r="AK16" t="str">
        <f t="shared" si="15"/>
        <v/>
      </c>
      <c r="AL16" t="str">
        <f t="shared" si="16"/>
        <v/>
      </c>
      <c r="AM16" t="str">
        <f t="shared" si="1"/>
        <v/>
      </c>
      <c r="AN16" t="str">
        <f t="shared" si="17"/>
        <v/>
      </c>
      <c r="AO16" t="str">
        <f t="shared" si="18"/>
        <v/>
      </c>
      <c r="AP16" t="str">
        <f t="shared" si="19"/>
        <v/>
      </c>
      <c r="AQ16" t="str">
        <f t="shared" si="2"/>
        <v/>
      </c>
      <c r="AR16" t="str">
        <f t="shared" si="20"/>
        <v/>
      </c>
      <c r="AS16" t="str">
        <f t="shared" si="21"/>
        <v/>
      </c>
      <c r="AT16" t="str">
        <f t="shared" si="22"/>
        <v/>
      </c>
      <c r="AU16" s="25" t="str">
        <f t="shared" si="23"/>
        <v/>
      </c>
      <c r="AW16">
        <v>3</v>
      </c>
      <c r="AX16" t="s">
        <v>416</v>
      </c>
      <c r="AY16" t="s">
        <v>416</v>
      </c>
      <c r="BA16">
        <f>'REGISTER SK'!F19</f>
        <v>0</v>
      </c>
    </row>
    <row r="17" spans="1:53" x14ac:dyDescent="0.35">
      <c r="A17" s="18">
        <v>16</v>
      </c>
      <c r="B17" s="36" t="s">
        <v>379</v>
      </c>
      <c r="C17" s="18" t="str">
        <f>IF(G17="","",IF(G17="Umum",G17,VLOOKUP(F17,'Data Induk Pegawai'!B:AE,4,FALSE)))</f>
        <v/>
      </c>
      <c r="D17" s="19" t="str">
        <f>IF('REGISTER SK'!A20="","",IF('REGISTER SK'!B20=0,D16,'REGISTER SK'!B20))</f>
        <v/>
      </c>
      <c r="E17" s="19" t="str">
        <f t="shared" si="3"/>
        <v/>
      </c>
      <c r="F17" s="29"/>
      <c r="G17" s="29"/>
      <c r="H17" s="31" t="str">
        <f>IF(F17="","",VLOOKUP(F17,'Data Induk Pegawai'!B:U,2,FALSE))</f>
        <v/>
      </c>
      <c r="I17" s="19" t="str">
        <f>IF('REGISTER SK'!C20="","",'REGISTER SK'!C20)</f>
        <v/>
      </c>
      <c r="J17" s="125"/>
      <c r="K17" s="125"/>
      <c r="L17" s="26" t="str">
        <f>IF('REGISTER SK'!D20="","",'REGISTER SK'!D20)</f>
        <v/>
      </c>
      <c r="M17" s="26" t="str">
        <f>IF('REGISTER SK'!E20="","",'REGISTER SK'!E20)</f>
        <v/>
      </c>
      <c r="N17" s="31" t="str">
        <f>IF(G17="","",IF(OR(G17="GTT",G17="PTT"),"--",VLOOKUP(F17,'Data Induk Pegawai'!B:AE,4,FALSE)))</f>
        <v/>
      </c>
      <c r="O17" s="18" t="s">
        <v>268</v>
      </c>
      <c r="P17" s="31" t="str">
        <f>IF(G17="","",VLOOKUP(F17,'Data Induk Pegawai'!B:AE,7,FALSE))</f>
        <v/>
      </c>
      <c r="Q17" s="30"/>
      <c r="R17" s="26" t="str">
        <f>IF(G17="","","Nomor "&amp;RIGHT(VLOOKUP(F17,'Data Induk Pegawai'!B:AE,12,FALSE),2)&amp;" Tahun "&amp;MID(VLOOKUP(F17,'Data Induk Pegawai'!B:AE,12,FALSE),5,4))</f>
        <v/>
      </c>
      <c r="S17" s="26" t="str">
        <f>IF(G17="","",VLOOKUP(F17,'Data Induk Pegawai'!B:AE,11,FALSE))</f>
        <v/>
      </c>
      <c r="T17" s="56"/>
      <c r="U17" s="18" t="str">
        <f t="shared" si="4"/>
        <v/>
      </c>
      <c r="V17" s="30"/>
      <c r="W17" s="18" t="str">
        <f t="shared" si="5"/>
        <v/>
      </c>
      <c r="X17" s="16"/>
      <c r="Y17" t="str">
        <f t="shared" si="6"/>
        <v/>
      </c>
      <c r="Z17" t="str">
        <f t="shared" si="7"/>
        <v/>
      </c>
      <c r="AA17" t="str">
        <f t="shared" si="8"/>
        <v/>
      </c>
      <c r="AB17" t="str">
        <f>COUNTIFS(AC17:AC$596,AC17)&amp;AC17</f>
        <v>580</v>
      </c>
      <c r="AC17" t="str">
        <f t="shared" si="9"/>
        <v/>
      </c>
      <c r="AD17" t="str">
        <f>COUNTIFS(AC$2:AC17,AC17)&amp;AC17</f>
        <v>16</v>
      </c>
      <c r="AE17" t="str">
        <f t="shared" si="10"/>
        <v/>
      </c>
      <c r="AF17" t="str">
        <f t="shared" si="11"/>
        <v>..</v>
      </c>
      <c r="AG17" s="28" t="str">
        <f t="shared" si="12"/>
        <v/>
      </c>
      <c r="AH17" s="28" t="str">
        <f t="shared" si="13"/>
        <v/>
      </c>
      <c r="AI17" t="str">
        <f t="shared" si="0"/>
        <v/>
      </c>
      <c r="AJ17" t="str">
        <f t="shared" si="14"/>
        <v/>
      </c>
      <c r="AK17" t="str">
        <f t="shared" si="15"/>
        <v/>
      </c>
      <c r="AL17" t="str">
        <f t="shared" si="16"/>
        <v/>
      </c>
      <c r="AM17" t="str">
        <f t="shared" si="1"/>
        <v/>
      </c>
      <c r="AN17" t="str">
        <f t="shared" si="17"/>
        <v/>
      </c>
      <c r="AO17" t="str">
        <f t="shared" si="18"/>
        <v/>
      </c>
      <c r="AP17" t="str">
        <f t="shared" si="19"/>
        <v/>
      </c>
      <c r="AQ17" t="str">
        <f t="shared" si="2"/>
        <v/>
      </c>
      <c r="AR17" t="str">
        <f t="shared" si="20"/>
        <v/>
      </c>
      <c r="AS17" t="str">
        <f t="shared" si="21"/>
        <v/>
      </c>
      <c r="AT17" t="str">
        <f t="shared" si="22"/>
        <v/>
      </c>
      <c r="AU17" s="25" t="str">
        <f t="shared" si="23"/>
        <v/>
      </c>
      <c r="AW17">
        <v>4</v>
      </c>
      <c r="AX17" t="s">
        <v>405</v>
      </c>
      <c r="AY17" t="s">
        <v>405</v>
      </c>
      <c r="BA17">
        <f>'REGISTER SK'!F20</f>
        <v>0</v>
      </c>
    </row>
    <row r="18" spans="1:53" x14ac:dyDescent="0.35">
      <c r="A18" s="18">
        <v>17</v>
      </c>
      <c r="B18" s="36" t="s">
        <v>379</v>
      </c>
      <c r="C18" s="18" t="str">
        <f>IF(G18="","",IF(G18="Umum",G18,VLOOKUP(F18,'Data Induk Pegawai'!B:AE,4,FALSE)))</f>
        <v/>
      </c>
      <c r="D18" s="19" t="str">
        <f>IF('REGISTER SK'!A21="","",IF('REGISTER SK'!B21=0,D17,'REGISTER SK'!B21))</f>
        <v/>
      </c>
      <c r="E18" s="19" t="str">
        <f t="shared" si="3"/>
        <v/>
      </c>
      <c r="F18" s="29"/>
      <c r="G18" s="29"/>
      <c r="H18" s="31" t="str">
        <f>IF(F18="","",VLOOKUP(F18,'Data Induk Pegawai'!B:U,2,FALSE))</f>
        <v/>
      </c>
      <c r="I18" s="19" t="str">
        <f>IF('REGISTER SK'!C21="","",'REGISTER SK'!C21)</f>
        <v/>
      </c>
      <c r="J18" s="125"/>
      <c r="K18" s="125"/>
      <c r="L18" s="26" t="str">
        <f>IF('REGISTER SK'!D21="","",'REGISTER SK'!D21)</f>
        <v/>
      </c>
      <c r="M18" s="26" t="str">
        <f>IF('REGISTER SK'!E21="","",'REGISTER SK'!E21)</f>
        <v/>
      </c>
      <c r="N18" s="31" t="str">
        <f>IF(G18="","",IF(OR(G18="GTT",G18="PTT"),"--",VLOOKUP(F18,'Data Induk Pegawai'!B:AE,4,FALSE)))</f>
        <v/>
      </c>
      <c r="O18" s="18" t="s">
        <v>269</v>
      </c>
      <c r="P18" s="31" t="str">
        <f>IF(G18="","",VLOOKUP(F18,'Data Induk Pegawai'!B:AE,7,FALSE))</f>
        <v/>
      </c>
      <c r="Q18" s="30"/>
      <c r="R18" s="26" t="str">
        <f>IF(G18="","","Nomor "&amp;RIGHT(VLOOKUP(F18,'Data Induk Pegawai'!B:AE,12,FALSE),2)&amp;" Tahun "&amp;MID(VLOOKUP(F18,'Data Induk Pegawai'!B:AE,12,FALSE),5,4))</f>
        <v/>
      </c>
      <c r="S18" s="26" t="str">
        <f>IF(G18="","",VLOOKUP(F18,'Data Induk Pegawai'!B:AE,11,FALSE))</f>
        <v/>
      </c>
      <c r="T18" s="56"/>
      <c r="U18" s="18" t="str">
        <f t="shared" si="4"/>
        <v/>
      </c>
      <c r="V18" s="30"/>
      <c r="W18" s="18" t="str">
        <f t="shared" si="5"/>
        <v/>
      </c>
      <c r="X18" s="16"/>
      <c r="Y18" t="str">
        <f t="shared" si="6"/>
        <v/>
      </c>
      <c r="Z18" t="str">
        <f t="shared" si="7"/>
        <v/>
      </c>
      <c r="AA18" t="str">
        <f t="shared" si="8"/>
        <v/>
      </c>
      <c r="AB18" t="str">
        <f>COUNTIFS(AC18:AC$596,AC18)&amp;AC18</f>
        <v>579</v>
      </c>
      <c r="AC18" t="str">
        <f t="shared" si="9"/>
        <v/>
      </c>
      <c r="AD18" t="str">
        <f>COUNTIFS(AC$2:AC18,AC18)&amp;AC18</f>
        <v>17</v>
      </c>
      <c r="AE18" t="str">
        <f t="shared" si="10"/>
        <v/>
      </c>
      <c r="AF18" t="str">
        <f t="shared" si="11"/>
        <v>..</v>
      </c>
      <c r="AG18" s="28" t="str">
        <f t="shared" si="12"/>
        <v/>
      </c>
      <c r="AH18" s="28" t="str">
        <f t="shared" si="13"/>
        <v/>
      </c>
      <c r="AI18" t="str">
        <f t="shared" si="0"/>
        <v/>
      </c>
      <c r="AJ18" t="str">
        <f t="shared" si="14"/>
        <v/>
      </c>
      <c r="AK18" t="str">
        <f t="shared" si="15"/>
        <v/>
      </c>
      <c r="AL18" t="str">
        <f t="shared" si="16"/>
        <v/>
      </c>
      <c r="AM18" t="str">
        <f t="shared" si="1"/>
        <v/>
      </c>
      <c r="AN18" t="str">
        <f t="shared" si="17"/>
        <v/>
      </c>
      <c r="AO18" t="str">
        <f t="shared" si="18"/>
        <v/>
      </c>
      <c r="AP18" t="str">
        <f t="shared" si="19"/>
        <v/>
      </c>
      <c r="AQ18" t="str">
        <f t="shared" si="2"/>
        <v/>
      </c>
      <c r="AR18" t="str">
        <f t="shared" si="20"/>
        <v/>
      </c>
      <c r="AS18" t="str">
        <f t="shared" si="21"/>
        <v/>
      </c>
      <c r="AT18" t="str">
        <f t="shared" si="22"/>
        <v/>
      </c>
      <c r="AU18" s="25" t="str">
        <f t="shared" si="23"/>
        <v/>
      </c>
      <c r="AW18">
        <v>5</v>
      </c>
      <c r="AX18" t="s">
        <v>417</v>
      </c>
      <c r="AY18" t="s">
        <v>417</v>
      </c>
      <c r="BA18">
        <f>'REGISTER SK'!F21</f>
        <v>0</v>
      </c>
    </row>
    <row r="19" spans="1:53" x14ac:dyDescent="0.35">
      <c r="A19" s="18">
        <v>18</v>
      </c>
      <c r="B19" s="36" t="s">
        <v>379</v>
      </c>
      <c r="C19" s="18" t="str">
        <f>IF(G19="","",IF(G19="Umum",G19,VLOOKUP(F19,'Data Induk Pegawai'!B:AE,4,FALSE)))</f>
        <v/>
      </c>
      <c r="D19" s="19" t="str">
        <f>IF('REGISTER SK'!A22="","",IF('REGISTER SK'!B22=0,D18,'REGISTER SK'!B22))</f>
        <v/>
      </c>
      <c r="E19" s="19" t="str">
        <f t="shared" si="3"/>
        <v/>
      </c>
      <c r="F19" s="29"/>
      <c r="G19" s="29"/>
      <c r="H19" s="31" t="str">
        <f>IF(F19="","",VLOOKUP(F19,'Data Induk Pegawai'!B:U,2,FALSE))</f>
        <v/>
      </c>
      <c r="I19" s="19" t="str">
        <f>IF('REGISTER SK'!C22="","",'REGISTER SK'!C22)</f>
        <v/>
      </c>
      <c r="J19" s="125"/>
      <c r="K19" s="125"/>
      <c r="L19" s="26" t="str">
        <f>IF('REGISTER SK'!D22="","",'REGISTER SK'!D22)</f>
        <v/>
      </c>
      <c r="M19" s="26" t="str">
        <f>IF('REGISTER SK'!E22="","",'REGISTER SK'!E22)</f>
        <v/>
      </c>
      <c r="N19" s="31" t="str">
        <f>IF(G19="","",IF(OR(G19="GTT",G19="PTT"),"--",VLOOKUP(F19,'Data Induk Pegawai'!B:AE,4,FALSE)))</f>
        <v/>
      </c>
      <c r="O19" s="18" t="s">
        <v>270</v>
      </c>
      <c r="P19" s="31" t="str">
        <f>IF(G19="","",VLOOKUP(F19,'Data Induk Pegawai'!B:AE,7,FALSE))</f>
        <v/>
      </c>
      <c r="Q19" s="30"/>
      <c r="R19" s="26" t="str">
        <f>IF(G19="","","Nomor "&amp;RIGHT(VLOOKUP(F19,'Data Induk Pegawai'!B:AE,12,FALSE),2)&amp;" Tahun "&amp;MID(VLOOKUP(F19,'Data Induk Pegawai'!B:AE,12,FALSE),5,4))</f>
        <v/>
      </c>
      <c r="S19" s="26" t="str">
        <f>IF(G19="","",VLOOKUP(F19,'Data Induk Pegawai'!B:AE,11,FALSE))</f>
        <v/>
      </c>
      <c r="T19" s="56"/>
      <c r="U19" s="18" t="str">
        <f t="shared" si="4"/>
        <v/>
      </c>
      <c r="V19" s="30"/>
      <c r="W19" s="18" t="str">
        <f t="shared" si="5"/>
        <v/>
      </c>
      <c r="X19" s="16"/>
      <c r="Y19" t="str">
        <f t="shared" si="6"/>
        <v/>
      </c>
      <c r="Z19" t="str">
        <f t="shared" si="7"/>
        <v/>
      </c>
      <c r="AA19" t="str">
        <f t="shared" si="8"/>
        <v/>
      </c>
      <c r="AB19" t="str">
        <f>COUNTIFS(AC19:AC$596,AC19)&amp;AC19</f>
        <v>578</v>
      </c>
      <c r="AC19" t="str">
        <f t="shared" si="9"/>
        <v/>
      </c>
      <c r="AD19" t="str">
        <f>COUNTIFS(AC$2:AC19,AC19)&amp;AC19</f>
        <v>18</v>
      </c>
      <c r="AE19" t="str">
        <f t="shared" si="10"/>
        <v/>
      </c>
      <c r="AF19" t="str">
        <f t="shared" si="11"/>
        <v>..</v>
      </c>
      <c r="AG19" s="28" t="str">
        <f t="shared" si="12"/>
        <v/>
      </c>
      <c r="AH19" s="28" t="str">
        <f t="shared" si="13"/>
        <v/>
      </c>
      <c r="AI19" t="str">
        <f t="shared" si="0"/>
        <v/>
      </c>
      <c r="AJ19" t="str">
        <f t="shared" si="14"/>
        <v/>
      </c>
      <c r="AK19" t="str">
        <f t="shared" si="15"/>
        <v/>
      </c>
      <c r="AL19" t="str">
        <f t="shared" si="16"/>
        <v/>
      </c>
      <c r="AM19" t="str">
        <f t="shared" si="1"/>
        <v/>
      </c>
      <c r="AN19" t="str">
        <f t="shared" si="17"/>
        <v/>
      </c>
      <c r="AO19" t="str">
        <f t="shared" si="18"/>
        <v/>
      </c>
      <c r="AP19" t="str">
        <f t="shared" si="19"/>
        <v/>
      </c>
      <c r="AQ19" t="str">
        <f t="shared" si="2"/>
        <v/>
      </c>
      <c r="AR19" t="str">
        <f t="shared" si="20"/>
        <v/>
      </c>
      <c r="AS19" t="str">
        <f t="shared" si="21"/>
        <v/>
      </c>
      <c r="AT19" t="str">
        <f t="shared" si="22"/>
        <v/>
      </c>
      <c r="AU19" s="25" t="str">
        <f t="shared" si="23"/>
        <v/>
      </c>
      <c r="AW19">
        <v>6</v>
      </c>
      <c r="AX19" t="s">
        <v>418</v>
      </c>
      <c r="AY19" t="s">
        <v>418</v>
      </c>
      <c r="BA19">
        <f>'REGISTER SK'!F22</f>
        <v>0</v>
      </c>
    </row>
    <row r="20" spans="1:53" x14ac:dyDescent="0.35">
      <c r="A20" s="18">
        <v>19</v>
      </c>
      <c r="B20" s="36" t="s">
        <v>379</v>
      </c>
      <c r="C20" s="18" t="str">
        <f>IF(G20="","",IF(G20="Umum",G20,VLOOKUP(F20,'Data Induk Pegawai'!B:AE,4,FALSE)))</f>
        <v/>
      </c>
      <c r="D20" s="19" t="str">
        <f>IF('REGISTER SK'!A23="","",IF('REGISTER SK'!B23=0,D19,'REGISTER SK'!B23))</f>
        <v/>
      </c>
      <c r="E20" s="19" t="str">
        <f t="shared" si="3"/>
        <v/>
      </c>
      <c r="F20" s="29"/>
      <c r="G20" s="29"/>
      <c r="H20" s="31" t="str">
        <f>IF(F20="","",VLOOKUP(F20,'Data Induk Pegawai'!B:U,2,FALSE))</f>
        <v/>
      </c>
      <c r="I20" s="19" t="str">
        <f>IF('REGISTER SK'!C23="","",'REGISTER SK'!C23)</f>
        <v/>
      </c>
      <c r="J20" s="125"/>
      <c r="K20" s="125"/>
      <c r="L20" s="26" t="str">
        <f>IF('REGISTER SK'!D23="","",'REGISTER SK'!D23)</f>
        <v/>
      </c>
      <c r="M20" s="26" t="str">
        <f>IF('REGISTER SK'!E23="","",'REGISTER SK'!E23)</f>
        <v/>
      </c>
      <c r="N20" s="31" t="str">
        <f>IF(G20="","",IF(OR(G20="GTT",G20="PTT"),"--",VLOOKUP(F20,'Data Induk Pegawai'!B:AE,4,FALSE)))</f>
        <v/>
      </c>
      <c r="O20" s="18" t="e">
        <v>#N/A</v>
      </c>
      <c r="P20" s="31" t="str">
        <f>IF(G20="","",VLOOKUP(F20,'Data Induk Pegawai'!B:AE,7,FALSE))</f>
        <v/>
      </c>
      <c r="Q20" s="30"/>
      <c r="R20" s="26" t="str">
        <f>IF(G20="","","Nomor "&amp;RIGHT(VLOOKUP(F20,'Data Induk Pegawai'!B:AE,12,FALSE),2)&amp;" Tahun "&amp;MID(VLOOKUP(F20,'Data Induk Pegawai'!B:AE,12,FALSE),5,4))</f>
        <v/>
      </c>
      <c r="S20" s="26" t="str">
        <f>IF(G20="","",VLOOKUP(F20,'Data Induk Pegawai'!B:AE,11,FALSE))</f>
        <v/>
      </c>
      <c r="T20" s="56"/>
      <c r="U20" s="18" t="str">
        <f t="shared" si="4"/>
        <v/>
      </c>
      <c r="V20" s="30"/>
      <c r="W20" s="18" t="str">
        <f t="shared" si="5"/>
        <v/>
      </c>
      <c r="X20" s="16"/>
      <c r="Y20" t="str">
        <f t="shared" si="6"/>
        <v/>
      </c>
      <c r="Z20" t="str">
        <f t="shared" si="7"/>
        <v/>
      </c>
      <c r="AA20" t="str">
        <f t="shared" si="8"/>
        <v/>
      </c>
      <c r="AB20" t="str">
        <f>COUNTIFS(AC20:AC$596,AC20)&amp;AC20</f>
        <v>577</v>
      </c>
      <c r="AC20" t="str">
        <f t="shared" si="9"/>
        <v/>
      </c>
      <c r="AD20" t="str">
        <f>COUNTIFS(AC$2:AC20,AC20)&amp;AC20</f>
        <v>19</v>
      </c>
      <c r="AE20" t="str">
        <f t="shared" si="10"/>
        <v/>
      </c>
      <c r="AF20" t="str">
        <f t="shared" si="11"/>
        <v>..</v>
      </c>
      <c r="AG20" s="28" t="str">
        <f t="shared" si="12"/>
        <v/>
      </c>
      <c r="AH20" s="28" t="str">
        <f t="shared" si="13"/>
        <v/>
      </c>
      <c r="AI20" t="str">
        <f t="shared" si="0"/>
        <v/>
      </c>
      <c r="AJ20" t="str">
        <f t="shared" si="14"/>
        <v/>
      </c>
      <c r="AK20" t="str">
        <f t="shared" si="15"/>
        <v/>
      </c>
      <c r="AL20" t="str">
        <f t="shared" si="16"/>
        <v/>
      </c>
      <c r="AM20" t="str">
        <f t="shared" si="1"/>
        <v/>
      </c>
      <c r="AN20" t="str">
        <f t="shared" si="17"/>
        <v/>
      </c>
      <c r="AO20" t="str">
        <f t="shared" si="18"/>
        <v/>
      </c>
      <c r="AP20" t="str">
        <f t="shared" si="19"/>
        <v/>
      </c>
      <c r="AQ20" t="str">
        <f t="shared" si="2"/>
        <v/>
      </c>
      <c r="AR20" t="str">
        <f t="shared" si="20"/>
        <v/>
      </c>
      <c r="AS20" t="str">
        <f t="shared" si="21"/>
        <v/>
      </c>
      <c r="AT20" t="str">
        <f t="shared" si="22"/>
        <v/>
      </c>
      <c r="AU20" s="25" t="str">
        <f t="shared" si="23"/>
        <v/>
      </c>
      <c r="AW20">
        <v>7</v>
      </c>
      <c r="AX20" t="s">
        <v>419</v>
      </c>
      <c r="AY20" t="s">
        <v>419</v>
      </c>
      <c r="BA20">
        <f>'REGISTER SK'!F23</f>
        <v>0</v>
      </c>
    </row>
    <row r="21" spans="1:53" x14ac:dyDescent="0.35">
      <c r="A21" s="18">
        <v>20</v>
      </c>
      <c r="B21" s="36"/>
      <c r="C21" s="18" t="str">
        <f>IF(G21="","",IF(G21="Umum",G21,VLOOKUP(F21,'Data Induk Pegawai'!B:AE,4,FALSE)))</f>
        <v/>
      </c>
      <c r="D21" s="19" t="str">
        <f>IF('REGISTER SK'!A24="","",IF('REGISTER SK'!B24=0,D20,'REGISTER SK'!B24))</f>
        <v/>
      </c>
      <c r="E21" s="19" t="str">
        <f t="shared" si="3"/>
        <v/>
      </c>
      <c r="F21" s="29"/>
      <c r="G21" s="29"/>
      <c r="H21" s="31" t="str">
        <f>IF(F21="","",VLOOKUP(F21,'Data Induk Pegawai'!B:U,2,FALSE))</f>
        <v/>
      </c>
      <c r="I21" s="19" t="str">
        <f>IF('REGISTER SK'!C24="","",'REGISTER SK'!C24)</f>
        <v/>
      </c>
      <c r="J21" s="125"/>
      <c r="K21" s="125"/>
      <c r="L21" s="26" t="str">
        <f>IF('REGISTER SK'!D24="","",'REGISTER SK'!D24)</f>
        <v/>
      </c>
      <c r="M21" s="26" t="str">
        <f>IF('REGISTER SK'!E24="","",'REGISTER SK'!E24)</f>
        <v/>
      </c>
      <c r="N21" s="31" t="str">
        <f>IF(G21="","",IF(OR(G21="GTT",G21="PTT"),"--",VLOOKUP(F21,'Data Induk Pegawai'!B:AE,4,FALSE)))</f>
        <v/>
      </c>
      <c r="O21" s="18" t="s">
        <v>378</v>
      </c>
      <c r="P21" s="31" t="str">
        <f>IF(G21="","",VLOOKUP(F21,'Data Induk Pegawai'!B:AE,7,FALSE))</f>
        <v/>
      </c>
      <c r="Q21" s="30"/>
      <c r="R21" s="26" t="str">
        <f>IF(G21="","","Nomor "&amp;RIGHT(VLOOKUP(F21,'Data Induk Pegawai'!B:AE,12,FALSE),2)&amp;" Tahun "&amp;MID(VLOOKUP(F21,'Data Induk Pegawai'!B:AE,12,FALSE),5,4))</f>
        <v/>
      </c>
      <c r="S21" s="26" t="str">
        <f>IF(G21="","",VLOOKUP(F21,'Data Induk Pegawai'!B:AE,11,FALSE))</f>
        <v/>
      </c>
      <c r="T21" s="56"/>
      <c r="U21" s="18" t="str">
        <f t="shared" si="4"/>
        <v/>
      </c>
      <c r="V21" s="30"/>
      <c r="W21" s="18" t="str">
        <f t="shared" si="5"/>
        <v/>
      </c>
      <c r="X21" s="16"/>
      <c r="Y21" t="str">
        <f t="shared" si="6"/>
        <v/>
      </c>
      <c r="Z21" t="str">
        <f t="shared" si="7"/>
        <v/>
      </c>
      <c r="AA21" t="str">
        <f t="shared" si="8"/>
        <v/>
      </c>
      <c r="AB21" t="str">
        <f>COUNTIFS(AC21:AC$596,AC21)&amp;AC21</f>
        <v>576</v>
      </c>
      <c r="AC21" t="str">
        <f t="shared" si="9"/>
        <v/>
      </c>
      <c r="AD21" t="str">
        <f>COUNTIFS(AC$2:AC21,AC21)&amp;AC21</f>
        <v>20</v>
      </c>
      <c r="AE21" t="str">
        <f t="shared" si="10"/>
        <v/>
      </c>
      <c r="AF21" t="str">
        <f t="shared" si="11"/>
        <v>..</v>
      </c>
      <c r="AG21" s="28" t="str">
        <f t="shared" si="12"/>
        <v/>
      </c>
      <c r="AH21" s="28" t="str">
        <f t="shared" si="13"/>
        <v/>
      </c>
      <c r="AI21" t="str">
        <f t="shared" si="0"/>
        <v/>
      </c>
      <c r="AJ21" t="str">
        <f t="shared" si="14"/>
        <v/>
      </c>
      <c r="AK21" t="str">
        <f t="shared" si="15"/>
        <v/>
      </c>
      <c r="AL21" t="str">
        <f t="shared" si="16"/>
        <v/>
      </c>
      <c r="AM21" t="str">
        <f t="shared" si="1"/>
        <v/>
      </c>
      <c r="AN21" t="str">
        <f t="shared" si="17"/>
        <v/>
      </c>
      <c r="AO21" t="str">
        <f t="shared" si="18"/>
        <v/>
      </c>
      <c r="AP21" t="str">
        <f t="shared" si="19"/>
        <v/>
      </c>
      <c r="AQ21" t="str">
        <f t="shared" si="2"/>
        <v/>
      </c>
      <c r="AR21" t="str">
        <f t="shared" si="20"/>
        <v/>
      </c>
      <c r="AS21" t="str">
        <f t="shared" si="21"/>
        <v/>
      </c>
      <c r="AT21" t="str">
        <f t="shared" si="22"/>
        <v/>
      </c>
      <c r="AU21" s="25" t="str">
        <f t="shared" si="23"/>
        <v/>
      </c>
      <c r="AW21">
        <v>8</v>
      </c>
      <c r="AX21" t="s">
        <v>420</v>
      </c>
      <c r="AY21" t="s">
        <v>420</v>
      </c>
      <c r="BA21">
        <f>'REGISTER SK'!F24</f>
        <v>0</v>
      </c>
    </row>
    <row r="22" spans="1:53" x14ac:dyDescent="0.35">
      <c r="A22" s="18">
        <v>21</v>
      </c>
      <c r="B22" s="36" t="s">
        <v>379</v>
      </c>
      <c r="C22" s="18" t="str">
        <f>IF(G22="","",IF(G22="Umum",G22,VLOOKUP(F22,'Data Induk Pegawai'!B:AE,4,FALSE)))</f>
        <v/>
      </c>
      <c r="D22" s="19" t="str">
        <f>IF('REGISTER SK'!A25="","",IF('REGISTER SK'!B25=0,D21,'REGISTER SK'!B25))</f>
        <v/>
      </c>
      <c r="E22" s="19" t="str">
        <f t="shared" si="3"/>
        <v/>
      </c>
      <c r="F22" s="29"/>
      <c r="G22" s="29"/>
      <c r="H22" s="31" t="str">
        <f>IF(F22="","",VLOOKUP(F22,'Data Induk Pegawai'!B:U,2,FALSE))</f>
        <v/>
      </c>
      <c r="I22" s="19" t="str">
        <f>IF('REGISTER SK'!C25="","",'REGISTER SK'!C25)</f>
        <v/>
      </c>
      <c r="J22" s="125"/>
      <c r="K22" s="125"/>
      <c r="L22" s="26" t="str">
        <f>IF('REGISTER SK'!D25="","",'REGISTER SK'!D25)</f>
        <v/>
      </c>
      <c r="M22" s="26" t="str">
        <f>IF('REGISTER SK'!E25="","",'REGISTER SK'!E25)</f>
        <v/>
      </c>
      <c r="N22" s="31" t="str">
        <f>IF(G22="","",IF(OR(G22="GTT",G22="PTT"),"--",VLOOKUP(F22,'Data Induk Pegawai'!B:AE,4,FALSE)))</f>
        <v/>
      </c>
      <c r="O22" s="18" t="s">
        <v>271</v>
      </c>
      <c r="P22" s="31" t="str">
        <f>IF(G22="","",VLOOKUP(F22,'Data Induk Pegawai'!B:AE,7,FALSE))</f>
        <v/>
      </c>
      <c r="Q22" s="30"/>
      <c r="R22" s="26" t="str">
        <f>IF(G22="","","Nomor "&amp;RIGHT(VLOOKUP(F22,'Data Induk Pegawai'!B:AE,12,FALSE),2)&amp;" Tahun "&amp;MID(VLOOKUP(F22,'Data Induk Pegawai'!B:AE,12,FALSE),5,4))</f>
        <v/>
      </c>
      <c r="S22" s="26" t="str">
        <f>IF(G22="","",VLOOKUP(F22,'Data Induk Pegawai'!B:AE,11,FALSE))</f>
        <v/>
      </c>
      <c r="T22" s="56"/>
      <c r="U22" s="18" t="str">
        <f t="shared" si="4"/>
        <v/>
      </c>
      <c r="V22" s="30"/>
      <c r="W22" s="18" t="str">
        <f t="shared" si="5"/>
        <v/>
      </c>
      <c r="X22" s="16"/>
      <c r="Y22" t="str">
        <f t="shared" si="6"/>
        <v/>
      </c>
      <c r="Z22" t="str">
        <f t="shared" si="7"/>
        <v/>
      </c>
      <c r="AA22" t="str">
        <f t="shared" si="8"/>
        <v/>
      </c>
      <c r="AB22" t="str">
        <f>COUNTIFS(AC22:AC$596,AC22)&amp;AC22</f>
        <v>575</v>
      </c>
      <c r="AC22" t="str">
        <f t="shared" si="9"/>
        <v/>
      </c>
      <c r="AD22" t="str">
        <f>COUNTIFS(AC$2:AC22,AC22)&amp;AC22</f>
        <v>21</v>
      </c>
      <c r="AE22" t="str">
        <f t="shared" si="10"/>
        <v/>
      </c>
      <c r="AF22" t="str">
        <f t="shared" si="11"/>
        <v>..</v>
      </c>
      <c r="AG22" s="28" t="str">
        <f t="shared" si="12"/>
        <v/>
      </c>
      <c r="AH22" s="28" t="str">
        <f t="shared" si="13"/>
        <v/>
      </c>
      <c r="AI22" t="str">
        <f t="shared" si="0"/>
        <v/>
      </c>
      <c r="AJ22" t="str">
        <f t="shared" si="14"/>
        <v/>
      </c>
      <c r="AK22" t="str">
        <f t="shared" si="15"/>
        <v/>
      </c>
      <c r="AL22" t="str">
        <f t="shared" si="16"/>
        <v/>
      </c>
      <c r="AM22" t="str">
        <f t="shared" si="1"/>
        <v/>
      </c>
      <c r="AN22" t="str">
        <f t="shared" si="17"/>
        <v/>
      </c>
      <c r="AO22" t="str">
        <f t="shared" si="18"/>
        <v/>
      </c>
      <c r="AP22" t="str">
        <f t="shared" si="19"/>
        <v/>
      </c>
      <c r="AQ22" t="str">
        <f t="shared" si="2"/>
        <v/>
      </c>
      <c r="AR22" t="str">
        <f t="shared" si="20"/>
        <v/>
      </c>
      <c r="AS22" t="str">
        <f t="shared" si="21"/>
        <v/>
      </c>
      <c r="AT22" t="str">
        <f t="shared" si="22"/>
        <v/>
      </c>
      <c r="AU22" s="25" t="str">
        <f t="shared" si="23"/>
        <v/>
      </c>
      <c r="AW22">
        <v>9</v>
      </c>
      <c r="AX22" t="s">
        <v>410</v>
      </c>
      <c r="AY22" t="s">
        <v>410</v>
      </c>
      <c r="BA22">
        <f>'REGISTER SK'!F25</f>
        <v>0</v>
      </c>
    </row>
    <row r="23" spans="1:53" x14ac:dyDescent="0.35">
      <c r="A23" s="18">
        <v>22</v>
      </c>
      <c r="B23" s="36" t="s">
        <v>379</v>
      </c>
      <c r="C23" s="18" t="str">
        <f>IF(G23="","",IF(G23="Umum",G23,VLOOKUP(F23,'Data Induk Pegawai'!B:AE,4,FALSE)))</f>
        <v/>
      </c>
      <c r="D23" s="19" t="str">
        <f>IF('REGISTER SK'!A26="","",IF('REGISTER SK'!B26=0,D22,'REGISTER SK'!B26))</f>
        <v/>
      </c>
      <c r="E23" s="19" t="str">
        <f t="shared" si="3"/>
        <v/>
      </c>
      <c r="F23" s="29"/>
      <c r="G23" s="29"/>
      <c r="H23" s="31" t="str">
        <f>IF(F23="","",VLOOKUP(F23,'Data Induk Pegawai'!B:U,2,FALSE))</f>
        <v/>
      </c>
      <c r="I23" s="19" t="str">
        <f>IF('REGISTER SK'!C26="","",'REGISTER SK'!C26)</f>
        <v/>
      </c>
      <c r="J23" s="125"/>
      <c r="K23" s="125"/>
      <c r="L23" s="26" t="str">
        <f>IF('REGISTER SK'!D26="","",'REGISTER SK'!D26)</f>
        <v/>
      </c>
      <c r="M23" s="26" t="str">
        <f>IF('REGISTER SK'!E26="","",'REGISTER SK'!E26)</f>
        <v/>
      </c>
      <c r="N23" s="31" t="str">
        <f>IF(G23="","",IF(OR(G23="GTT",G23="PTT"),"--",VLOOKUP(F23,'Data Induk Pegawai'!B:AE,4,FALSE)))</f>
        <v/>
      </c>
      <c r="O23" s="18" t="s">
        <v>272</v>
      </c>
      <c r="P23" s="31" t="str">
        <f>IF(G23="","",VLOOKUP(F23,'Data Induk Pegawai'!B:AE,7,FALSE))</f>
        <v/>
      </c>
      <c r="Q23" s="30"/>
      <c r="R23" s="26" t="str">
        <f>IF(G23="","","Nomor "&amp;RIGHT(VLOOKUP(F23,'Data Induk Pegawai'!B:AE,12,FALSE),2)&amp;" Tahun "&amp;MID(VLOOKUP(F23,'Data Induk Pegawai'!B:AE,12,FALSE),5,4))</f>
        <v/>
      </c>
      <c r="S23" s="26" t="str">
        <f>IF(G23="","",VLOOKUP(F23,'Data Induk Pegawai'!B:AE,11,FALSE))</f>
        <v/>
      </c>
      <c r="T23" s="56"/>
      <c r="U23" s="18" t="str">
        <f t="shared" si="4"/>
        <v/>
      </c>
      <c r="V23" s="30"/>
      <c r="W23" s="18" t="str">
        <f t="shared" si="5"/>
        <v/>
      </c>
      <c r="X23" s="16"/>
      <c r="Y23" t="str">
        <f t="shared" si="6"/>
        <v/>
      </c>
      <c r="Z23" t="str">
        <f t="shared" si="7"/>
        <v/>
      </c>
      <c r="AA23" t="str">
        <f t="shared" si="8"/>
        <v/>
      </c>
      <c r="AB23" t="str">
        <f>COUNTIFS(AC23:AC$596,AC23)&amp;AC23</f>
        <v>574</v>
      </c>
      <c r="AC23" t="str">
        <f t="shared" si="9"/>
        <v/>
      </c>
      <c r="AD23" t="str">
        <f>COUNTIFS(AC$2:AC23,AC23)&amp;AC23</f>
        <v>22</v>
      </c>
      <c r="AE23" t="str">
        <f t="shared" si="10"/>
        <v/>
      </c>
      <c r="AF23" t="str">
        <f t="shared" si="11"/>
        <v>..</v>
      </c>
      <c r="AG23" s="28" t="str">
        <f t="shared" si="12"/>
        <v/>
      </c>
      <c r="AH23" s="28" t="str">
        <f t="shared" si="13"/>
        <v/>
      </c>
      <c r="AI23" t="str">
        <f t="shared" si="0"/>
        <v/>
      </c>
      <c r="AJ23" t="str">
        <f t="shared" si="14"/>
        <v/>
      </c>
      <c r="AK23" t="str">
        <f t="shared" si="15"/>
        <v/>
      </c>
      <c r="AL23" t="str">
        <f t="shared" si="16"/>
        <v/>
      </c>
      <c r="AM23" t="str">
        <f t="shared" si="1"/>
        <v/>
      </c>
      <c r="AN23" t="str">
        <f t="shared" si="17"/>
        <v/>
      </c>
      <c r="AO23" t="str">
        <f t="shared" si="18"/>
        <v/>
      </c>
      <c r="AP23" t="str">
        <f t="shared" si="19"/>
        <v/>
      </c>
      <c r="AQ23" t="str">
        <f t="shared" si="2"/>
        <v/>
      </c>
      <c r="AR23" t="str">
        <f t="shared" si="20"/>
        <v/>
      </c>
      <c r="AS23" t="str">
        <f t="shared" si="21"/>
        <v/>
      </c>
      <c r="AT23" t="str">
        <f t="shared" si="22"/>
        <v/>
      </c>
      <c r="AU23" s="25" t="str">
        <f t="shared" si="23"/>
        <v/>
      </c>
      <c r="AW23">
        <v>10</v>
      </c>
      <c r="AX23" t="s">
        <v>421</v>
      </c>
      <c r="AY23" t="s">
        <v>421</v>
      </c>
      <c r="BA23">
        <f>'REGISTER SK'!F26</f>
        <v>0</v>
      </c>
    </row>
    <row r="24" spans="1:53" x14ac:dyDescent="0.35">
      <c r="A24" s="18">
        <v>23</v>
      </c>
      <c r="B24" s="36" t="s">
        <v>379</v>
      </c>
      <c r="C24" s="18" t="str">
        <f>IF(G24="","",IF(G24="Umum",G24,VLOOKUP(F24,'Data Induk Pegawai'!B:AE,4,FALSE)))</f>
        <v/>
      </c>
      <c r="D24" s="19" t="str">
        <f>IF('REGISTER SK'!A27="","",IF('REGISTER SK'!B27=0,D23,'REGISTER SK'!B27))</f>
        <v/>
      </c>
      <c r="E24" s="19" t="str">
        <f t="shared" si="3"/>
        <v/>
      </c>
      <c r="F24" s="29"/>
      <c r="G24" s="29"/>
      <c r="H24" s="31" t="str">
        <f>IF(F24="","",VLOOKUP(F24,'Data Induk Pegawai'!B:U,2,FALSE))</f>
        <v/>
      </c>
      <c r="I24" s="19" t="str">
        <f>IF('REGISTER SK'!C27="","",'REGISTER SK'!C27)</f>
        <v/>
      </c>
      <c r="J24" s="125"/>
      <c r="K24" s="125"/>
      <c r="L24" s="26" t="str">
        <f>IF('REGISTER SK'!D27="","",'REGISTER SK'!D27)</f>
        <v/>
      </c>
      <c r="M24" s="26" t="str">
        <f>IF('REGISTER SK'!E27="","",'REGISTER SK'!E27)</f>
        <v/>
      </c>
      <c r="N24" s="31" t="str">
        <f>IF(G24="","",IF(OR(G24="GTT",G24="PTT"),"--",VLOOKUP(F24,'Data Induk Pegawai'!B:AE,4,FALSE)))</f>
        <v/>
      </c>
      <c r="O24" s="18" t="s">
        <v>268</v>
      </c>
      <c r="P24" s="31" t="str">
        <f>IF(G24="","",VLOOKUP(F24,'Data Induk Pegawai'!B:AE,7,FALSE))</f>
        <v/>
      </c>
      <c r="Q24" s="30"/>
      <c r="R24" s="26" t="str">
        <f>IF(G24="","","Nomor "&amp;RIGHT(VLOOKUP(F24,'Data Induk Pegawai'!B:AE,12,FALSE),2)&amp;" Tahun "&amp;MID(VLOOKUP(F24,'Data Induk Pegawai'!B:AE,12,FALSE),5,4))</f>
        <v/>
      </c>
      <c r="S24" s="26" t="str">
        <f>IF(G24="","",VLOOKUP(F24,'Data Induk Pegawai'!B:AE,11,FALSE))</f>
        <v/>
      </c>
      <c r="T24" s="56"/>
      <c r="U24" s="18" t="str">
        <f t="shared" si="4"/>
        <v/>
      </c>
      <c r="V24" s="30"/>
      <c r="W24" s="18" t="str">
        <f t="shared" si="5"/>
        <v/>
      </c>
      <c r="X24" s="16"/>
      <c r="Y24" t="str">
        <f t="shared" si="6"/>
        <v/>
      </c>
      <c r="Z24" t="str">
        <f t="shared" si="7"/>
        <v/>
      </c>
      <c r="AA24" t="str">
        <f t="shared" si="8"/>
        <v/>
      </c>
      <c r="AB24" t="str">
        <f>COUNTIFS(AC24:AC$596,AC24)&amp;AC24</f>
        <v>573</v>
      </c>
      <c r="AC24" t="str">
        <f t="shared" si="9"/>
        <v/>
      </c>
      <c r="AD24" t="str">
        <f>COUNTIFS(AC$2:AC24,AC24)&amp;AC24</f>
        <v>23</v>
      </c>
      <c r="AE24" t="str">
        <f t="shared" si="10"/>
        <v/>
      </c>
      <c r="AF24" t="str">
        <f t="shared" si="11"/>
        <v>..</v>
      </c>
      <c r="AG24" s="28" t="str">
        <f t="shared" si="12"/>
        <v/>
      </c>
      <c r="AH24" s="28" t="str">
        <f t="shared" si="13"/>
        <v/>
      </c>
      <c r="AI24" t="str">
        <f t="shared" si="0"/>
        <v/>
      </c>
      <c r="AJ24" t="str">
        <f t="shared" si="14"/>
        <v/>
      </c>
      <c r="AK24" t="str">
        <f t="shared" si="15"/>
        <v/>
      </c>
      <c r="AL24" t="str">
        <f t="shared" si="16"/>
        <v/>
      </c>
      <c r="AM24" t="str">
        <f t="shared" si="1"/>
        <v/>
      </c>
      <c r="AN24" t="str">
        <f t="shared" si="17"/>
        <v/>
      </c>
      <c r="AO24" t="str">
        <f t="shared" si="18"/>
        <v/>
      </c>
      <c r="AP24" t="str">
        <f t="shared" si="19"/>
        <v/>
      </c>
      <c r="AQ24" t="str">
        <f t="shared" si="2"/>
        <v/>
      </c>
      <c r="AR24" t="str">
        <f t="shared" si="20"/>
        <v/>
      </c>
      <c r="AS24" t="str">
        <f t="shared" si="21"/>
        <v/>
      </c>
      <c r="AT24" t="str">
        <f t="shared" si="22"/>
        <v/>
      </c>
      <c r="AU24" s="25" t="str">
        <f t="shared" si="23"/>
        <v/>
      </c>
      <c r="AW24">
        <v>11</v>
      </c>
      <c r="AX24" t="s">
        <v>412</v>
      </c>
      <c r="AY24" t="s">
        <v>412</v>
      </c>
      <c r="BA24">
        <f>'REGISTER SK'!F27</f>
        <v>0</v>
      </c>
    </row>
    <row r="25" spans="1:53" x14ac:dyDescent="0.35">
      <c r="A25" s="18">
        <v>24</v>
      </c>
      <c r="B25" s="36" t="s">
        <v>379</v>
      </c>
      <c r="C25" s="18" t="str">
        <f>IF(G25="","",IF(G25="Umum",G25,VLOOKUP(F25,'Data Induk Pegawai'!B:AE,4,FALSE)))</f>
        <v/>
      </c>
      <c r="D25" s="19" t="str">
        <f>IF('REGISTER SK'!A28="","",IF('REGISTER SK'!B28=0,D24,'REGISTER SK'!B28))</f>
        <v/>
      </c>
      <c r="E25" s="19" t="str">
        <f t="shared" si="3"/>
        <v/>
      </c>
      <c r="F25" s="29"/>
      <c r="G25" s="29"/>
      <c r="H25" s="31" t="str">
        <f>IF(F25="","",VLOOKUP(F25,'Data Induk Pegawai'!B:U,2,FALSE))</f>
        <v/>
      </c>
      <c r="I25" s="19" t="str">
        <f>IF('REGISTER SK'!C28="","",'REGISTER SK'!C28)</f>
        <v/>
      </c>
      <c r="J25" s="125"/>
      <c r="K25" s="125"/>
      <c r="L25" s="26" t="str">
        <f>IF('REGISTER SK'!D28="","",'REGISTER SK'!D28)</f>
        <v/>
      </c>
      <c r="M25" s="26" t="str">
        <f>IF('REGISTER SK'!E28="","",'REGISTER SK'!E28)</f>
        <v/>
      </c>
      <c r="N25" s="31" t="str">
        <f>IF(G25="","",IF(OR(G25="GTT",G25="PTT"),"--",VLOOKUP(F25,'Data Induk Pegawai'!B:AE,4,FALSE)))</f>
        <v/>
      </c>
      <c r="O25" s="18" t="s">
        <v>269</v>
      </c>
      <c r="P25" s="31" t="str">
        <f>IF(G25="","",VLOOKUP(F25,'Data Induk Pegawai'!B:AE,7,FALSE))</f>
        <v/>
      </c>
      <c r="Q25" s="30"/>
      <c r="R25" s="26" t="str">
        <f>IF(G25="","","Nomor "&amp;RIGHT(VLOOKUP(F25,'Data Induk Pegawai'!B:AE,12,FALSE),2)&amp;" Tahun "&amp;MID(VLOOKUP(F25,'Data Induk Pegawai'!B:AE,12,FALSE),5,4))</f>
        <v/>
      </c>
      <c r="S25" s="26" t="str">
        <f>IF(G25="","",VLOOKUP(F25,'Data Induk Pegawai'!B:AE,11,FALSE))</f>
        <v/>
      </c>
      <c r="T25" s="56"/>
      <c r="U25" s="18" t="str">
        <f t="shared" si="4"/>
        <v/>
      </c>
      <c r="V25" s="30"/>
      <c r="W25" s="18" t="str">
        <f t="shared" si="5"/>
        <v/>
      </c>
      <c r="X25" s="16"/>
      <c r="Y25" t="str">
        <f t="shared" si="6"/>
        <v/>
      </c>
      <c r="Z25" t="str">
        <f t="shared" si="7"/>
        <v/>
      </c>
      <c r="AA25" t="str">
        <f t="shared" si="8"/>
        <v/>
      </c>
      <c r="AB25" t="str">
        <f>COUNTIFS(AC25:AC$596,AC25)&amp;AC25</f>
        <v>572</v>
      </c>
      <c r="AC25" t="str">
        <f t="shared" si="9"/>
        <v/>
      </c>
      <c r="AD25" t="str">
        <f>COUNTIFS(AC$2:AC25,AC25)&amp;AC25</f>
        <v>24</v>
      </c>
      <c r="AE25" t="str">
        <f t="shared" si="10"/>
        <v/>
      </c>
      <c r="AF25" t="str">
        <f t="shared" si="11"/>
        <v>..</v>
      </c>
      <c r="AG25" s="28" t="str">
        <f t="shared" si="12"/>
        <v/>
      </c>
      <c r="AH25" s="28" t="str">
        <f t="shared" si="13"/>
        <v/>
      </c>
      <c r="AI25" t="str">
        <f t="shared" si="0"/>
        <v/>
      </c>
      <c r="AJ25" t="str">
        <f t="shared" si="14"/>
        <v/>
      </c>
      <c r="AK25" t="str">
        <f t="shared" si="15"/>
        <v/>
      </c>
      <c r="AL25" t="str">
        <f t="shared" si="16"/>
        <v/>
      </c>
      <c r="AM25" t="str">
        <f t="shared" si="1"/>
        <v/>
      </c>
      <c r="AN25" t="str">
        <f t="shared" si="17"/>
        <v/>
      </c>
      <c r="AO25" t="str">
        <f t="shared" si="18"/>
        <v/>
      </c>
      <c r="AP25" t="str">
        <f t="shared" si="19"/>
        <v/>
      </c>
      <c r="AQ25" t="str">
        <f t="shared" si="2"/>
        <v/>
      </c>
      <c r="AR25" t="str">
        <f t="shared" si="20"/>
        <v/>
      </c>
      <c r="AS25" t="str">
        <f t="shared" si="21"/>
        <v/>
      </c>
      <c r="AT25" t="str">
        <f t="shared" si="22"/>
        <v/>
      </c>
      <c r="AU25" s="25" t="str">
        <f t="shared" si="23"/>
        <v/>
      </c>
      <c r="AW25">
        <v>0</v>
      </c>
      <c r="AX25" t="s">
        <v>422</v>
      </c>
      <c r="AY25" t="s">
        <v>422</v>
      </c>
      <c r="BA25">
        <f>'REGISTER SK'!F28</f>
        <v>0</v>
      </c>
    </row>
    <row r="26" spans="1:53" x14ac:dyDescent="0.35">
      <c r="A26" s="18">
        <v>25</v>
      </c>
      <c r="B26" s="36" t="s">
        <v>379</v>
      </c>
      <c r="C26" s="18" t="str">
        <f>IF(G26="","",IF(G26="Umum",G26,VLOOKUP(F26,'Data Induk Pegawai'!B:AE,4,FALSE)))</f>
        <v/>
      </c>
      <c r="D26" s="19" t="str">
        <f>IF('REGISTER SK'!A29="","",IF('REGISTER SK'!B29=0,D25,'REGISTER SK'!B29))</f>
        <v/>
      </c>
      <c r="E26" s="19" t="str">
        <f t="shared" si="3"/>
        <v/>
      </c>
      <c r="F26" s="29"/>
      <c r="G26" s="29"/>
      <c r="H26" s="31" t="str">
        <f>IF(F26="","",VLOOKUP(F26,'Data Induk Pegawai'!B:U,2,FALSE))</f>
        <v/>
      </c>
      <c r="I26" s="19" t="str">
        <f>IF('REGISTER SK'!C29="","",'REGISTER SK'!C29)</f>
        <v/>
      </c>
      <c r="J26" s="125"/>
      <c r="K26" s="125"/>
      <c r="L26" s="26" t="str">
        <f>IF('REGISTER SK'!D29="","",'REGISTER SK'!D29)</f>
        <v/>
      </c>
      <c r="M26" s="26" t="str">
        <f>IF('REGISTER SK'!E29="","",'REGISTER SK'!E29)</f>
        <v/>
      </c>
      <c r="N26" s="31" t="str">
        <f>IF(G26="","",IF(OR(G26="GTT",G26="PTT"),"--",VLOOKUP(F26,'Data Induk Pegawai'!B:AE,4,FALSE)))</f>
        <v/>
      </c>
      <c r="O26" s="18" t="s">
        <v>270</v>
      </c>
      <c r="P26" s="31" t="str">
        <f>IF(G26="","",VLOOKUP(F26,'Data Induk Pegawai'!B:AE,7,FALSE))</f>
        <v/>
      </c>
      <c r="Q26" s="30"/>
      <c r="R26" s="26" t="str">
        <f>IF(G26="","","Nomor "&amp;RIGHT(VLOOKUP(F26,'Data Induk Pegawai'!B:AE,12,FALSE),2)&amp;" Tahun "&amp;MID(VLOOKUP(F26,'Data Induk Pegawai'!B:AE,12,FALSE),5,4))</f>
        <v/>
      </c>
      <c r="S26" s="26" t="str">
        <f>IF(G26="","",VLOOKUP(F26,'Data Induk Pegawai'!B:AE,11,FALSE))</f>
        <v/>
      </c>
      <c r="T26" s="56"/>
      <c r="U26" s="18" t="str">
        <f t="shared" si="4"/>
        <v/>
      </c>
      <c r="V26" s="30"/>
      <c r="W26" s="18" t="str">
        <f t="shared" si="5"/>
        <v/>
      </c>
      <c r="X26" s="16"/>
      <c r="Y26" t="str">
        <f t="shared" si="6"/>
        <v/>
      </c>
      <c r="Z26" t="str">
        <f t="shared" si="7"/>
        <v/>
      </c>
      <c r="AA26" t="str">
        <f t="shared" si="8"/>
        <v/>
      </c>
      <c r="AB26" t="str">
        <f>COUNTIFS(AC26:AC$596,AC26)&amp;AC26</f>
        <v>571</v>
      </c>
      <c r="AC26" t="str">
        <f t="shared" si="9"/>
        <v/>
      </c>
      <c r="AD26" t="str">
        <f>COUNTIFS(AC$2:AC26,AC26)&amp;AC26</f>
        <v>25</v>
      </c>
      <c r="AE26" t="str">
        <f t="shared" si="10"/>
        <v/>
      </c>
      <c r="AF26" t="str">
        <f t="shared" si="11"/>
        <v>..</v>
      </c>
      <c r="AG26" s="28" t="str">
        <f t="shared" si="12"/>
        <v/>
      </c>
      <c r="AH26" s="28" t="str">
        <f t="shared" si="13"/>
        <v/>
      </c>
      <c r="AI26" t="str">
        <f t="shared" si="0"/>
        <v/>
      </c>
      <c r="AJ26" t="str">
        <f t="shared" si="14"/>
        <v/>
      </c>
      <c r="AK26" t="str">
        <f t="shared" si="15"/>
        <v/>
      </c>
      <c r="AL26" t="str">
        <f t="shared" si="16"/>
        <v/>
      </c>
      <c r="AM26" t="str">
        <f t="shared" si="1"/>
        <v/>
      </c>
      <c r="AN26" t="str">
        <f t="shared" si="17"/>
        <v/>
      </c>
      <c r="AO26" t="str">
        <f t="shared" si="18"/>
        <v/>
      </c>
      <c r="AP26" t="str">
        <f t="shared" si="19"/>
        <v/>
      </c>
      <c r="AQ26" t="str">
        <f t="shared" si="2"/>
        <v/>
      </c>
      <c r="AR26" t="str">
        <f t="shared" si="20"/>
        <v/>
      </c>
      <c r="AS26" t="str">
        <f t="shared" si="21"/>
        <v/>
      </c>
      <c r="AT26" t="str">
        <f t="shared" si="22"/>
        <v/>
      </c>
      <c r="AU26" s="25" t="str">
        <f t="shared" si="23"/>
        <v/>
      </c>
      <c r="BA26">
        <f>'REGISTER SK'!F29</f>
        <v>0</v>
      </c>
    </row>
    <row r="27" spans="1:53" x14ac:dyDescent="0.35">
      <c r="A27" s="18">
        <v>26</v>
      </c>
      <c r="B27" s="36" t="s">
        <v>379</v>
      </c>
      <c r="C27" s="18" t="str">
        <f>IF(G27="","",IF(G27="Umum",G27,VLOOKUP(F27,'Data Induk Pegawai'!B:AE,4,FALSE)))</f>
        <v/>
      </c>
      <c r="D27" s="19" t="str">
        <f>IF('REGISTER SK'!A30="","",IF('REGISTER SK'!B30=0,D26,'REGISTER SK'!B30))</f>
        <v/>
      </c>
      <c r="E27" s="19" t="str">
        <f t="shared" si="3"/>
        <v/>
      </c>
      <c r="F27" s="29"/>
      <c r="G27" s="29"/>
      <c r="H27" s="31" t="str">
        <f>IF(F27="","",VLOOKUP(F27,'Data Induk Pegawai'!B:U,2,FALSE))</f>
        <v/>
      </c>
      <c r="I27" s="19" t="str">
        <f>IF('REGISTER SK'!C30="","",'REGISTER SK'!C30)</f>
        <v/>
      </c>
      <c r="J27" s="125"/>
      <c r="K27" s="125"/>
      <c r="L27" s="26" t="str">
        <f>IF('REGISTER SK'!D30="","",'REGISTER SK'!D30)</f>
        <v/>
      </c>
      <c r="M27" s="26" t="str">
        <f>IF('REGISTER SK'!E30="","",'REGISTER SK'!E30)</f>
        <v/>
      </c>
      <c r="N27" s="31" t="str">
        <f>IF(G27="","",IF(OR(G27="GTT",G27="PTT"),"--",VLOOKUP(F27,'Data Induk Pegawai'!B:AE,4,FALSE)))</f>
        <v/>
      </c>
      <c r="O27" s="18" t="s">
        <v>329</v>
      </c>
      <c r="P27" s="31" t="str">
        <f>IF(G27="","",VLOOKUP(F27,'Data Induk Pegawai'!B:AE,7,FALSE))</f>
        <v/>
      </c>
      <c r="Q27" s="30"/>
      <c r="R27" s="26" t="str">
        <f>IF(G27="","","Nomor "&amp;RIGHT(VLOOKUP(F27,'Data Induk Pegawai'!B:AE,12,FALSE),2)&amp;" Tahun "&amp;MID(VLOOKUP(F27,'Data Induk Pegawai'!B:AE,12,FALSE),5,4))</f>
        <v/>
      </c>
      <c r="S27" s="26" t="str">
        <f>IF(G27="","",VLOOKUP(F27,'Data Induk Pegawai'!B:AE,11,FALSE))</f>
        <v/>
      </c>
      <c r="T27" s="56"/>
      <c r="U27" s="18" t="str">
        <f t="shared" si="4"/>
        <v/>
      </c>
      <c r="V27" s="30"/>
      <c r="W27" s="18" t="str">
        <f t="shared" si="5"/>
        <v/>
      </c>
      <c r="X27" s="16"/>
      <c r="Y27" t="str">
        <f t="shared" si="6"/>
        <v/>
      </c>
      <c r="Z27" t="str">
        <f t="shared" si="7"/>
        <v/>
      </c>
      <c r="AA27" t="str">
        <f t="shared" si="8"/>
        <v/>
      </c>
      <c r="AB27" t="str">
        <f>COUNTIFS(AC27:AC$596,AC27)&amp;AC27</f>
        <v>570</v>
      </c>
      <c r="AC27" t="str">
        <f t="shared" si="9"/>
        <v/>
      </c>
      <c r="AD27" t="str">
        <f>COUNTIFS(AC$2:AC27,AC27)&amp;AC27</f>
        <v>26</v>
      </c>
      <c r="AE27" t="str">
        <f t="shared" si="10"/>
        <v/>
      </c>
      <c r="AF27" t="str">
        <f t="shared" si="11"/>
        <v>..</v>
      </c>
      <c r="AG27" s="28" t="str">
        <f t="shared" si="12"/>
        <v/>
      </c>
      <c r="AH27" s="28" t="str">
        <f t="shared" si="13"/>
        <v/>
      </c>
      <c r="AI27" t="str">
        <f t="shared" si="0"/>
        <v/>
      </c>
      <c r="AJ27" t="str">
        <f t="shared" si="14"/>
        <v/>
      </c>
      <c r="AK27" t="str">
        <f t="shared" si="15"/>
        <v/>
      </c>
      <c r="AL27" t="str">
        <f t="shared" si="16"/>
        <v/>
      </c>
      <c r="AM27" t="str">
        <f t="shared" si="1"/>
        <v/>
      </c>
      <c r="AN27" t="str">
        <f t="shared" si="17"/>
        <v/>
      </c>
      <c r="AO27" t="str">
        <f t="shared" si="18"/>
        <v/>
      </c>
      <c r="AP27" t="str">
        <f t="shared" si="19"/>
        <v/>
      </c>
      <c r="AQ27" t="str">
        <f t="shared" si="2"/>
        <v/>
      </c>
      <c r="AR27" t="str">
        <f t="shared" si="20"/>
        <v/>
      </c>
      <c r="AS27" t="str">
        <f t="shared" si="21"/>
        <v/>
      </c>
      <c r="AT27" t="str">
        <f t="shared" si="22"/>
        <v/>
      </c>
      <c r="AU27" s="25" t="str">
        <f t="shared" si="23"/>
        <v/>
      </c>
      <c r="BA27">
        <f>'REGISTER SK'!F30</f>
        <v>0</v>
      </c>
    </row>
    <row r="28" spans="1:53" x14ac:dyDescent="0.35">
      <c r="A28" s="18">
        <v>27</v>
      </c>
      <c r="B28" s="36" t="s">
        <v>379</v>
      </c>
      <c r="C28" s="18" t="str">
        <f>IF(G28="","",IF(G28="Umum",G28,VLOOKUP(F28,'Data Induk Pegawai'!B:AE,4,FALSE)))</f>
        <v/>
      </c>
      <c r="D28" s="19" t="str">
        <f>IF('REGISTER SK'!A31="","",IF('REGISTER SK'!B31=0,D27,'REGISTER SK'!B31))</f>
        <v/>
      </c>
      <c r="E28" s="19" t="str">
        <f t="shared" si="3"/>
        <v/>
      </c>
      <c r="F28" s="29"/>
      <c r="G28" s="29"/>
      <c r="H28" s="31" t="str">
        <f>IF(F28="","",VLOOKUP(F28,'Data Induk Pegawai'!B:U,2,FALSE))</f>
        <v/>
      </c>
      <c r="I28" s="19" t="str">
        <f>IF('REGISTER SK'!C31="","",'REGISTER SK'!C31)</f>
        <v/>
      </c>
      <c r="J28" s="125"/>
      <c r="K28" s="125"/>
      <c r="L28" s="26" t="str">
        <f>IF('REGISTER SK'!D31="","",'REGISTER SK'!D31)</f>
        <v/>
      </c>
      <c r="M28" s="26" t="str">
        <f>IF('REGISTER SK'!E31="","",'REGISTER SK'!E31)</f>
        <v/>
      </c>
      <c r="N28" s="31" t="str">
        <f>IF(G28="","",IF(OR(G28="GTT",G28="PTT"),"--",VLOOKUP(F28,'Data Induk Pegawai'!B:AE,4,FALSE)))</f>
        <v/>
      </c>
      <c r="O28" s="18" t="s">
        <v>332</v>
      </c>
      <c r="P28" s="31" t="str">
        <f>IF(G28="","",VLOOKUP(F28,'Data Induk Pegawai'!B:AE,7,FALSE))</f>
        <v/>
      </c>
      <c r="Q28" s="30"/>
      <c r="R28" s="26" t="str">
        <f>IF(G28="","","Nomor "&amp;RIGHT(VLOOKUP(F28,'Data Induk Pegawai'!B:AE,12,FALSE),2)&amp;" Tahun "&amp;MID(VLOOKUP(F28,'Data Induk Pegawai'!B:AE,12,FALSE),5,4))</f>
        <v/>
      </c>
      <c r="S28" s="26" t="str">
        <f>IF(G28="","",VLOOKUP(F28,'Data Induk Pegawai'!B:AE,11,FALSE))</f>
        <v/>
      </c>
      <c r="T28" s="56"/>
      <c r="U28" s="18" t="str">
        <f t="shared" si="4"/>
        <v/>
      </c>
      <c r="V28" s="30"/>
      <c r="W28" s="18" t="str">
        <f t="shared" si="5"/>
        <v/>
      </c>
      <c r="X28" s="16"/>
      <c r="Y28" t="str">
        <f t="shared" si="6"/>
        <v/>
      </c>
      <c r="Z28" t="str">
        <f t="shared" si="7"/>
        <v/>
      </c>
      <c r="AA28" t="str">
        <f t="shared" si="8"/>
        <v/>
      </c>
      <c r="AB28" t="str">
        <f>COUNTIFS(AC28:AC$596,AC28)&amp;AC28</f>
        <v>569</v>
      </c>
      <c r="AC28" t="str">
        <f t="shared" si="9"/>
        <v/>
      </c>
      <c r="AD28" t="str">
        <f>COUNTIFS(AC$2:AC28,AC28)&amp;AC28</f>
        <v>27</v>
      </c>
      <c r="AE28" t="str">
        <f t="shared" si="10"/>
        <v/>
      </c>
      <c r="AF28" t="str">
        <f t="shared" si="11"/>
        <v>..</v>
      </c>
      <c r="AG28" s="28" t="str">
        <f t="shared" si="12"/>
        <v/>
      </c>
      <c r="AH28" s="28" t="str">
        <f t="shared" si="13"/>
        <v/>
      </c>
      <c r="AI28" t="str">
        <f t="shared" si="0"/>
        <v/>
      </c>
      <c r="AJ28" t="str">
        <f t="shared" si="14"/>
        <v/>
      </c>
      <c r="AK28" t="str">
        <f t="shared" si="15"/>
        <v/>
      </c>
      <c r="AL28" t="str">
        <f t="shared" si="16"/>
        <v/>
      </c>
      <c r="AM28" t="str">
        <f t="shared" si="1"/>
        <v/>
      </c>
      <c r="AN28" t="str">
        <f t="shared" si="17"/>
        <v/>
      </c>
      <c r="AO28" t="str">
        <f t="shared" si="18"/>
        <v/>
      </c>
      <c r="AP28" t="str">
        <f t="shared" si="19"/>
        <v/>
      </c>
      <c r="AQ28" t="str">
        <f t="shared" si="2"/>
        <v/>
      </c>
      <c r="AR28" t="str">
        <f t="shared" si="20"/>
        <v/>
      </c>
      <c r="AS28" t="str">
        <f t="shared" si="21"/>
        <v/>
      </c>
      <c r="AT28" t="str">
        <f t="shared" si="22"/>
        <v/>
      </c>
      <c r="AU28" s="25" t="str">
        <f t="shared" si="23"/>
        <v/>
      </c>
      <c r="BA28">
        <f>'REGISTER SK'!F31</f>
        <v>0</v>
      </c>
    </row>
    <row r="29" spans="1:53" x14ac:dyDescent="0.35">
      <c r="A29" s="18">
        <v>28</v>
      </c>
      <c r="B29" s="36" t="s">
        <v>379</v>
      </c>
      <c r="C29" s="18" t="str">
        <f>IF(G29="","",IF(G29="Umum",G29,VLOOKUP(F29,'Data Induk Pegawai'!B:AE,4,FALSE)))</f>
        <v/>
      </c>
      <c r="D29" s="19" t="str">
        <f>IF('REGISTER SK'!A32="","",IF('REGISTER SK'!B32=0,D28,'REGISTER SK'!B32))</f>
        <v/>
      </c>
      <c r="E29" s="19" t="str">
        <f t="shared" si="3"/>
        <v/>
      </c>
      <c r="F29" s="29"/>
      <c r="G29" s="29"/>
      <c r="H29" s="31" t="str">
        <f>IF(F29="","",VLOOKUP(F29,'Data Induk Pegawai'!B:U,2,FALSE))</f>
        <v/>
      </c>
      <c r="I29" s="19" t="str">
        <f>IF('REGISTER SK'!C32="","",'REGISTER SK'!C32)</f>
        <v/>
      </c>
      <c r="J29" s="125"/>
      <c r="K29" s="125"/>
      <c r="L29" s="26" t="str">
        <f>IF('REGISTER SK'!D32="","",'REGISTER SK'!D32)</f>
        <v/>
      </c>
      <c r="M29" s="26" t="str">
        <f>IF('REGISTER SK'!E32="","",'REGISTER SK'!E32)</f>
        <v/>
      </c>
      <c r="N29" s="31" t="str">
        <f>IF(G29="","",IF(OR(G29="GTT",G29="PTT"),"--",VLOOKUP(F29,'Data Induk Pegawai'!B:AE,4,FALSE)))</f>
        <v/>
      </c>
      <c r="O29" s="18" t="s">
        <v>332</v>
      </c>
      <c r="P29" s="31" t="str">
        <f>IF(G29="","",VLOOKUP(F29,'Data Induk Pegawai'!B:AE,7,FALSE))</f>
        <v/>
      </c>
      <c r="Q29" s="30"/>
      <c r="R29" s="26" t="str">
        <f>IF(G29="","","Nomor "&amp;RIGHT(VLOOKUP(F29,'Data Induk Pegawai'!B:AE,12,FALSE),2)&amp;" Tahun "&amp;MID(VLOOKUP(F29,'Data Induk Pegawai'!B:AE,12,FALSE),5,4))</f>
        <v/>
      </c>
      <c r="S29" s="26" t="str">
        <f>IF(G29="","",VLOOKUP(F29,'Data Induk Pegawai'!B:AE,11,FALSE))</f>
        <v/>
      </c>
      <c r="T29" s="56"/>
      <c r="U29" s="18" t="str">
        <f t="shared" si="4"/>
        <v/>
      </c>
      <c r="V29" s="30"/>
      <c r="W29" s="18" t="str">
        <f t="shared" si="5"/>
        <v/>
      </c>
      <c r="X29" s="16"/>
      <c r="Y29" t="str">
        <f t="shared" si="6"/>
        <v/>
      </c>
      <c r="Z29" t="str">
        <f t="shared" si="7"/>
        <v/>
      </c>
      <c r="AA29" t="str">
        <f t="shared" si="8"/>
        <v/>
      </c>
      <c r="AB29" t="str">
        <f>COUNTIFS(AC29:AC$596,AC29)&amp;AC29</f>
        <v>568</v>
      </c>
      <c r="AC29" t="str">
        <f t="shared" si="9"/>
        <v/>
      </c>
      <c r="AD29" t="str">
        <f>COUNTIFS(AC$2:AC29,AC29)&amp;AC29</f>
        <v>28</v>
      </c>
      <c r="AE29" t="str">
        <f t="shared" si="10"/>
        <v/>
      </c>
      <c r="AF29" t="str">
        <f t="shared" si="11"/>
        <v>..</v>
      </c>
      <c r="AG29" s="28" t="str">
        <f t="shared" si="12"/>
        <v/>
      </c>
      <c r="AH29" s="28" t="str">
        <f t="shared" si="13"/>
        <v/>
      </c>
      <c r="AI29" t="str">
        <f t="shared" si="0"/>
        <v/>
      </c>
      <c r="AJ29" t="str">
        <f t="shared" si="14"/>
        <v/>
      </c>
      <c r="AK29" t="str">
        <f t="shared" si="15"/>
        <v/>
      </c>
      <c r="AL29" t="str">
        <f t="shared" si="16"/>
        <v/>
      </c>
      <c r="AM29" t="str">
        <f t="shared" si="1"/>
        <v/>
      </c>
      <c r="AN29" t="str">
        <f t="shared" si="17"/>
        <v/>
      </c>
      <c r="AO29" t="str">
        <f t="shared" si="18"/>
        <v/>
      </c>
      <c r="AP29" t="str">
        <f t="shared" si="19"/>
        <v/>
      </c>
      <c r="AQ29" t="str">
        <f t="shared" si="2"/>
        <v/>
      </c>
      <c r="AR29" t="str">
        <f t="shared" si="20"/>
        <v/>
      </c>
      <c r="AS29" t="str">
        <f t="shared" si="21"/>
        <v/>
      </c>
      <c r="AT29" t="str">
        <f t="shared" si="22"/>
        <v/>
      </c>
      <c r="AU29" s="25" t="str">
        <f t="shared" si="23"/>
        <v/>
      </c>
      <c r="BA29">
        <f>'REGISTER SK'!F32</f>
        <v>0</v>
      </c>
    </row>
    <row r="30" spans="1:53" x14ac:dyDescent="0.35">
      <c r="A30" s="18">
        <v>29</v>
      </c>
      <c r="B30" s="36" t="s">
        <v>379</v>
      </c>
      <c r="C30" s="18" t="str">
        <f>IF(G30="","",IF(G30="Umum",G30,VLOOKUP(F30,'Data Induk Pegawai'!B:AE,4,FALSE)))</f>
        <v/>
      </c>
      <c r="D30" s="19" t="str">
        <f>IF('REGISTER SK'!A33="","",IF('REGISTER SK'!B33=0,D29,'REGISTER SK'!B33))</f>
        <v/>
      </c>
      <c r="E30" s="19" t="str">
        <f t="shared" si="3"/>
        <v/>
      </c>
      <c r="F30" s="29"/>
      <c r="G30" s="29"/>
      <c r="H30" s="31" t="str">
        <f>IF(F30="","",VLOOKUP(F30,'Data Induk Pegawai'!B:U,2,FALSE))</f>
        <v/>
      </c>
      <c r="I30" s="19" t="str">
        <f>IF('REGISTER SK'!C33="","",'REGISTER SK'!C33)</f>
        <v/>
      </c>
      <c r="J30" s="125"/>
      <c r="K30" s="125"/>
      <c r="L30" s="26" t="str">
        <f>IF('REGISTER SK'!D33="","",'REGISTER SK'!D33)</f>
        <v/>
      </c>
      <c r="M30" s="26" t="str">
        <f>IF('REGISTER SK'!E33="","",'REGISTER SK'!E33)</f>
        <v/>
      </c>
      <c r="N30" s="31" t="str">
        <f>IF(G30="","",IF(OR(G30="GTT",G30="PTT"),"--",VLOOKUP(F30,'Data Induk Pegawai'!B:AE,4,FALSE)))</f>
        <v/>
      </c>
      <c r="O30" s="18" t="s">
        <v>273</v>
      </c>
      <c r="P30" s="31" t="str">
        <f>IF(G30="","",VLOOKUP(F30,'Data Induk Pegawai'!B:AE,7,FALSE))</f>
        <v/>
      </c>
      <c r="Q30" s="30"/>
      <c r="R30" s="26" t="str">
        <f>IF(G30="","","Nomor "&amp;RIGHT(VLOOKUP(F30,'Data Induk Pegawai'!B:AE,12,FALSE),2)&amp;" Tahun "&amp;MID(VLOOKUP(F30,'Data Induk Pegawai'!B:AE,12,FALSE),5,4))</f>
        <v/>
      </c>
      <c r="S30" s="26" t="str">
        <f>IF(G30="","",VLOOKUP(F30,'Data Induk Pegawai'!B:AE,11,FALSE))</f>
        <v/>
      </c>
      <c r="T30" s="56"/>
      <c r="U30" s="18" t="str">
        <f t="shared" si="4"/>
        <v/>
      </c>
      <c r="V30" s="30"/>
      <c r="W30" s="18" t="str">
        <f t="shared" si="5"/>
        <v/>
      </c>
      <c r="X30" s="16"/>
      <c r="Y30" t="str">
        <f t="shared" si="6"/>
        <v/>
      </c>
      <c r="Z30" t="str">
        <f t="shared" si="7"/>
        <v/>
      </c>
      <c r="AA30" t="str">
        <f t="shared" si="8"/>
        <v/>
      </c>
      <c r="AB30" t="str">
        <f>COUNTIFS(AC30:AC$596,AC30)&amp;AC30</f>
        <v>567</v>
      </c>
      <c r="AC30" t="str">
        <f t="shared" si="9"/>
        <v/>
      </c>
      <c r="AD30" t="str">
        <f>COUNTIFS(AC$2:AC30,AC30)&amp;AC30</f>
        <v>29</v>
      </c>
      <c r="AE30" t="str">
        <f t="shared" si="10"/>
        <v/>
      </c>
      <c r="AF30" t="str">
        <f t="shared" si="11"/>
        <v>..</v>
      </c>
      <c r="AG30" s="28" t="str">
        <f t="shared" si="12"/>
        <v/>
      </c>
      <c r="AH30" s="28" t="str">
        <f t="shared" si="13"/>
        <v/>
      </c>
      <c r="AI30" t="str">
        <f t="shared" si="0"/>
        <v/>
      </c>
      <c r="AJ30" t="str">
        <f t="shared" si="14"/>
        <v/>
      </c>
      <c r="AK30" t="str">
        <f t="shared" si="15"/>
        <v/>
      </c>
      <c r="AL30" t="str">
        <f t="shared" si="16"/>
        <v/>
      </c>
      <c r="AM30" t="str">
        <f t="shared" si="1"/>
        <v/>
      </c>
      <c r="AN30" t="str">
        <f t="shared" si="17"/>
        <v/>
      </c>
      <c r="AO30" t="str">
        <f t="shared" si="18"/>
        <v/>
      </c>
      <c r="AP30" t="str">
        <f t="shared" si="19"/>
        <v/>
      </c>
      <c r="AQ30" t="str">
        <f t="shared" si="2"/>
        <v/>
      </c>
      <c r="AR30" t="str">
        <f t="shared" si="20"/>
        <v/>
      </c>
      <c r="AS30" t="str">
        <f t="shared" si="21"/>
        <v/>
      </c>
      <c r="AT30" t="str">
        <f t="shared" si="22"/>
        <v/>
      </c>
      <c r="AU30" s="25" t="str">
        <f t="shared" si="23"/>
        <v/>
      </c>
      <c r="BA30">
        <f>'REGISTER SK'!F33</f>
        <v>0</v>
      </c>
    </row>
    <row r="31" spans="1:53" x14ac:dyDescent="0.35">
      <c r="A31" s="18">
        <v>30</v>
      </c>
      <c r="B31" s="36" t="s">
        <v>379</v>
      </c>
      <c r="C31" s="18" t="str">
        <f>IF(G31="","",IF(G31="Umum",G31,VLOOKUP(F31,'Data Induk Pegawai'!B:AE,4,FALSE)))</f>
        <v/>
      </c>
      <c r="D31" s="19" t="str">
        <f>IF('REGISTER SK'!A34="","",IF('REGISTER SK'!B34=0,D30,'REGISTER SK'!B34))</f>
        <v/>
      </c>
      <c r="E31" s="19" t="str">
        <f t="shared" si="3"/>
        <v/>
      </c>
      <c r="F31" s="29"/>
      <c r="G31" s="29"/>
      <c r="H31" s="31" t="str">
        <f>IF(F31="","",VLOOKUP(F31,'Data Induk Pegawai'!B:U,2,FALSE))</f>
        <v/>
      </c>
      <c r="I31" s="19" t="str">
        <f>IF('REGISTER SK'!C34="","",'REGISTER SK'!C34)</f>
        <v/>
      </c>
      <c r="J31" s="125"/>
      <c r="K31" s="125"/>
      <c r="L31" s="26" t="str">
        <f>IF('REGISTER SK'!D34="","",'REGISTER SK'!D34)</f>
        <v/>
      </c>
      <c r="M31" s="26" t="str">
        <f>IF('REGISTER SK'!E34="","",'REGISTER SK'!E34)</f>
        <v/>
      </c>
      <c r="N31" s="31" t="str">
        <f>IF(G31="","",IF(OR(G31="GTT",G31="PTT"),"--",VLOOKUP(F31,'Data Induk Pegawai'!B:AE,4,FALSE)))</f>
        <v/>
      </c>
      <c r="O31" s="18" t="s">
        <v>267</v>
      </c>
      <c r="P31" s="31" t="str">
        <f>IF(G31="","",VLOOKUP(F31,'Data Induk Pegawai'!B:AE,7,FALSE))</f>
        <v/>
      </c>
      <c r="Q31" s="30"/>
      <c r="R31" s="26" t="str">
        <f>IF(G31="","","Nomor "&amp;RIGHT(VLOOKUP(F31,'Data Induk Pegawai'!B:AE,12,FALSE),2)&amp;" Tahun "&amp;MID(VLOOKUP(F31,'Data Induk Pegawai'!B:AE,12,FALSE),5,4))</f>
        <v/>
      </c>
      <c r="S31" s="26" t="str">
        <f>IF(G31="","",VLOOKUP(F31,'Data Induk Pegawai'!B:AE,11,FALSE))</f>
        <v/>
      </c>
      <c r="T31" s="56"/>
      <c r="U31" s="18" t="str">
        <f t="shared" si="4"/>
        <v/>
      </c>
      <c r="V31" s="30"/>
      <c r="W31" s="18" t="str">
        <f t="shared" si="5"/>
        <v/>
      </c>
      <c r="X31" s="16"/>
      <c r="Y31" t="str">
        <f t="shared" si="6"/>
        <v/>
      </c>
      <c r="Z31" t="str">
        <f t="shared" si="7"/>
        <v/>
      </c>
      <c r="AA31" t="str">
        <f t="shared" si="8"/>
        <v/>
      </c>
      <c r="AB31" t="str">
        <f>COUNTIFS(AC31:AC$596,AC31)&amp;AC31</f>
        <v>566</v>
      </c>
      <c r="AC31" t="str">
        <f t="shared" si="9"/>
        <v/>
      </c>
      <c r="AD31" t="str">
        <f>COUNTIFS(AC$2:AC31,AC31)&amp;AC31</f>
        <v>30</v>
      </c>
      <c r="AE31" t="str">
        <f t="shared" si="10"/>
        <v/>
      </c>
      <c r="AF31" t="str">
        <f t="shared" si="11"/>
        <v>..</v>
      </c>
      <c r="AG31" s="28" t="str">
        <f t="shared" si="12"/>
        <v/>
      </c>
      <c r="AH31" s="28" t="str">
        <f t="shared" si="13"/>
        <v/>
      </c>
      <c r="AI31" t="str">
        <f t="shared" si="0"/>
        <v/>
      </c>
      <c r="AJ31" t="str">
        <f t="shared" si="14"/>
        <v/>
      </c>
      <c r="AK31" t="str">
        <f t="shared" si="15"/>
        <v/>
      </c>
      <c r="AL31" t="str">
        <f t="shared" si="16"/>
        <v/>
      </c>
      <c r="AM31" t="str">
        <f t="shared" si="1"/>
        <v/>
      </c>
      <c r="AN31" t="str">
        <f t="shared" si="17"/>
        <v/>
      </c>
      <c r="AO31" t="str">
        <f t="shared" si="18"/>
        <v/>
      </c>
      <c r="AP31" t="str">
        <f t="shared" si="19"/>
        <v/>
      </c>
      <c r="AQ31" t="str">
        <f t="shared" si="2"/>
        <v/>
      </c>
      <c r="AR31" t="str">
        <f t="shared" si="20"/>
        <v/>
      </c>
      <c r="AS31" t="str">
        <f t="shared" si="21"/>
        <v/>
      </c>
      <c r="AT31" t="str">
        <f t="shared" si="22"/>
        <v/>
      </c>
      <c r="AU31" s="25" t="str">
        <f t="shared" si="23"/>
        <v/>
      </c>
      <c r="BA31">
        <f>'REGISTER SK'!F34</f>
        <v>0</v>
      </c>
    </row>
    <row r="32" spans="1:53" x14ac:dyDescent="0.35">
      <c r="A32" s="18">
        <v>31</v>
      </c>
      <c r="B32" s="36"/>
      <c r="C32" s="18" t="str">
        <f>IF(G32="","",IF(G32="Umum",G32,VLOOKUP(F32,'Data Induk Pegawai'!B:AE,4,FALSE)))</f>
        <v/>
      </c>
      <c r="D32" s="19" t="str">
        <f>IF('REGISTER SK'!A35="","",IF('REGISTER SK'!B35=0,D31,'REGISTER SK'!B35))</f>
        <v/>
      </c>
      <c r="E32" s="19" t="str">
        <f t="shared" si="3"/>
        <v/>
      </c>
      <c r="F32" s="29"/>
      <c r="G32" s="29"/>
      <c r="H32" s="31" t="str">
        <f>IF(F32="","",VLOOKUP(F32,'Data Induk Pegawai'!B:U,2,FALSE))</f>
        <v/>
      </c>
      <c r="I32" s="19" t="str">
        <f>IF('REGISTER SK'!C35="","",'REGISTER SK'!C35)</f>
        <v/>
      </c>
      <c r="J32" s="125"/>
      <c r="K32" s="125"/>
      <c r="L32" s="26" t="str">
        <f>IF('REGISTER SK'!D35="","",'REGISTER SK'!D35)</f>
        <v/>
      </c>
      <c r="M32" s="26" t="str">
        <f>IF('REGISTER SK'!E35="","",'REGISTER SK'!E35)</f>
        <v/>
      </c>
      <c r="N32" s="31" t="str">
        <f>IF(G32="","",IF(OR(G32="GTT",G32="PTT"),"--",VLOOKUP(F32,'Data Induk Pegawai'!B:AE,4,FALSE)))</f>
        <v/>
      </c>
      <c r="O32" s="18" t="s">
        <v>378</v>
      </c>
      <c r="P32" s="31" t="str">
        <f>IF(G32="","",VLOOKUP(F32,'Data Induk Pegawai'!B:AE,7,FALSE))</f>
        <v/>
      </c>
      <c r="Q32" s="30"/>
      <c r="R32" s="26" t="str">
        <f>IF(G32="","","Nomor "&amp;RIGHT(VLOOKUP(F32,'Data Induk Pegawai'!B:AE,12,FALSE),2)&amp;" Tahun "&amp;MID(VLOOKUP(F32,'Data Induk Pegawai'!B:AE,12,FALSE),5,4))</f>
        <v/>
      </c>
      <c r="S32" s="26" t="str">
        <f>IF(G32="","",VLOOKUP(F32,'Data Induk Pegawai'!B:AE,11,FALSE))</f>
        <v/>
      </c>
      <c r="T32" s="56"/>
      <c r="U32" s="18" t="str">
        <f t="shared" si="4"/>
        <v/>
      </c>
      <c r="V32" s="30"/>
      <c r="W32" s="18" t="str">
        <f t="shared" si="5"/>
        <v/>
      </c>
      <c r="X32" s="16"/>
      <c r="Y32" t="str">
        <f t="shared" si="6"/>
        <v/>
      </c>
      <c r="Z32" t="str">
        <f t="shared" si="7"/>
        <v/>
      </c>
      <c r="AA32" t="str">
        <f t="shared" si="8"/>
        <v/>
      </c>
      <c r="AB32" t="str">
        <f>COUNTIFS(AC32:AC$596,AC32)&amp;AC32</f>
        <v>565</v>
      </c>
      <c r="AC32" t="str">
        <f t="shared" si="9"/>
        <v/>
      </c>
      <c r="AD32" t="str">
        <f>COUNTIFS(AC$2:AC32,AC32)&amp;AC32</f>
        <v>31</v>
      </c>
      <c r="AE32" t="str">
        <f t="shared" si="10"/>
        <v/>
      </c>
      <c r="AF32" t="str">
        <f t="shared" si="11"/>
        <v>..</v>
      </c>
      <c r="AG32" s="28" t="str">
        <f t="shared" si="12"/>
        <v/>
      </c>
      <c r="AH32" s="28" t="str">
        <f t="shared" si="13"/>
        <v/>
      </c>
      <c r="AI32" t="str">
        <f t="shared" si="0"/>
        <v/>
      </c>
      <c r="AJ32" t="str">
        <f t="shared" si="14"/>
        <v/>
      </c>
      <c r="AK32" t="str">
        <f t="shared" si="15"/>
        <v/>
      </c>
      <c r="AL32" t="str">
        <f t="shared" si="16"/>
        <v/>
      </c>
      <c r="AM32" t="str">
        <f t="shared" si="1"/>
        <v/>
      </c>
      <c r="AN32" t="str">
        <f t="shared" si="17"/>
        <v/>
      </c>
      <c r="AO32" t="str">
        <f t="shared" si="18"/>
        <v/>
      </c>
      <c r="AP32" t="str">
        <f t="shared" si="19"/>
        <v/>
      </c>
      <c r="AQ32" t="str">
        <f t="shared" si="2"/>
        <v/>
      </c>
      <c r="AR32" t="str">
        <f t="shared" si="20"/>
        <v/>
      </c>
      <c r="AS32" t="str">
        <f t="shared" si="21"/>
        <v/>
      </c>
      <c r="AT32" t="str">
        <f t="shared" si="22"/>
        <v/>
      </c>
      <c r="AU32" s="25" t="str">
        <f t="shared" si="23"/>
        <v/>
      </c>
      <c r="BA32">
        <f>'REGISTER SK'!F35</f>
        <v>0</v>
      </c>
    </row>
    <row r="33" spans="1:53" x14ac:dyDescent="0.35">
      <c r="A33" s="18">
        <v>32</v>
      </c>
      <c r="B33" s="36" t="s">
        <v>379</v>
      </c>
      <c r="C33" s="18" t="str">
        <f>IF(G33="","",IF(G33="Umum",G33,VLOOKUP(F33,'Data Induk Pegawai'!B:AE,4,FALSE)))</f>
        <v/>
      </c>
      <c r="D33" s="19" t="str">
        <f>IF('REGISTER SK'!A36="","",IF('REGISTER SK'!B36=0,D32,'REGISTER SK'!B36))</f>
        <v/>
      </c>
      <c r="E33" s="19" t="str">
        <f t="shared" si="3"/>
        <v/>
      </c>
      <c r="F33" s="29"/>
      <c r="G33" s="29"/>
      <c r="H33" s="31" t="str">
        <f>IF(F33="","",VLOOKUP(F33,'Data Induk Pegawai'!B:U,2,FALSE))</f>
        <v/>
      </c>
      <c r="I33" s="19" t="str">
        <f>IF('REGISTER SK'!C36="","",'REGISTER SK'!C36)</f>
        <v/>
      </c>
      <c r="J33" s="125"/>
      <c r="K33" s="125"/>
      <c r="L33" s="26" t="str">
        <f>IF('REGISTER SK'!D36="","",'REGISTER SK'!D36)</f>
        <v/>
      </c>
      <c r="M33" s="26" t="str">
        <f>IF('REGISTER SK'!E36="","",'REGISTER SK'!E36)</f>
        <v/>
      </c>
      <c r="N33" s="31" t="str">
        <f>IF(G33="","",IF(OR(G33="GTT",G33="PTT"),"--",VLOOKUP(F33,'Data Induk Pegawai'!B:AE,4,FALSE)))</f>
        <v/>
      </c>
      <c r="O33" s="18" t="s">
        <v>274</v>
      </c>
      <c r="P33" s="31" t="str">
        <f>IF(G33="","",VLOOKUP(F33,'Data Induk Pegawai'!B:AE,7,FALSE))</f>
        <v/>
      </c>
      <c r="Q33" s="30"/>
      <c r="R33" s="26" t="str">
        <f>IF(G33="","","Nomor "&amp;RIGHT(VLOOKUP(F33,'Data Induk Pegawai'!B:AE,12,FALSE),2)&amp;" Tahun "&amp;MID(VLOOKUP(F33,'Data Induk Pegawai'!B:AE,12,FALSE),5,4))</f>
        <v/>
      </c>
      <c r="S33" s="26" t="str">
        <f>IF(G33="","",VLOOKUP(F33,'Data Induk Pegawai'!B:AE,11,FALSE))</f>
        <v/>
      </c>
      <c r="T33" s="56"/>
      <c r="U33" s="18" t="str">
        <f t="shared" si="4"/>
        <v/>
      </c>
      <c r="V33" s="30"/>
      <c r="W33" s="18" t="str">
        <f t="shared" si="5"/>
        <v/>
      </c>
      <c r="X33" s="16"/>
      <c r="Y33" t="str">
        <f t="shared" si="6"/>
        <v/>
      </c>
      <c r="Z33" t="str">
        <f t="shared" si="7"/>
        <v/>
      </c>
      <c r="AA33" t="str">
        <f t="shared" si="8"/>
        <v/>
      </c>
      <c r="AB33" t="str">
        <f>COUNTIFS(AC33:AC$596,AC33)&amp;AC33</f>
        <v>564</v>
      </c>
      <c r="AC33" t="str">
        <f t="shared" si="9"/>
        <v/>
      </c>
      <c r="AD33" t="str">
        <f>COUNTIFS(AC$2:AC33,AC33)&amp;AC33</f>
        <v>32</v>
      </c>
      <c r="AE33" t="str">
        <f t="shared" si="10"/>
        <v/>
      </c>
      <c r="AF33" t="str">
        <f t="shared" si="11"/>
        <v>..</v>
      </c>
      <c r="AG33" s="28" t="str">
        <f t="shared" si="12"/>
        <v/>
      </c>
      <c r="AH33" s="28" t="str">
        <f t="shared" si="13"/>
        <v/>
      </c>
      <c r="AI33" t="str">
        <f t="shared" si="0"/>
        <v/>
      </c>
      <c r="AJ33" t="str">
        <f t="shared" si="14"/>
        <v/>
      </c>
      <c r="AK33" t="str">
        <f t="shared" si="15"/>
        <v/>
      </c>
      <c r="AL33" t="str">
        <f t="shared" si="16"/>
        <v/>
      </c>
      <c r="AM33" t="str">
        <f t="shared" si="1"/>
        <v/>
      </c>
      <c r="AN33" t="str">
        <f t="shared" si="17"/>
        <v/>
      </c>
      <c r="AO33" t="str">
        <f t="shared" si="18"/>
        <v/>
      </c>
      <c r="AP33" t="str">
        <f t="shared" si="19"/>
        <v/>
      </c>
      <c r="AQ33" t="str">
        <f t="shared" si="2"/>
        <v/>
      </c>
      <c r="AR33" t="str">
        <f t="shared" si="20"/>
        <v/>
      </c>
      <c r="AS33" t="str">
        <f t="shared" si="21"/>
        <v/>
      </c>
      <c r="AT33" t="str">
        <f t="shared" si="22"/>
        <v/>
      </c>
      <c r="AU33" s="25" t="str">
        <f t="shared" si="23"/>
        <v/>
      </c>
      <c r="BA33">
        <f>'REGISTER SK'!F36</f>
        <v>0</v>
      </c>
    </row>
    <row r="34" spans="1:53" x14ac:dyDescent="0.35">
      <c r="A34" s="18">
        <v>33</v>
      </c>
      <c r="B34" s="36" t="s">
        <v>379</v>
      </c>
      <c r="C34" s="18" t="str">
        <f>IF(G34="","",IF(G34="Umum",G34,VLOOKUP(F34,'Data Induk Pegawai'!B:AE,4,FALSE)))</f>
        <v/>
      </c>
      <c r="D34" s="19" t="str">
        <f>IF('REGISTER SK'!A37="","",IF('REGISTER SK'!B37=0,D33,'REGISTER SK'!B37))</f>
        <v/>
      </c>
      <c r="E34" s="19" t="str">
        <f t="shared" si="3"/>
        <v/>
      </c>
      <c r="F34" s="29"/>
      <c r="G34" s="29"/>
      <c r="H34" s="31" t="str">
        <f>IF(F34="","",VLOOKUP(F34,'Data Induk Pegawai'!B:U,2,FALSE))</f>
        <v/>
      </c>
      <c r="I34" s="19" t="str">
        <f>IF('REGISTER SK'!C37="","",'REGISTER SK'!C37)</f>
        <v/>
      </c>
      <c r="J34" s="125"/>
      <c r="K34" s="125"/>
      <c r="L34" s="26" t="str">
        <f>IF('REGISTER SK'!D37="","",'REGISTER SK'!D37)</f>
        <v/>
      </c>
      <c r="M34" s="26" t="str">
        <f>IF('REGISTER SK'!E37="","",'REGISTER SK'!E37)</f>
        <v/>
      </c>
      <c r="N34" s="31" t="str">
        <f>IF(G34="","",IF(OR(G34="GTT",G34="PTT"),"--",VLOOKUP(F34,'Data Induk Pegawai'!B:AE,4,FALSE)))</f>
        <v/>
      </c>
      <c r="O34" s="18" t="e">
        <v>#N/A</v>
      </c>
      <c r="P34" s="31" t="str">
        <f>IF(G34="","",VLOOKUP(F34,'Data Induk Pegawai'!B:AE,7,FALSE))</f>
        <v/>
      </c>
      <c r="Q34" s="30"/>
      <c r="R34" s="26" t="str">
        <f>IF(G34="","","Nomor "&amp;RIGHT(VLOOKUP(F34,'Data Induk Pegawai'!B:AE,12,FALSE),2)&amp;" Tahun "&amp;MID(VLOOKUP(F34,'Data Induk Pegawai'!B:AE,12,FALSE),5,4))</f>
        <v/>
      </c>
      <c r="S34" s="26" t="str">
        <f>IF(G34="","",VLOOKUP(F34,'Data Induk Pegawai'!B:AE,11,FALSE))</f>
        <v/>
      </c>
      <c r="T34" s="56"/>
      <c r="U34" s="18" t="str">
        <f t="shared" si="4"/>
        <v/>
      </c>
      <c r="V34" s="30"/>
      <c r="W34" s="18" t="str">
        <f t="shared" si="5"/>
        <v/>
      </c>
      <c r="X34" s="16"/>
      <c r="Y34" t="str">
        <f t="shared" si="6"/>
        <v/>
      </c>
      <c r="Z34" t="str">
        <f t="shared" si="7"/>
        <v/>
      </c>
      <c r="AA34" t="str">
        <f t="shared" si="8"/>
        <v/>
      </c>
      <c r="AB34" t="str">
        <f>COUNTIFS(AC34:AC$596,AC34)&amp;AC34</f>
        <v>563</v>
      </c>
      <c r="AC34" t="str">
        <f t="shared" si="9"/>
        <v/>
      </c>
      <c r="AD34" t="str">
        <f>COUNTIFS(AC$2:AC34,AC34)&amp;AC34</f>
        <v>33</v>
      </c>
      <c r="AE34" t="str">
        <f t="shared" si="10"/>
        <v/>
      </c>
      <c r="AF34" t="str">
        <f t="shared" si="11"/>
        <v>..</v>
      </c>
      <c r="AG34" s="28" t="str">
        <f t="shared" si="12"/>
        <v/>
      </c>
      <c r="AH34" s="28" t="str">
        <f t="shared" si="13"/>
        <v/>
      </c>
      <c r="AI34" t="str">
        <f t="shared" si="0"/>
        <v/>
      </c>
      <c r="AJ34" t="str">
        <f t="shared" si="14"/>
        <v/>
      </c>
      <c r="AK34" t="str">
        <f t="shared" si="15"/>
        <v/>
      </c>
      <c r="AL34" t="str">
        <f t="shared" si="16"/>
        <v/>
      </c>
      <c r="AM34" t="str">
        <f t="shared" si="1"/>
        <v/>
      </c>
      <c r="AN34" t="str">
        <f t="shared" si="17"/>
        <v/>
      </c>
      <c r="AO34" t="str">
        <f t="shared" si="18"/>
        <v/>
      </c>
      <c r="AP34" t="str">
        <f t="shared" si="19"/>
        <v/>
      </c>
      <c r="AQ34" t="str">
        <f t="shared" si="2"/>
        <v/>
      </c>
      <c r="AR34" t="str">
        <f t="shared" si="20"/>
        <v/>
      </c>
      <c r="AS34" t="str">
        <f t="shared" si="21"/>
        <v/>
      </c>
      <c r="AT34" t="str">
        <f t="shared" si="22"/>
        <v/>
      </c>
      <c r="AU34" s="25" t="str">
        <f t="shared" si="23"/>
        <v/>
      </c>
      <c r="BA34">
        <f>'REGISTER SK'!F37</f>
        <v>0</v>
      </c>
    </row>
    <row r="35" spans="1:53" x14ac:dyDescent="0.35">
      <c r="A35" s="18">
        <v>34</v>
      </c>
      <c r="B35" s="36" t="s">
        <v>379</v>
      </c>
      <c r="C35" s="18" t="str">
        <f>IF(G35="","",IF(G35="Umum",G35,VLOOKUP(F35,'Data Induk Pegawai'!B:AE,4,FALSE)))</f>
        <v/>
      </c>
      <c r="D35" s="19" t="str">
        <f>IF('REGISTER SK'!A38="","",IF('REGISTER SK'!B38=0,D34,'REGISTER SK'!B38))</f>
        <v/>
      </c>
      <c r="E35" s="19" t="str">
        <f t="shared" si="3"/>
        <v/>
      </c>
      <c r="F35" s="29"/>
      <c r="G35" s="29"/>
      <c r="H35" s="31" t="str">
        <f>IF(F35="","",VLOOKUP(F35,'Data Induk Pegawai'!B:U,2,FALSE))</f>
        <v/>
      </c>
      <c r="I35" s="19" t="str">
        <f>IF('REGISTER SK'!C38="","",'REGISTER SK'!C38)</f>
        <v/>
      </c>
      <c r="J35" s="125"/>
      <c r="K35" s="125"/>
      <c r="L35" s="26" t="str">
        <f>IF('REGISTER SK'!D38="","",'REGISTER SK'!D38)</f>
        <v/>
      </c>
      <c r="M35" s="26" t="str">
        <f>IF('REGISTER SK'!E38="","",'REGISTER SK'!E38)</f>
        <v/>
      </c>
      <c r="N35" s="31" t="str">
        <f>IF(G35="","",IF(OR(G35="GTT",G35="PTT"),"--",VLOOKUP(F35,'Data Induk Pegawai'!B:AE,4,FALSE)))</f>
        <v/>
      </c>
      <c r="O35" s="18" t="s">
        <v>271</v>
      </c>
      <c r="P35" s="31" t="str">
        <f>IF(G35="","",VLOOKUP(F35,'Data Induk Pegawai'!B:AE,7,FALSE))</f>
        <v/>
      </c>
      <c r="Q35" s="30"/>
      <c r="R35" s="26" t="str">
        <f>IF(G35="","","Nomor "&amp;RIGHT(VLOOKUP(F35,'Data Induk Pegawai'!B:AE,12,FALSE),2)&amp;" Tahun "&amp;MID(VLOOKUP(F35,'Data Induk Pegawai'!B:AE,12,FALSE),5,4))</f>
        <v/>
      </c>
      <c r="S35" s="26" t="str">
        <f>IF(G35="","",VLOOKUP(F35,'Data Induk Pegawai'!B:AE,11,FALSE))</f>
        <v/>
      </c>
      <c r="T35" s="56"/>
      <c r="U35" s="18" t="str">
        <f t="shared" si="4"/>
        <v/>
      </c>
      <c r="V35" s="30"/>
      <c r="W35" s="18" t="str">
        <f t="shared" si="5"/>
        <v/>
      </c>
      <c r="X35" s="16"/>
      <c r="Y35" t="str">
        <f t="shared" si="6"/>
        <v/>
      </c>
      <c r="Z35" t="str">
        <f t="shared" si="7"/>
        <v/>
      </c>
      <c r="AA35" t="str">
        <f t="shared" si="8"/>
        <v/>
      </c>
      <c r="AB35" t="str">
        <f>COUNTIFS(AC35:AC$596,AC35)&amp;AC35</f>
        <v>562</v>
      </c>
      <c r="AC35" t="str">
        <f t="shared" si="9"/>
        <v/>
      </c>
      <c r="AD35" t="str">
        <f>COUNTIFS(AC$2:AC35,AC35)&amp;AC35</f>
        <v>34</v>
      </c>
      <c r="AE35" t="str">
        <f t="shared" si="10"/>
        <v/>
      </c>
      <c r="AF35" t="str">
        <f t="shared" si="11"/>
        <v>..</v>
      </c>
      <c r="AG35" s="28" t="str">
        <f t="shared" si="12"/>
        <v/>
      </c>
      <c r="AH35" s="28" t="str">
        <f t="shared" si="13"/>
        <v/>
      </c>
      <c r="AI35" t="str">
        <f t="shared" si="0"/>
        <v/>
      </c>
      <c r="AJ35" t="str">
        <f t="shared" si="14"/>
        <v/>
      </c>
      <c r="AK35" t="str">
        <f t="shared" si="15"/>
        <v/>
      </c>
      <c r="AL35" t="str">
        <f t="shared" si="16"/>
        <v/>
      </c>
      <c r="AM35" t="str">
        <f t="shared" si="1"/>
        <v/>
      </c>
      <c r="AN35" t="str">
        <f t="shared" si="17"/>
        <v/>
      </c>
      <c r="AO35" t="str">
        <f t="shared" si="18"/>
        <v/>
      </c>
      <c r="AP35" t="str">
        <f t="shared" si="19"/>
        <v/>
      </c>
      <c r="AQ35" t="str">
        <f t="shared" si="2"/>
        <v/>
      </c>
      <c r="AR35" t="str">
        <f t="shared" si="20"/>
        <v/>
      </c>
      <c r="AS35" t="str">
        <f t="shared" si="21"/>
        <v/>
      </c>
      <c r="AT35" t="str">
        <f t="shared" si="22"/>
        <v/>
      </c>
      <c r="AU35" s="25" t="str">
        <f t="shared" si="23"/>
        <v/>
      </c>
      <c r="BA35">
        <f>'REGISTER SK'!F38</f>
        <v>0</v>
      </c>
    </row>
    <row r="36" spans="1:53" x14ac:dyDescent="0.35">
      <c r="A36" s="18">
        <v>35</v>
      </c>
      <c r="B36" s="36" t="s">
        <v>379</v>
      </c>
      <c r="C36" s="18" t="str">
        <f>IF(G36="","",IF(G36="Umum",G36,VLOOKUP(F36,'Data Induk Pegawai'!B:AE,4,FALSE)))</f>
        <v/>
      </c>
      <c r="D36" s="19" t="str">
        <f>IF('REGISTER SK'!A39="","",IF('REGISTER SK'!B39=0,D35,'REGISTER SK'!B39))</f>
        <v/>
      </c>
      <c r="E36" s="19" t="str">
        <f t="shared" si="3"/>
        <v/>
      </c>
      <c r="F36" s="29"/>
      <c r="G36" s="29"/>
      <c r="H36" s="31" t="str">
        <f>IF(F36="","",VLOOKUP(F36,'Data Induk Pegawai'!B:U,2,FALSE))</f>
        <v/>
      </c>
      <c r="I36" s="19" t="str">
        <f>IF('REGISTER SK'!C39="","",'REGISTER SK'!C39)</f>
        <v/>
      </c>
      <c r="J36" s="125"/>
      <c r="K36" s="125"/>
      <c r="L36" s="26" t="str">
        <f>IF('REGISTER SK'!D39="","",'REGISTER SK'!D39)</f>
        <v/>
      </c>
      <c r="M36" s="26" t="str">
        <f>IF('REGISTER SK'!E39="","",'REGISTER SK'!E39)</f>
        <v/>
      </c>
      <c r="N36" s="31" t="str">
        <f>IF(G36="","",IF(OR(G36="GTT",G36="PTT"),"--",VLOOKUP(F36,'Data Induk Pegawai'!B:AE,4,FALSE)))</f>
        <v/>
      </c>
      <c r="O36" s="18" t="s">
        <v>275</v>
      </c>
      <c r="P36" s="31" t="str">
        <f>IF(G36="","",VLOOKUP(F36,'Data Induk Pegawai'!B:AE,7,FALSE))</f>
        <v/>
      </c>
      <c r="Q36" s="30"/>
      <c r="R36" s="26" t="str">
        <f>IF(G36="","","Nomor "&amp;RIGHT(VLOOKUP(F36,'Data Induk Pegawai'!B:AE,12,FALSE),2)&amp;" Tahun "&amp;MID(VLOOKUP(F36,'Data Induk Pegawai'!B:AE,12,FALSE),5,4))</f>
        <v/>
      </c>
      <c r="S36" s="26" t="str">
        <f>IF(G36="","",VLOOKUP(F36,'Data Induk Pegawai'!B:AE,11,FALSE))</f>
        <v/>
      </c>
      <c r="T36" s="56"/>
      <c r="U36" s="18" t="str">
        <f t="shared" si="4"/>
        <v/>
      </c>
      <c r="V36" s="30"/>
      <c r="W36" s="18" t="str">
        <f t="shared" si="5"/>
        <v/>
      </c>
      <c r="X36" s="16"/>
      <c r="Y36" t="str">
        <f t="shared" si="6"/>
        <v/>
      </c>
      <c r="Z36" t="str">
        <f t="shared" si="7"/>
        <v/>
      </c>
      <c r="AA36" t="str">
        <f t="shared" si="8"/>
        <v/>
      </c>
      <c r="AB36" t="str">
        <f>COUNTIFS(AC36:AC$596,AC36)&amp;AC36</f>
        <v>561</v>
      </c>
      <c r="AC36" t="str">
        <f t="shared" si="9"/>
        <v/>
      </c>
      <c r="AD36" t="str">
        <f>COUNTIFS(AC$2:AC36,AC36)&amp;AC36</f>
        <v>35</v>
      </c>
      <c r="AE36" t="str">
        <f t="shared" si="10"/>
        <v/>
      </c>
      <c r="AF36" t="str">
        <f t="shared" si="11"/>
        <v>..</v>
      </c>
      <c r="AG36" s="28" t="str">
        <f t="shared" si="12"/>
        <v/>
      </c>
      <c r="AH36" s="28" t="str">
        <f t="shared" si="13"/>
        <v/>
      </c>
      <c r="AI36" t="str">
        <f t="shared" si="0"/>
        <v/>
      </c>
      <c r="AJ36" t="str">
        <f t="shared" si="14"/>
        <v/>
      </c>
      <c r="AK36" t="str">
        <f t="shared" si="15"/>
        <v/>
      </c>
      <c r="AL36" t="str">
        <f t="shared" si="16"/>
        <v/>
      </c>
      <c r="AM36" t="str">
        <f t="shared" si="1"/>
        <v/>
      </c>
      <c r="AN36" t="str">
        <f t="shared" si="17"/>
        <v/>
      </c>
      <c r="AO36" t="str">
        <f t="shared" si="18"/>
        <v/>
      </c>
      <c r="AP36" t="str">
        <f t="shared" si="19"/>
        <v/>
      </c>
      <c r="AQ36" t="str">
        <f t="shared" si="2"/>
        <v/>
      </c>
      <c r="AR36" t="str">
        <f t="shared" si="20"/>
        <v/>
      </c>
      <c r="AS36" t="str">
        <f t="shared" si="21"/>
        <v/>
      </c>
      <c r="AT36" t="str">
        <f t="shared" si="22"/>
        <v/>
      </c>
      <c r="AU36" s="25" t="str">
        <f t="shared" si="23"/>
        <v/>
      </c>
      <c r="BA36">
        <f>'REGISTER SK'!F39</f>
        <v>0</v>
      </c>
    </row>
    <row r="37" spans="1:53" x14ac:dyDescent="0.35">
      <c r="A37" s="18">
        <v>36</v>
      </c>
      <c r="B37" s="36" t="s">
        <v>379</v>
      </c>
      <c r="C37" s="18" t="str">
        <f>IF(G37="","",IF(G37="Umum",G37,VLOOKUP(F37,'Data Induk Pegawai'!B:AE,4,FALSE)))</f>
        <v/>
      </c>
      <c r="D37" s="19" t="str">
        <f>IF('REGISTER SK'!A40="","",IF('REGISTER SK'!B40=0,D36,'REGISTER SK'!B40))</f>
        <v/>
      </c>
      <c r="E37" s="19" t="str">
        <f t="shared" si="3"/>
        <v/>
      </c>
      <c r="F37" s="29"/>
      <c r="G37" s="29"/>
      <c r="H37" s="31" t="str">
        <f>IF(F37="","",VLOOKUP(F37,'Data Induk Pegawai'!B:U,2,FALSE))</f>
        <v/>
      </c>
      <c r="I37" s="19" t="str">
        <f>IF('REGISTER SK'!C40="","",'REGISTER SK'!C40)</f>
        <v/>
      </c>
      <c r="J37" s="125"/>
      <c r="K37" s="125"/>
      <c r="L37" s="26" t="str">
        <f>IF('REGISTER SK'!D40="","",'REGISTER SK'!D40)</f>
        <v/>
      </c>
      <c r="M37" s="26" t="str">
        <f>IF('REGISTER SK'!E40="","",'REGISTER SK'!E40)</f>
        <v/>
      </c>
      <c r="N37" s="31" t="str">
        <f>IF(G37="","",IF(OR(G37="GTT",G37="PTT"),"--",VLOOKUP(F37,'Data Induk Pegawai'!B:AE,4,FALSE)))</f>
        <v/>
      </c>
      <c r="O37" s="18" t="s">
        <v>500</v>
      </c>
      <c r="P37" s="31" t="str">
        <f>IF(G37="","",VLOOKUP(F37,'Data Induk Pegawai'!B:AE,7,FALSE))</f>
        <v/>
      </c>
      <c r="Q37" s="30"/>
      <c r="R37" s="26" t="str">
        <f>IF(G37="","","Nomor "&amp;RIGHT(VLOOKUP(F37,'Data Induk Pegawai'!B:AE,12,FALSE),2)&amp;" Tahun "&amp;MID(VLOOKUP(F37,'Data Induk Pegawai'!B:AE,12,FALSE),5,4))</f>
        <v/>
      </c>
      <c r="S37" s="26" t="str">
        <f>IF(G37="","",VLOOKUP(F37,'Data Induk Pegawai'!B:AE,11,FALSE))</f>
        <v/>
      </c>
      <c r="T37" s="56"/>
      <c r="U37" s="18" t="str">
        <f t="shared" si="4"/>
        <v/>
      </c>
      <c r="V37" s="30"/>
      <c r="W37" s="18" t="str">
        <f t="shared" si="5"/>
        <v/>
      </c>
      <c r="X37" s="16"/>
      <c r="Y37" t="str">
        <f t="shared" si="6"/>
        <v/>
      </c>
      <c r="Z37" t="str">
        <f t="shared" si="7"/>
        <v/>
      </c>
      <c r="AA37" t="str">
        <f t="shared" si="8"/>
        <v/>
      </c>
      <c r="AB37" t="str">
        <f>COUNTIFS(AC37:AC$596,AC37)&amp;AC37</f>
        <v>560</v>
      </c>
      <c r="AC37" t="str">
        <f t="shared" si="9"/>
        <v/>
      </c>
      <c r="AD37" t="str">
        <f>COUNTIFS(AC$2:AC37,AC37)&amp;AC37</f>
        <v>36</v>
      </c>
      <c r="AE37" t="str">
        <f t="shared" si="10"/>
        <v/>
      </c>
      <c r="AF37" t="str">
        <f t="shared" si="11"/>
        <v>..</v>
      </c>
      <c r="AG37" s="28" t="str">
        <f t="shared" si="12"/>
        <v/>
      </c>
      <c r="AH37" s="28" t="str">
        <f t="shared" si="13"/>
        <v/>
      </c>
      <c r="AI37" t="str">
        <f t="shared" si="0"/>
        <v/>
      </c>
      <c r="AJ37" t="str">
        <f t="shared" si="14"/>
        <v/>
      </c>
      <c r="AK37" t="str">
        <f t="shared" si="15"/>
        <v/>
      </c>
      <c r="AL37" t="str">
        <f t="shared" si="16"/>
        <v/>
      </c>
      <c r="AM37" t="str">
        <f t="shared" si="1"/>
        <v/>
      </c>
      <c r="AN37" t="str">
        <f t="shared" si="17"/>
        <v/>
      </c>
      <c r="AO37" t="str">
        <f t="shared" si="18"/>
        <v/>
      </c>
      <c r="AP37" t="str">
        <f t="shared" si="19"/>
        <v/>
      </c>
      <c r="AQ37" t="str">
        <f t="shared" si="2"/>
        <v/>
      </c>
      <c r="AR37" t="str">
        <f t="shared" si="20"/>
        <v/>
      </c>
      <c r="AS37" t="str">
        <f t="shared" si="21"/>
        <v/>
      </c>
      <c r="AT37" t="str">
        <f t="shared" si="22"/>
        <v/>
      </c>
      <c r="AU37" s="25" t="str">
        <f t="shared" si="23"/>
        <v/>
      </c>
      <c r="BA37">
        <f>'REGISTER SK'!F40</f>
        <v>0</v>
      </c>
    </row>
    <row r="38" spans="1:53" x14ac:dyDescent="0.35">
      <c r="A38" s="18">
        <v>37</v>
      </c>
      <c r="B38" s="36" t="s">
        <v>379</v>
      </c>
      <c r="C38" s="18" t="str">
        <f>IF(G38="","",IF(G38="Umum",G38,VLOOKUP(F38,'Data Induk Pegawai'!B:AE,4,FALSE)))</f>
        <v/>
      </c>
      <c r="D38" s="19" t="str">
        <f>IF('REGISTER SK'!A41="","",IF('REGISTER SK'!B41=0,D37,'REGISTER SK'!B41))</f>
        <v/>
      </c>
      <c r="E38" s="19" t="str">
        <f t="shared" si="3"/>
        <v/>
      </c>
      <c r="F38" s="29"/>
      <c r="G38" s="29"/>
      <c r="H38" s="31" t="str">
        <f>IF(F38="","",VLOOKUP(F38,'Data Induk Pegawai'!B:U,2,FALSE))</f>
        <v/>
      </c>
      <c r="I38" s="19" t="str">
        <f>IF('REGISTER SK'!C41="","",'REGISTER SK'!C41)</f>
        <v/>
      </c>
      <c r="J38" s="125"/>
      <c r="K38" s="125"/>
      <c r="L38" s="26" t="str">
        <f>IF('REGISTER SK'!D41="","",'REGISTER SK'!D41)</f>
        <v/>
      </c>
      <c r="M38" s="26" t="str">
        <f>IF('REGISTER SK'!E41="","",'REGISTER SK'!E41)</f>
        <v/>
      </c>
      <c r="N38" s="31" t="str">
        <f>IF(G38="","",IF(OR(G38="GTT",G38="PTT"),"--",VLOOKUP(F38,'Data Induk Pegawai'!B:AE,4,FALSE)))</f>
        <v/>
      </c>
      <c r="O38" s="18" t="s">
        <v>277</v>
      </c>
      <c r="P38" s="31" t="str">
        <f>IF(G38="","",VLOOKUP(F38,'Data Induk Pegawai'!B:AE,7,FALSE))</f>
        <v/>
      </c>
      <c r="Q38" s="30"/>
      <c r="R38" s="26" t="str">
        <f>IF(G38="","","Nomor "&amp;RIGHT(VLOOKUP(F38,'Data Induk Pegawai'!B:AE,12,FALSE),2)&amp;" Tahun "&amp;MID(VLOOKUP(F38,'Data Induk Pegawai'!B:AE,12,FALSE),5,4))</f>
        <v/>
      </c>
      <c r="S38" s="26" t="str">
        <f>IF(G38="","",VLOOKUP(F38,'Data Induk Pegawai'!B:AE,11,FALSE))</f>
        <v/>
      </c>
      <c r="T38" s="56"/>
      <c r="U38" s="18" t="str">
        <f t="shared" si="4"/>
        <v/>
      </c>
      <c r="V38" s="30"/>
      <c r="W38" s="18" t="str">
        <f t="shared" si="5"/>
        <v/>
      </c>
      <c r="X38" s="16"/>
      <c r="Y38" t="str">
        <f t="shared" si="6"/>
        <v/>
      </c>
      <c r="Z38" t="str">
        <f t="shared" si="7"/>
        <v/>
      </c>
      <c r="AA38" t="str">
        <f t="shared" si="8"/>
        <v/>
      </c>
      <c r="AB38" t="str">
        <f>COUNTIFS(AC38:AC$596,AC38)&amp;AC38</f>
        <v>559</v>
      </c>
      <c r="AC38" t="str">
        <f t="shared" si="9"/>
        <v/>
      </c>
      <c r="AD38" t="str">
        <f>COUNTIFS(AC$2:AC38,AC38)&amp;AC38</f>
        <v>37</v>
      </c>
      <c r="AE38" t="str">
        <f t="shared" si="10"/>
        <v/>
      </c>
      <c r="AF38" t="str">
        <f t="shared" si="11"/>
        <v>..</v>
      </c>
      <c r="AG38" s="28" t="str">
        <f t="shared" si="12"/>
        <v/>
      </c>
      <c r="AH38" s="28" t="str">
        <f t="shared" si="13"/>
        <v/>
      </c>
      <c r="AI38" t="str">
        <f t="shared" si="0"/>
        <v/>
      </c>
      <c r="AJ38" t="str">
        <f t="shared" si="14"/>
        <v/>
      </c>
      <c r="AK38" t="str">
        <f t="shared" si="15"/>
        <v/>
      </c>
      <c r="AL38" t="str">
        <f t="shared" si="16"/>
        <v/>
      </c>
      <c r="AM38" t="str">
        <f t="shared" si="1"/>
        <v/>
      </c>
      <c r="AN38" t="str">
        <f t="shared" si="17"/>
        <v/>
      </c>
      <c r="AO38" t="str">
        <f t="shared" si="18"/>
        <v/>
      </c>
      <c r="AP38" t="str">
        <f t="shared" si="19"/>
        <v/>
      </c>
      <c r="AQ38" t="str">
        <f t="shared" si="2"/>
        <v/>
      </c>
      <c r="AR38" t="str">
        <f t="shared" si="20"/>
        <v/>
      </c>
      <c r="AS38" t="str">
        <f t="shared" si="21"/>
        <v/>
      </c>
      <c r="AT38" t="str">
        <f t="shared" si="22"/>
        <v/>
      </c>
      <c r="AU38" s="25" t="str">
        <f t="shared" si="23"/>
        <v/>
      </c>
      <c r="BA38">
        <f>'REGISTER SK'!F41</f>
        <v>0</v>
      </c>
    </row>
    <row r="39" spans="1:53" x14ac:dyDescent="0.35">
      <c r="A39" s="18">
        <v>38</v>
      </c>
      <c r="B39" s="36" t="s">
        <v>379</v>
      </c>
      <c r="C39" s="18" t="str">
        <f>IF(G39="","",IF(G39="Umum",G39,VLOOKUP(F39,'Data Induk Pegawai'!B:AE,4,FALSE)))</f>
        <v/>
      </c>
      <c r="D39" s="19" t="str">
        <f>IF('REGISTER SK'!A42="","",IF('REGISTER SK'!B42=0,D38,'REGISTER SK'!B42))</f>
        <v/>
      </c>
      <c r="E39" s="19" t="str">
        <f t="shared" si="3"/>
        <v/>
      </c>
      <c r="F39" s="29"/>
      <c r="G39" s="29"/>
      <c r="H39" s="31" t="str">
        <f>IF(F39="","",VLOOKUP(F39,'Data Induk Pegawai'!B:U,2,FALSE))</f>
        <v/>
      </c>
      <c r="I39" s="19" t="str">
        <f>IF('REGISTER SK'!C42="","",'REGISTER SK'!C42)</f>
        <v/>
      </c>
      <c r="J39" s="125"/>
      <c r="K39" s="125"/>
      <c r="L39" s="26" t="str">
        <f>IF('REGISTER SK'!D42="","",'REGISTER SK'!D42)</f>
        <v/>
      </c>
      <c r="M39" s="26" t="str">
        <f>IF('REGISTER SK'!E42="","",'REGISTER SK'!E42)</f>
        <v/>
      </c>
      <c r="N39" s="31" t="str">
        <f>IF(G39="","",IF(OR(G39="GTT",G39="PTT"),"--",VLOOKUP(F39,'Data Induk Pegawai'!B:AE,4,FALSE)))</f>
        <v/>
      </c>
      <c r="O39" s="18" t="s">
        <v>278</v>
      </c>
      <c r="P39" s="31" t="str">
        <f>IF(G39="","",VLOOKUP(F39,'Data Induk Pegawai'!B:AE,7,FALSE))</f>
        <v/>
      </c>
      <c r="Q39" s="30"/>
      <c r="R39" s="26" t="str">
        <f>IF(G39="","","Nomor "&amp;RIGHT(VLOOKUP(F39,'Data Induk Pegawai'!B:AE,12,FALSE),2)&amp;" Tahun "&amp;MID(VLOOKUP(F39,'Data Induk Pegawai'!B:AE,12,FALSE),5,4))</f>
        <v/>
      </c>
      <c r="S39" s="26" t="str">
        <f>IF(G39="","",VLOOKUP(F39,'Data Induk Pegawai'!B:AE,11,FALSE))</f>
        <v/>
      </c>
      <c r="T39" s="56"/>
      <c r="U39" s="18" t="str">
        <f t="shared" si="4"/>
        <v/>
      </c>
      <c r="V39" s="30"/>
      <c r="W39" s="18" t="str">
        <f t="shared" si="5"/>
        <v/>
      </c>
      <c r="X39" s="16"/>
      <c r="Y39" t="str">
        <f t="shared" si="6"/>
        <v/>
      </c>
      <c r="Z39" t="str">
        <f t="shared" si="7"/>
        <v/>
      </c>
      <c r="AA39" t="str">
        <f t="shared" si="8"/>
        <v/>
      </c>
      <c r="AB39" t="str">
        <f>COUNTIFS(AC39:AC$596,AC39)&amp;AC39</f>
        <v>558</v>
      </c>
      <c r="AC39" t="str">
        <f t="shared" si="9"/>
        <v/>
      </c>
      <c r="AD39" t="str">
        <f>COUNTIFS(AC$2:AC39,AC39)&amp;AC39</f>
        <v>38</v>
      </c>
      <c r="AE39" t="str">
        <f t="shared" si="10"/>
        <v/>
      </c>
      <c r="AF39" t="str">
        <f t="shared" si="11"/>
        <v>..</v>
      </c>
      <c r="AG39" s="28" t="str">
        <f t="shared" si="12"/>
        <v/>
      </c>
      <c r="AH39" s="28" t="str">
        <f t="shared" si="13"/>
        <v/>
      </c>
      <c r="AI39" t="str">
        <f t="shared" si="0"/>
        <v/>
      </c>
      <c r="AJ39" t="str">
        <f t="shared" si="14"/>
        <v/>
      </c>
      <c r="AK39" t="str">
        <f t="shared" si="15"/>
        <v/>
      </c>
      <c r="AL39" t="str">
        <f t="shared" si="16"/>
        <v/>
      </c>
      <c r="AM39" t="str">
        <f t="shared" si="1"/>
        <v/>
      </c>
      <c r="AN39" t="str">
        <f t="shared" si="17"/>
        <v/>
      </c>
      <c r="AO39" t="str">
        <f t="shared" si="18"/>
        <v/>
      </c>
      <c r="AP39" t="str">
        <f t="shared" si="19"/>
        <v/>
      </c>
      <c r="AQ39" t="str">
        <f t="shared" si="2"/>
        <v/>
      </c>
      <c r="AR39" t="str">
        <f t="shared" si="20"/>
        <v/>
      </c>
      <c r="AS39" t="str">
        <f t="shared" si="21"/>
        <v/>
      </c>
      <c r="AT39" t="str">
        <f t="shared" si="22"/>
        <v/>
      </c>
      <c r="AU39" s="25" t="str">
        <f t="shared" si="23"/>
        <v/>
      </c>
      <c r="BA39">
        <f>'REGISTER SK'!F42</f>
        <v>0</v>
      </c>
    </row>
    <row r="40" spans="1:53" x14ac:dyDescent="0.35">
      <c r="A40" s="18">
        <v>39</v>
      </c>
      <c r="B40" s="36" t="s">
        <v>379</v>
      </c>
      <c r="C40" s="18" t="str">
        <f>IF(G40="","",IF(G40="Umum",G40,VLOOKUP(F40,'Data Induk Pegawai'!B:AE,4,FALSE)))</f>
        <v/>
      </c>
      <c r="D40" s="19" t="str">
        <f>IF('REGISTER SK'!A43="","",IF('REGISTER SK'!B43=0,D39,'REGISTER SK'!B43))</f>
        <v/>
      </c>
      <c r="E40" s="19" t="str">
        <f t="shared" si="3"/>
        <v/>
      </c>
      <c r="F40" s="29"/>
      <c r="G40" s="29"/>
      <c r="H40" s="31" t="str">
        <f>IF(F40="","",VLOOKUP(F40,'Data Induk Pegawai'!B:U,2,FALSE))</f>
        <v/>
      </c>
      <c r="I40" s="19" t="str">
        <f>IF('REGISTER SK'!C43="","",'REGISTER SK'!C43)</f>
        <v/>
      </c>
      <c r="J40" s="125"/>
      <c r="K40" s="125"/>
      <c r="L40" s="26" t="str">
        <f>IF('REGISTER SK'!D43="","",'REGISTER SK'!D43)</f>
        <v/>
      </c>
      <c r="M40" s="26" t="str">
        <f>IF('REGISTER SK'!E43="","",'REGISTER SK'!E43)</f>
        <v/>
      </c>
      <c r="N40" s="31" t="str">
        <f>IF(G40="","",IF(OR(G40="GTT",G40="PTT"),"--",VLOOKUP(F40,'Data Induk Pegawai'!B:AE,4,FALSE)))</f>
        <v/>
      </c>
      <c r="O40" s="18" t="s">
        <v>282</v>
      </c>
      <c r="P40" s="31" t="str">
        <f>IF(G40="","",VLOOKUP(F40,'Data Induk Pegawai'!B:AE,7,FALSE))</f>
        <v/>
      </c>
      <c r="Q40" s="30"/>
      <c r="R40" s="26" t="str">
        <f>IF(G40="","","Nomor "&amp;RIGHT(VLOOKUP(F40,'Data Induk Pegawai'!B:AE,12,FALSE),2)&amp;" Tahun "&amp;MID(VLOOKUP(F40,'Data Induk Pegawai'!B:AE,12,FALSE),5,4))</f>
        <v/>
      </c>
      <c r="S40" s="26" t="str">
        <f>IF(G40="","",VLOOKUP(F40,'Data Induk Pegawai'!B:AE,11,FALSE))</f>
        <v/>
      </c>
      <c r="T40" s="56"/>
      <c r="U40" s="18" t="str">
        <f t="shared" si="4"/>
        <v/>
      </c>
      <c r="V40" s="30"/>
      <c r="W40" s="18" t="str">
        <f t="shared" si="5"/>
        <v/>
      </c>
      <c r="X40" s="16"/>
      <c r="Y40" t="str">
        <f t="shared" si="6"/>
        <v/>
      </c>
      <c r="Z40" t="str">
        <f t="shared" si="7"/>
        <v/>
      </c>
      <c r="AA40" t="str">
        <f t="shared" si="8"/>
        <v/>
      </c>
      <c r="AB40" t="str">
        <f>COUNTIFS(AC40:AC$596,AC40)&amp;AC40</f>
        <v>557</v>
      </c>
      <c r="AC40" t="str">
        <f t="shared" si="9"/>
        <v/>
      </c>
      <c r="AD40" t="str">
        <f>COUNTIFS(AC$2:AC40,AC40)&amp;AC40</f>
        <v>39</v>
      </c>
      <c r="AE40" t="str">
        <f t="shared" si="10"/>
        <v/>
      </c>
      <c r="AF40" t="str">
        <f t="shared" si="11"/>
        <v>..</v>
      </c>
      <c r="AG40" s="28" t="str">
        <f t="shared" si="12"/>
        <v/>
      </c>
      <c r="AH40" s="28" t="str">
        <f t="shared" si="13"/>
        <v/>
      </c>
      <c r="AI40" t="str">
        <f t="shared" si="0"/>
        <v/>
      </c>
      <c r="AJ40" t="str">
        <f t="shared" si="14"/>
        <v/>
      </c>
      <c r="AK40" t="str">
        <f t="shared" si="15"/>
        <v/>
      </c>
      <c r="AL40" t="str">
        <f t="shared" si="16"/>
        <v/>
      </c>
      <c r="AM40" t="str">
        <f t="shared" si="1"/>
        <v/>
      </c>
      <c r="AN40" t="str">
        <f t="shared" si="17"/>
        <v/>
      </c>
      <c r="AO40" t="str">
        <f t="shared" si="18"/>
        <v/>
      </c>
      <c r="AP40" t="str">
        <f t="shared" si="19"/>
        <v/>
      </c>
      <c r="AQ40" t="str">
        <f t="shared" si="2"/>
        <v/>
      </c>
      <c r="AR40" t="str">
        <f t="shared" si="20"/>
        <v/>
      </c>
      <c r="AS40" t="str">
        <f t="shared" si="21"/>
        <v/>
      </c>
      <c r="AT40" t="str">
        <f t="shared" si="22"/>
        <v/>
      </c>
      <c r="AU40" s="25" t="str">
        <f t="shared" si="23"/>
        <v/>
      </c>
      <c r="BA40">
        <f>'REGISTER SK'!F43</f>
        <v>0</v>
      </c>
    </row>
    <row r="41" spans="1:53" x14ac:dyDescent="0.35">
      <c r="A41" s="18">
        <v>40</v>
      </c>
      <c r="B41" s="36" t="s">
        <v>379</v>
      </c>
      <c r="C41" s="18" t="str">
        <f>IF(G41="","",IF(G41="Umum",G41,VLOOKUP(F41,'Data Induk Pegawai'!B:AE,4,FALSE)))</f>
        <v/>
      </c>
      <c r="D41" s="19" t="str">
        <f>IF('REGISTER SK'!A44="","",IF('REGISTER SK'!B44=0,D40,'REGISTER SK'!B44))</f>
        <v/>
      </c>
      <c r="E41" s="19" t="str">
        <f t="shared" si="3"/>
        <v/>
      </c>
      <c r="F41" s="29"/>
      <c r="G41" s="29"/>
      <c r="H41" s="31" t="str">
        <f>IF(F41="","",VLOOKUP(F41,'Data Induk Pegawai'!B:U,2,FALSE))</f>
        <v/>
      </c>
      <c r="I41" s="19" t="str">
        <f>IF('REGISTER SK'!C44="","",'REGISTER SK'!C44)</f>
        <v/>
      </c>
      <c r="J41" s="125"/>
      <c r="K41" s="125"/>
      <c r="L41" s="26" t="str">
        <f>IF('REGISTER SK'!D44="","",'REGISTER SK'!D44)</f>
        <v/>
      </c>
      <c r="M41" s="26" t="str">
        <f>IF('REGISTER SK'!E44="","",'REGISTER SK'!E44)</f>
        <v/>
      </c>
      <c r="N41" s="31" t="str">
        <f>IF(G41="","",IF(OR(G41="GTT",G41="PTT"),"--",VLOOKUP(F41,'Data Induk Pegawai'!B:AE,4,FALSE)))</f>
        <v/>
      </c>
      <c r="O41" s="18" t="s">
        <v>279</v>
      </c>
      <c r="P41" s="31" t="str">
        <f>IF(G41="","",VLOOKUP(F41,'Data Induk Pegawai'!B:AE,7,FALSE))</f>
        <v/>
      </c>
      <c r="Q41" s="30"/>
      <c r="R41" s="26" t="str">
        <f>IF(G41="","","Nomor "&amp;RIGHT(VLOOKUP(F41,'Data Induk Pegawai'!B:AE,12,FALSE),2)&amp;" Tahun "&amp;MID(VLOOKUP(F41,'Data Induk Pegawai'!B:AE,12,FALSE),5,4))</f>
        <v/>
      </c>
      <c r="S41" s="26" t="str">
        <f>IF(G41="","",VLOOKUP(F41,'Data Induk Pegawai'!B:AE,11,FALSE))</f>
        <v/>
      </c>
      <c r="T41" s="56"/>
      <c r="U41" s="18" t="str">
        <f t="shared" si="4"/>
        <v/>
      </c>
      <c r="V41" s="30"/>
      <c r="W41" s="18" t="str">
        <f t="shared" si="5"/>
        <v/>
      </c>
      <c r="X41" s="16"/>
      <c r="Y41" t="str">
        <f t="shared" si="6"/>
        <v/>
      </c>
      <c r="Z41" t="str">
        <f t="shared" si="7"/>
        <v/>
      </c>
      <c r="AA41" t="str">
        <f t="shared" si="8"/>
        <v/>
      </c>
      <c r="AB41" t="str">
        <f>COUNTIFS(AC41:AC$596,AC41)&amp;AC41</f>
        <v>556</v>
      </c>
      <c r="AC41" t="str">
        <f t="shared" si="9"/>
        <v/>
      </c>
      <c r="AD41" t="str">
        <f>COUNTIFS(AC$2:AC41,AC41)&amp;AC41</f>
        <v>40</v>
      </c>
      <c r="AE41" t="str">
        <f t="shared" si="10"/>
        <v/>
      </c>
      <c r="AF41" t="str">
        <f t="shared" si="11"/>
        <v>..</v>
      </c>
      <c r="AG41" s="28" t="str">
        <f t="shared" si="12"/>
        <v/>
      </c>
      <c r="AH41" s="28" t="str">
        <f t="shared" si="13"/>
        <v/>
      </c>
      <c r="AI41" t="str">
        <f t="shared" si="0"/>
        <v/>
      </c>
      <c r="AJ41" t="str">
        <f t="shared" si="14"/>
        <v/>
      </c>
      <c r="AK41" t="str">
        <f t="shared" si="15"/>
        <v/>
      </c>
      <c r="AL41" t="str">
        <f t="shared" si="16"/>
        <v/>
      </c>
      <c r="AM41" t="str">
        <f t="shared" si="1"/>
        <v/>
      </c>
      <c r="AN41" t="str">
        <f t="shared" si="17"/>
        <v/>
      </c>
      <c r="AO41" t="str">
        <f t="shared" si="18"/>
        <v/>
      </c>
      <c r="AP41" t="str">
        <f t="shared" si="19"/>
        <v/>
      </c>
      <c r="AQ41" t="str">
        <f t="shared" si="2"/>
        <v/>
      </c>
      <c r="AR41" t="str">
        <f t="shared" si="20"/>
        <v/>
      </c>
      <c r="AS41" t="str">
        <f t="shared" si="21"/>
        <v/>
      </c>
      <c r="AT41" t="str">
        <f t="shared" si="22"/>
        <v/>
      </c>
      <c r="AU41" s="25" t="str">
        <f t="shared" si="23"/>
        <v/>
      </c>
      <c r="BA41">
        <f>'REGISTER SK'!F44</f>
        <v>0</v>
      </c>
    </row>
    <row r="42" spans="1:53" x14ac:dyDescent="0.35">
      <c r="A42" s="18">
        <v>41</v>
      </c>
      <c r="B42" s="36" t="s">
        <v>379</v>
      </c>
      <c r="C42" s="18" t="str">
        <f>IF(G42="","",IF(G42="Umum",G42,VLOOKUP(F42,'Data Induk Pegawai'!B:AE,4,FALSE)))</f>
        <v/>
      </c>
      <c r="D42" s="19" t="str">
        <f>IF('REGISTER SK'!A45="","",IF('REGISTER SK'!B45=0,D41,'REGISTER SK'!B45))</f>
        <v/>
      </c>
      <c r="E42" s="19" t="str">
        <f t="shared" si="3"/>
        <v/>
      </c>
      <c r="F42" s="29"/>
      <c r="G42" s="29"/>
      <c r="H42" s="31" t="str">
        <f>IF(F42="","",VLOOKUP(F42,'Data Induk Pegawai'!B:U,2,FALSE))</f>
        <v/>
      </c>
      <c r="I42" s="19" t="str">
        <f>IF('REGISTER SK'!C45="","",'REGISTER SK'!C45)</f>
        <v/>
      </c>
      <c r="J42" s="125"/>
      <c r="K42" s="125"/>
      <c r="L42" s="26" t="str">
        <f>IF('REGISTER SK'!D45="","",'REGISTER SK'!D45)</f>
        <v/>
      </c>
      <c r="M42" s="26" t="str">
        <f>IF('REGISTER SK'!E45="","",'REGISTER SK'!E45)</f>
        <v/>
      </c>
      <c r="N42" s="31" t="str">
        <f>IF(G42="","",IF(OR(G42="GTT",G42="PTT"),"--",VLOOKUP(F42,'Data Induk Pegawai'!B:AE,4,FALSE)))</f>
        <v/>
      </c>
      <c r="O42" s="18" t="s">
        <v>257</v>
      </c>
      <c r="P42" s="31" t="str">
        <f>IF(G42="","",VLOOKUP(F42,'Data Induk Pegawai'!B:AE,7,FALSE))</f>
        <v/>
      </c>
      <c r="Q42" s="30"/>
      <c r="R42" s="26" t="str">
        <f>IF(G42="","","Nomor "&amp;RIGHT(VLOOKUP(F42,'Data Induk Pegawai'!B:AE,12,FALSE),2)&amp;" Tahun "&amp;MID(VLOOKUP(F42,'Data Induk Pegawai'!B:AE,12,FALSE),5,4))</f>
        <v/>
      </c>
      <c r="S42" s="26" t="str">
        <f>IF(G42="","",VLOOKUP(F42,'Data Induk Pegawai'!B:AE,11,FALSE))</f>
        <v/>
      </c>
      <c r="T42" s="56"/>
      <c r="U42" s="18" t="str">
        <f t="shared" si="4"/>
        <v/>
      </c>
      <c r="V42" s="30"/>
      <c r="W42" s="18" t="str">
        <f t="shared" si="5"/>
        <v/>
      </c>
      <c r="X42" s="16"/>
      <c r="Y42" t="str">
        <f t="shared" si="6"/>
        <v/>
      </c>
      <c r="Z42" t="str">
        <f t="shared" si="7"/>
        <v/>
      </c>
      <c r="AA42" t="str">
        <f t="shared" si="8"/>
        <v/>
      </c>
      <c r="AB42" t="str">
        <f>COUNTIFS(AC42:AC$596,AC42)&amp;AC42</f>
        <v>555</v>
      </c>
      <c r="AC42" t="str">
        <f t="shared" si="9"/>
        <v/>
      </c>
      <c r="AD42" t="str">
        <f>COUNTIFS(AC$2:AC42,AC42)&amp;AC42</f>
        <v>41</v>
      </c>
      <c r="AE42" t="str">
        <f t="shared" si="10"/>
        <v/>
      </c>
      <c r="AF42" t="str">
        <f t="shared" si="11"/>
        <v>..</v>
      </c>
      <c r="AG42" s="28" t="str">
        <f t="shared" si="12"/>
        <v/>
      </c>
      <c r="AH42" s="28" t="str">
        <f t="shared" si="13"/>
        <v/>
      </c>
      <c r="AI42" t="str">
        <f t="shared" si="0"/>
        <v/>
      </c>
      <c r="AJ42" t="str">
        <f t="shared" si="14"/>
        <v/>
      </c>
      <c r="AK42" t="str">
        <f t="shared" si="15"/>
        <v/>
      </c>
      <c r="AL42" t="str">
        <f t="shared" si="16"/>
        <v/>
      </c>
      <c r="AM42" t="str">
        <f t="shared" si="1"/>
        <v/>
      </c>
      <c r="AN42" t="str">
        <f t="shared" si="17"/>
        <v/>
      </c>
      <c r="AO42" t="str">
        <f t="shared" si="18"/>
        <v/>
      </c>
      <c r="AP42" t="str">
        <f t="shared" si="19"/>
        <v/>
      </c>
      <c r="AQ42" t="str">
        <f t="shared" si="2"/>
        <v/>
      </c>
      <c r="AR42" t="str">
        <f t="shared" si="20"/>
        <v/>
      </c>
      <c r="AS42" t="str">
        <f t="shared" si="21"/>
        <v/>
      </c>
      <c r="AT42" t="str">
        <f t="shared" si="22"/>
        <v/>
      </c>
      <c r="AU42" s="25" t="str">
        <f t="shared" si="23"/>
        <v/>
      </c>
      <c r="BA42">
        <f>'REGISTER SK'!F45</f>
        <v>0</v>
      </c>
    </row>
    <row r="43" spans="1:53" x14ac:dyDescent="0.35">
      <c r="A43" s="18">
        <v>42</v>
      </c>
      <c r="B43" s="36" t="s">
        <v>379</v>
      </c>
      <c r="C43" s="18" t="str">
        <f>IF(G43="","",IF(G43="Umum",G43,VLOOKUP(F43,'Data Induk Pegawai'!B:AE,4,FALSE)))</f>
        <v/>
      </c>
      <c r="D43" s="19" t="str">
        <f>IF('REGISTER SK'!A46="","",IF('REGISTER SK'!B46=0,D42,'REGISTER SK'!B46))</f>
        <v/>
      </c>
      <c r="E43" s="19" t="str">
        <f t="shared" si="3"/>
        <v/>
      </c>
      <c r="F43" s="29"/>
      <c r="G43" s="29"/>
      <c r="H43" s="31" t="str">
        <f>IF(F43="","",VLOOKUP(F43,'Data Induk Pegawai'!B:U,2,FALSE))</f>
        <v/>
      </c>
      <c r="I43" s="19" t="str">
        <f>IF('REGISTER SK'!C46="","",'REGISTER SK'!C46)</f>
        <v/>
      </c>
      <c r="J43" s="125"/>
      <c r="K43" s="125"/>
      <c r="L43" s="26" t="str">
        <f>IF('REGISTER SK'!D46="","",'REGISTER SK'!D46)</f>
        <v/>
      </c>
      <c r="M43" s="26" t="str">
        <f>IF('REGISTER SK'!E46="","",'REGISTER SK'!E46)</f>
        <v/>
      </c>
      <c r="N43" s="31" t="str">
        <f>IF(G43="","",IF(OR(G43="GTT",G43="PTT"),"--",VLOOKUP(F43,'Data Induk Pegawai'!B:AE,4,FALSE)))</f>
        <v/>
      </c>
      <c r="O43" s="18" t="s">
        <v>267</v>
      </c>
      <c r="P43" s="31" t="str">
        <f>IF(G43="","",VLOOKUP(F43,'Data Induk Pegawai'!B:AE,7,FALSE))</f>
        <v/>
      </c>
      <c r="Q43" s="30"/>
      <c r="R43" s="26" t="str">
        <f>IF(G43="","","Nomor "&amp;RIGHT(VLOOKUP(F43,'Data Induk Pegawai'!B:AE,12,FALSE),2)&amp;" Tahun "&amp;MID(VLOOKUP(F43,'Data Induk Pegawai'!B:AE,12,FALSE),5,4))</f>
        <v/>
      </c>
      <c r="S43" s="26" t="str">
        <f>IF(G43="","",VLOOKUP(F43,'Data Induk Pegawai'!B:AE,11,FALSE))</f>
        <v/>
      </c>
      <c r="T43" s="56"/>
      <c r="U43" s="18" t="str">
        <f t="shared" si="4"/>
        <v/>
      </c>
      <c r="V43" s="30"/>
      <c r="W43" s="18" t="str">
        <f t="shared" si="5"/>
        <v/>
      </c>
      <c r="X43" s="16"/>
      <c r="Y43" t="str">
        <f t="shared" si="6"/>
        <v/>
      </c>
      <c r="Z43" t="str">
        <f t="shared" si="7"/>
        <v/>
      </c>
      <c r="AA43" t="str">
        <f t="shared" si="8"/>
        <v/>
      </c>
      <c r="AB43" t="str">
        <f>COUNTIFS(AC43:AC$596,AC43)&amp;AC43</f>
        <v>554</v>
      </c>
      <c r="AC43" t="str">
        <f t="shared" si="9"/>
        <v/>
      </c>
      <c r="AD43" t="str">
        <f>COUNTIFS(AC$2:AC43,AC43)&amp;AC43</f>
        <v>42</v>
      </c>
      <c r="AE43" t="str">
        <f t="shared" si="10"/>
        <v/>
      </c>
      <c r="AF43" t="str">
        <f t="shared" si="11"/>
        <v>..</v>
      </c>
      <c r="AG43" s="28" t="str">
        <f t="shared" si="12"/>
        <v/>
      </c>
      <c r="AH43" s="28" t="str">
        <f t="shared" si="13"/>
        <v/>
      </c>
      <c r="AI43" t="str">
        <f t="shared" si="0"/>
        <v/>
      </c>
      <c r="AJ43" t="str">
        <f t="shared" si="14"/>
        <v/>
      </c>
      <c r="AK43" t="str">
        <f t="shared" si="15"/>
        <v/>
      </c>
      <c r="AL43" t="str">
        <f t="shared" si="16"/>
        <v/>
      </c>
      <c r="AM43" t="str">
        <f t="shared" si="1"/>
        <v/>
      </c>
      <c r="AN43" t="str">
        <f t="shared" si="17"/>
        <v/>
      </c>
      <c r="AO43" t="str">
        <f t="shared" si="18"/>
        <v/>
      </c>
      <c r="AP43" t="str">
        <f t="shared" si="19"/>
        <v/>
      </c>
      <c r="AQ43" t="str">
        <f t="shared" si="2"/>
        <v/>
      </c>
      <c r="AR43" t="str">
        <f t="shared" si="20"/>
        <v/>
      </c>
      <c r="AS43" t="str">
        <f t="shared" si="21"/>
        <v/>
      </c>
      <c r="AT43" t="str">
        <f t="shared" si="22"/>
        <v/>
      </c>
      <c r="AU43" s="25" t="str">
        <f t="shared" si="23"/>
        <v/>
      </c>
      <c r="BA43">
        <f>'REGISTER SK'!F46</f>
        <v>0</v>
      </c>
    </row>
    <row r="44" spans="1:53" x14ac:dyDescent="0.35">
      <c r="A44" s="18">
        <v>43</v>
      </c>
      <c r="B44" s="36" t="s">
        <v>379</v>
      </c>
      <c r="C44" s="18" t="str">
        <f>IF(G44="","",IF(G44="Umum",G44,VLOOKUP(F44,'Data Induk Pegawai'!B:AE,4,FALSE)))</f>
        <v/>
      </c>
      <c r="D44" s="19" t="str">
        <f>IF('REGISTER SK'!A47="","",IF('REGISTER SK'!B47=0,D43,'REGISTER SK'!B47))</f>
        <v/>
      </c>
      <c r="E44" s="19" t="str">
        <f t="shared" si="3"/>
        <v/>
      </c>
      <c r="F44" s="29"/>
      <c r="G44" s="29"/>
      <c r="H44" s="31" t="str">
        <f>IF(F44="","",VLOOKUP(F44,'Data Induk Pegawai'!B:U,2,FALSE))</f>
        <v/>
      </c>
      <c r="I44" s="19" t="str">
        <f>IF('REGISTER SK'!C47="","",'REGISTER SK'!C47)</f>
        <v/>
      </c>
      <c r="J44" s="125"/>
      <c r="K44" s="125"/>
      <c r="L44" s="26" t="str">
        <f>IF('REGISTER SK'!D47="","",'REGISTER SK'!D47)</f>
        <v/>
      </c>
      <c r="M44" s="26" t="str">
        <f>IF('REGISTER SK'!E47="","",'REGISTER SK'!E47)</f>
        <v/>
      </c>
      <c r="N44" s="31" t="str">
        <f>IF(G44="","",IF(OR(G44="GTT",G44="PTT"),"--",VLOOKUP(F44,'Data Induk Pegawai'!B:AE,4,FALSE)))</f>
        <v/>
      </c>
      <c r="O44" s="18" t="s">
        <v>280</v>
      </c>
      <c r="P44" s="31" t="str">
        <f>IF(G44="","",VLOOKUP(F44,'Data Induk Pegawai'!B:AE,7,FALSE))</f>
        <v/>
      </c>
      <c r="Q44" s="30"/>
      <c r="R44" s="26" t="str">
        <f>IF(G44="","","Nomor "&amp;RIGHT(VLOOKUP(F44,'Data Induk Pegawai'!B:AE,12,FALSE),2)&amp;" Tahun "&amp;MID(VLOOKUP(F44,'Data Induk Pegawai'!B:AE,12,FALSE),5,4))</f>
        <v/>
      </c>
      <c r="S44" s="26" t="str">
        <f>IF(G44="","",VLOOKUP(F44,'Data Induk Pegawai'!B:AE,11,FALSE))</f>
        <v/>
      </c>
      <c r="T44" s="56"/>
      <c r="U44" s="18" t="str">
        <f t="shared" si="4"/>
        <v/>
      </c>
      <c r="V44" s="30"/>
      <c r="W44" s="18" t="str">
        <f t="shared" si="5"/>
        <v/>
      </c>
      <c r="X44" s="16"/>
      <c r="Y44" t="str">
        <f t="shared" si="6"/>
        <v/>
      </c>
      <c r="Z44" t="str">
        <f t="shared" si="7"/>
        <v/>
      </c>
      <c r="AA44" t="str">
        <f t="shared" si="8"/>
        <v/>
      </c>
      <c r="AB44" t="str">
        <f>COUNTIFS(AC44:AC$596,AC44)&amp;AC44</f>
        <v>553</v>
      </c>
      <c r="AC44" t="str">
        <f t="shared" si="9"/>
        <v/>
      </c>
      <c r="AD44" t="str">
        <f>COUNTIFS(AC$2:AC44,AC44)&amp;AC44</f>
        <v>43</v>
      </c>
      <c r="AE44" t="str">
        <f t="shared" si="10"/>
        <v/>
      </c>
      <c r="AF44" t="str">
        <f t="shared" si="11"/>
        <v>..</v>
      </c>
      <c r="AG44" s="28" t="str">
        <f t="shared" si="12"/>
        <v/>
      </c>
      <c r="AH44" s="28" t="str">
        <f t="shared" si="13"/>
        <v/>
      </c>
      <c r="AI44" t="str">
        <f t="shared" si="0"/>
        <v/>
      </c>
      <c r="AJ44" t="str">
        <f t="shared" si="14"/>
        <v/>
      </c>
      <c r="AK44" t="str">
        <f t="shared" si="15"/>
        <v/>
      </c>
      <c r="AL44" t="str">
        <f t="shared" si="16"/>
        <v/>
      </c>
      <c r="AM44" t="str">
        <f t="shared" si="1"/>
        <v/>
      </c>
      <c r="AN44" t="str">
        <f t="shared" si="17"/>
        <v/>
      </c>
      <c r="AO44" t="str">
        <f t="shared" si="18"/>
        <v/>
      </c>
      <c r="AP44" t="str">
        <f t="shared" si="19"/>
        <v/>
      </c>
      <c r="AQ44" t="str">
        <f t="shared" si="2"/>
        <v/>
      </c>
      <c r="AR44" t="str">
        <f t="shared" si="20"/>
        <v/>
      </c>
      <c r="AS44" t="str">
        <f t="shared" si="21"/>
        <v/>
      </c>
      <c r="AT44" t="str">
        <f t="shared" si="22"/>
        <v/>
      </c>
      <c r="AU44" s="25" t="str">
        <f t="shared" si="23"/>
        <v/>
      </c>
      <c r="BA44">
        <f>'REGISTER SK'!F47</f>
        <v>0</v>
      </c>
    </row>
    <row r="45" spans="1:53" x14ac:dyDescent="0.35">
      <c r="A45" s="18">
        <v>44</v>
      </c>
      <c r="B45" s="36" t="s">
        <v>379</v>
      </c>
      <c r="C45" s="18" t="str">
        <f>IF(G45="","",IF(G45="Umum",G45,VLOOKUP(F45,'Data Induk Pegawai'!B:AE,4,FALSE)))</f>
        <v/>
      </c>
      <c r="D45" s="19" t="str">
        <f>IF('REGISTER SK'!A48="","",IF('REGISTER SK'!B48=0,D44,'REGISTER SK'!B48))</f>
        <v/>
      </c>
      <c r="E45" s="19" t="str">
        <f t="shared" si="3"/>
        <v/>
      </c>
      <c r="F45" s="29"/>
      <c r="G45" s="29"/>
      <c r="H45" s="31" t="str">
        <f>IF(F45="","",VLOOKUP(F45,'Data Induk Pegawai'!B:U,2,FALSE))</f>
        <v/>
      </c>
      <c r="I45" s="19" t="str">
        <f>IF('REGISTER SK'!C48="","",'REGISTER SK'!C48)</f>
        <v/>
      </c>
      <c r="J45" s="125"/>
      <c r="K45" s="125"/>
      <c r="L45" s="26" t="str">
        <f>IF('REGISTER SK'!D48="","",'REGISTER SK'!D48)</f>
        <v/>
      </c>
      <c r="M45" s="26" t="str">
        <f>IF('REGISTER SK'!E48="","",'REGISTER SK'!E48)</f>
        <v/>
      </c>
      <c r="N45" s="31" t="str">
        <f>IF(G45="","",IF(OR(G45="GTT",G45="PTT"),"--",VLOOKUP(F45,'Data Induk Pegawai'!B:AE,4,FALSE)))</f>
        <v/>
      </c>
      <c r="O45" s="18" t="s">
        <v>332</v>
      </c>
      <c r="P45" s="31" t="str">
        <f>IF(G45="","",VLOOKUP(F45,'Data Induk Pegawai'!B:AE,7,FALSE))</f>
        <v/>
      </c>
      <c r="Q45" s="30"/>
      <c r="R45" s="26" t="str">
        <f>IF(G45="","","Nomor "&amp;RIGHT(VLOOKUP(F45,'Data Induk Pegawai'!B:AE,12,FALSE),2)&amp;" Tahun "&amp;MID(VLOOKUP(F45,'Data Induk Pegawai'!B:AE,12,FALSE),5,4))</f>
        <v/>
      </c>
      <c r="S45" s="26" t="str">
        <f>IF(G45="","",VLOOKUP(F45,'Data Induk Pegawai'!B:AE,11,FALSE))</f>
        <v/>
      </c>
      <c r="T45" s="56"/>
      <c r="U45" s="18" t="str">
        <f t="shared" si="4"/>
        <v/>
      </c>
      <c r="V45" s="30"/>
      <c r="W45" s="18" t="str">
        <f t="shared" si="5"/>
        <v/>
      </c>
      <c r="X45" s="16"/>
      <c r="Y45" t="str">
        <f t="shared" si="6"/>
        <v/>
      </c>
      <c r="Z45" t="str">
        <f t="shared" si="7"/>
        <v/>
      </c>
      <c r="AA45" t="str">
        <f t="shared" si="8"/>
        <v/>
      </c>
      <c r="AB45" t="str">
        <f>COUNTIFS(AC45:AC$596,AC45)&amp;AC45</f>
        <v>552</v>
      </c>
      <c r="AC45" t="str">
        <f t="shared" si="9"/>
        <v/>
      </c>
      <c r="AD45" t="str">
        <f>COUNTIFS(AC$2:AC45,AC45)&amp;AC45</f>
        <v>44</v>
      </c>
      <c r="AE45" t="str">
        <f t="shared" si="10"/>
        <v/>
      </c>
      <c r="AF45" t="str">
        <f t="shared" si="11"/>
        <v>..</v>
      </c>
      <c r="AG45" s="28" t="str">
        <f t="shared" si="12"/>
        <v/>
      </c>
      <c r="AH45" s="28" t="str">
        <f t="shared" si="13"/>
        <v/>
      </c>
      <c r="AI45" t="str">
        <f t="shared" si="0"/>
        <v/>
      </c>
      <c r="AJ45" t="str">
        <f t="shared" si="14"/>
        <v/>
      </c>
      <c r="AK45" t="str">
        <f t="shared" si="15"/>
        <v/>
      </c>
      <c r="AL45" t="str">
        <f t="shared" si="16"/>
        <v/>
      </c>
      <c r="AM45" t="str">
        <f t="shared" si="1"/>
        <v/>
      </c>
      <c r="AN45" t="str">
        <f t="shared" si="17"/>
        <v/>
      </c>
      <c r="AO45" t="str">
        <f t="shared" si="18"/>
        <v/>
      </c>
      <c r="AP45" t="str">
        <f t="shared" si="19"/>
        <v/>
      </c>
      <c r="AQ45" t="str">
        <f t="shared" si="2"/>
        <v/>
      </c>
      <c r="AR45" t="str">
        <f t="shared" si="20"/>
        <v/>
      </c>
      <c r="AS45" t="str">
        <f t="shared" si="21"/>
        <v/>
      </c>
      <c r="AT45" t="str">
        <f t="shared" si="22"/>
        <v/>
      </c>
      <c r="AU45" s="25" t="str">
        <f t="shared" si="23"/>
        <v/>
      </c>
      <c r="BA45">
        <f>'REGISTER SK'!F48</f>
        <v>0</v>
      </c>
    </row>
    <row r="46" spans="1:53" x14ac:dyDescent="0.35">
      <c r="A46" s="18">
        <v>45</v>
      </c>
      <c r="B46" s="36" t="s">
        <v>379</v>
      </c>
      <c r="C46" s="18" t="str">
        <f>IF(G46="","",IF(G46="Umum",G46,VLOOKUP(F46,'Data Induk Pegawai'!B:AE,4,FALSE)))</f>
        <v/>
      </c>
      <c r="D46" s="19" t="str">
        <f>IF('REGISTER SK'!A49="","",IF('REGISTER SK'!B49=0,D45,'REGISTER SK'!B49))</f>
        <v/>
      </c>
      <c r="E46" s="19" t="str">
        <f t="shared" si="3"/>
        <v/>
      </c>
      <c r="F46" s="29"/>
      <c r="G46" s="29"/>
      <c r="H46" s="31" t="str">
        <f>IF(F46="","",VLOOKUP(F46,'Data Induk Pegawai'!B:U,2,FALSE))</f>
        <v/>
      </c>
      <c r="I46" s="19" t="str">
        <f>IF('REGISTER SK'!C49="","",'REGISTER SK'!C49)</f>
        <v/>
      </c>
      <c r="J46" s="125"/>
      <c r="K46" s="125"/>
      <c r="L46" s="26" t="str">
        <f>IF('REGISTER SK'!D49="","",'REGISTER SK'!D49)</f>
        <v/>
      </c>
      <c r="M46" s="26" t="str">
        <f>IF('REGISTER SK'!E49="","",'REGISTER SK'!E49)</f>
        <v/>
      </c>
      <c r="N46" s="31" t="str">
        <f>IF(G46="","",IF(OR(G46="GTT",G46="PTT"),"--",VLOOKUP(F46,'Data Induk Pegawai'!B:AE,4,FALSE)))</f>
        <v/>
      </c>
      <c r="O46" s="18" t="s">
        <v>273</v>
      </c>
      <c r="P46" s="31" t="str">
        <f>IF(G46="","",VLOOKUP(F46,'Data Induk Pegawai'!B:AE,7,FALSE))</f>
        <v/>
      </c>
      <c r="Q46" s="30"/>
      <c r="R46" s="26" t="str">
        <f>IF(G46="","","Nomor "&amp;RIGHT(VLOOKUP(F46,'Data Induk Pegawai'!B:AE,12,FALSE),2)&amp;" Tahun "&amp;MID(VLOOKUP(F46,'Data Induk Pegawai'!B:AE,12,FALSE),5,4))</f>
        <v/>
      </c>
      <c r="S46" s="26" t="str">
        <f>IF(G46="","",VLOOKUP(F46,'Data Induk Pegawai'!B:AE,11,FALSE))</f>
        <v/>
      </c>
      <c r="T46" s="56"/>
      <c r="U46" s="18" t="str">
        <f t="shared" si="4"/>
        <v/>
      </c>
      <c r="V46" s="30"/>
      <c r="W46" s="18" t="str">
        <f t="shared" si="5"/>
        <v/>
      </c>
      <c r="X46" s="16"/>
      <c r="Y46" t="str">
        <f t="shared" si="6"/>
        <v/>
      </c>
      <c r="Z46" t="str">
        <f t="shared" si="7"/>
        <v/>
      </c>
      <c r="AA46" t="str">
        <f t="shared" si="8"/>
        <v/>
      </c>
      <c r="AB46" t="str">
        <f>COUNTIFS(AC46:AC$596,AC46)&amp;AC46</f>
        <v>551</v>
      </c>
      <c r="AC46" t="str">
        <f t="shared" si="9"/>
        <v/>
      </c>
      <c r="AD46" t="str">
        <f>COUNTIFS(AC$2:AC46,AC46)&amp;AC46</f>
        <v>45</v>
      </c>
      <c r="AE46" t="str">
        <f t="shared" si="10"/>
        <v/>
      </c>
      <c r="AF46" t="str">
        <f t="shared" si="11"/>
        <v>..</v>
      </c>
      <c r="AG46" s="28" t="str">
        <f t="shared" si="12"/>
        <v/>
      </c>
      <c r="AH46" s="28" t="str">
        <f t="shared" si="13"/>
        <v/>
      </c>
      <c r="AI46" t="str">
        <f t="shared" si="0"/>
        <v/>
      </c>
      <c r="AJ46" t="str">
        <f t="shared" si="14"/>
        <v/>
      </c>
      <c r="AK46" t="str">
        <f t="shared" si="15"/>
        <v/>
      </c>
      <c r="AL46" t="str">
        <f t="shared" si="16"/>
        <v/>
      </c>
      <c r="AM46" t="str">
        <f t="shared" si="1"/>
        <v/>
      </c>
      <c r="AN46" t="str">
        <f t="shared" si="17"/>
        <v/>
      </c>
      <c r="AO46" t="str">
        <f t="shared" si="18"/>
        <v/>
      </c>
      <c r="AP46" t="str">
        <f t="shared" si="19"/>
        <v/>
      </c>
      <c r="AQ46" t="str">
        <f t="shared" si="2"/>
        <v/>
      </c>
      <c r="AR46" t="str">
        <f t="shared" si="20"/>
        <v/>
      </c>
      <c r="AS46" t="str">
        <f t="shared" si="21"/>
        <v/>
      </c>
      <c r="AT46" t="str">
        <f t="shared" si="22"/>
        <v/>
      </c>
      <c r="AU46" s="25" t="str">
        <f t="shared" si="23"/>
        <v/>
      </c>
      <c r="BA46">
        <f>'REGISTER SK'!F49</f>
        <v>0</v>
      </c>
    </row>
    <row r="47" spans="1:53" x14ac:dyDescent="0.35">
      <c r="A47" s="18">
        <v>46</v>
      </c>
      <c r="B47" s="36" t="s">
        <v>379</v>
      </c>
      <c r="C47" s="18" t="str">
        <f>IF(G47="","",IF(G47="Umum",G47,VLOOKUP(F47,'Data Induk Pegawai'!B:AE,4,FALSE)))</f>
        <v/>
      </c>
      <c r="D47" s="19" t="str">
        <f>IF('REGISTER SK'!A50="","",IF('REGISTER SK'!B50=0,D46,'REGISTER SK'!B50))</f>
        <v/>
      </c>
      <c r="E47" s="19" t="str">
        <f t="shared" si="3"/>
        <v/>
      </c>
      <c r="F47" s="29"/>
      <c r="G47" s="29"/>
      <c r="H47" s="31" t="str">
        <f>IF(F47="","",VLOOKUP(F47,'Data Induk Pegawai'!B:U,2,FALSE))</f>
        <v/>
      </c>
      <c r="I47" s="19" t="str">
        <f>IF('REGISTER SK'!C50="","",'REGISTER SK'!C50)</f>
        <v/>
      </c>
      <c r="J47" s="125"/>
      <c r="K47" s="125"/>
      <c r="L47" s="26" t="str">
        <f>IF('REGISTER SK'!D50="","",'REGISTER SK'!D50)</f>
        <v/>
      </c>
      <c r="M47" s="26" t="str">
        <f>IF('REGISTER SK'!E50="","",'REGISTER SK'!E50)</f>
        <v/>
      </c>
      <c r="N47" s="31" t="str">
        <f>IF(G47="","",IF(OR(G47="GTT",G47="PTT"),"--",VLOOKUP(F47,'Data Induk Pegawai'!B:AE,4,FALSE)))</f>
        <v/>
      </c>
      <c r="O47" s="18" t="s">
        <v>274</v>
      </c>
      <c r="P47" s="31" t="str">
        <f>IF(G47="","",VLOOKUP(F47,'Data Induk Pegawai'!B:AE,7,FALSE))</f>
        <v/>
      </c>
      <c r="Q47" s="30"/>
      <c r="R47" s="26" t="str">
        <f>IF(G47="","","Nomor "&amp;RIGHT(VLOOKUP(F47,'Data Induk Pegawai'!B:AE,12,FALSE),2)&amp;" Tahun "&amp;MID(VLOOKUP(F47,'Data Induk Pegawai'!B:AE,12,FALSE),5,4))</f>
        <v/>
      </c>
      <c r="S47" s="26" t="str">
        <f>IF(G47="","",VLOOKUP(F47,'Data Induk Pegawai'!B:AE,11,FALSE))</f>
        <v/>
      </c>
      <c r="T47" s="56"/>
      <c r="U47" s="18" t="str">
        <f t="shared" si="4"/>
        <v/>
      </c>
      <c r="V47" s="30"/>
      <c r="W47" s="18" t="str">
        <f t="shared" si="5"/>
        <v/>
      </c>
      <c r="X47" s="16"/>
      <c r="Y47" t="str">
        <f t="shared" si="6"/>
        <v/>
      </c>
      <c r="Z47" t="str">
        <f t="shared" si="7"/>
        <v/>
      </c>
      <c r="AA47" t="str">
        <f t="shared" si="8"/>
        <v/>
      </c>
      <c r="AB47" t="str">
        <f>COUNTIFS(AC47:AC$596,AC47)&amp;AC47</f>
        <v>550</v>
      </c>
      <c r="AC47" t="str">
        <f t="shared" si="9"/>
        <v/>
      </c>
      <c r="AD47" t="str">
        <f>COUNTIFS(AC$2:AC47,AC47)&amp;AC47</f>
        <v>46</v>
      </c>
      <c r="AE47" t="str">
        <f t="shared" si="10"/>
        <v/>
      </c>
      <c r="AF47" t="str">
        <f t="shared" si="11"/>
        <v>..</v>
      </c>
      <c r="AG47" s="28" t="str">
        <f t="shared" si="12"/>
        <v/>
      </c>
      <c r="AH47" s="28" t="str">
        <f t="shared" si="13"/>
        <v/>
      </c>
      <c r="AI47" t="str">
        <f t="shared" si="0"/>
        <v/>
      </c>
      <c r="AJ47" t="str">
        <f t="shared" si="14"/>
        <v/>
      </c>
      <c r="AK47" t="str">
        <f t="shared" si="15"/>
        <v/>
      </c>
      <c r="AL47" t="str">
        <f t="shared" si="16"/>
        <v/>
      </c>
      <c r="AM47" t="str">
        <f t="shared" si="1"/>
        <v/>
      </c>
      <c r="AN47" t="str">
        <f t="shared" si="17"/>
        <v/>
      </c>
      <c r="AO47" t="str">
        <f t="shared" si="18"/>
        <v/>
      </c>
      <c r="AP47" t="str">
        <f t="shared" si="19"/>
        <v/>
      </c>
      <c r="AQ47" t="str">
        <f t="shared" si="2"/>
        <v/>
      </c>
      <c r="AR47" t="str">
        <f t="shared" si="20"/>
        <v/>
      </c>
      <c r="AS47" t="str">
        <f t="shared" si="21"/>
        <v/>
      </c>
      <c r="AT47" t="str">
        <f t="shared" si="22"/>
        <v/>
      </c>
      <c r="AU47" s="25" t="str">
        <f t="shared" si="23"/>
        <v/>
      </c>
      <c r="BA47">
        <f>'REGISTER SK'!F50</f>
        <v>0</v>
      </c>
    </row>
    <row r="48" spans="1:53" x14ac:dyDescent="0.35">
      <c r="A48" s="18">
        <v>47</v>
      </c>
      <c r="B48" s="36" t="s">
        <v>379</v>
      </c>
      <c r="C48" s="18" t="str">
        <f>IF(G48="","",IF(G48="Umum",G48,VLOOKUP(F48,'Data Induk Pegawai'!B:AE,4,FALSE)))</f>
        <v/>
      </c>
      <c r="D48" s="19" t="str">
        <f>IF('REGISTER SK'!A51="","",IF('REGISTER SK'!B51=0,D47,'REGISTER SK'!B51))</f>
        <v/>
      </c>
      <c r="E48" s="19" t="str">
        <f t="shared" si="3"/>
        <v/>
      </c>
      <c r="F48" s="29"/>
      <c r="G48" s="29"/>
      <c r="H48" s="31" t="str">
        <f>IF(F48="","",VLOOKUP(F48,'Data Induk Pegawai'!B:U,2,FALSE))</f>
        <v/>
      </c>
      <c r="I48" s="19" t="str">
        <f>IF('REGISTER SK'!C51="","",'REGISTER SK'!C51)</f>
        <v/>
      </c>
      <c r="J48" s="125"/>
      <c r="K48" s="125"/>
      <c r="L48" s="26" t="str">
        <f>IF('REGISTER SK'!D51="","",'REGISTER SK'!D51)</f>
        <v/>
      </c>
      <c r="M48" s="26" t="str">
        <f>IF('REGISTER SK'!E51="","",'REGISTER SK'!E51)</f>
        <v/>
      </c>
      <c r="N48" s="31" t="str">
        <f>IF(G48="","",IF(OR(G48="GTT",G48="PTT"),"--",VLOOKUP(F48,'Data Induk Pegawai'!B:AE,4,FALSE)))</f>
        <v/>
      </c>
      <c r="O48" s="18" t="s">
        <v>275</v>
      </c>
      <c r="P48" s="31" t="str">
        <f>IF(G48="","",VLOOKUP(F48,'Data Induk Pegawai'!B:AE,7,FALSE))</f>
        <v/>
      </c>
      <c r="Q48" s="30"/>
      <c r="R48" s="26" t="str">
        <f>IF(G48="","","Nomor "&amp;RIGHT(VLOOKUP(F48,'Data Induk Pegawai'!B:AE,12,FALSE),2)&amp;" Tahun "&amp;MID(VLOOKUP(F48,'Data Induk Pegawai'!B:AE,12,FALSE),5,4))</f>
        <v/>
      </c>
      <c r="S48" s="26" t="str">
        <f>IF(G48="","",VLOOKUP(F48,'Data Induk Pegawai'!B:AE,11,FALSE))</f>
        <v/>
      </c>
      <c r="T48" s="56"/>
      <c r="U48" s="18" t="str">
        <f t="shared" si="4"/>
        <v/>
      </c>
      <c r="V48" s="30"/>
      <c r="W48" s="18" t="str">
        <f t="shared" si="5"/>
        <v/>
      </c>
      <c r="X48" s="16"/>
      <c r="Y48" t="str">
        <f t="shared" si="6"/>
        <v/>
      </c>
      <c r="Z48" t="str">
        <f t="shared" si="7"/>
        <v/>
      </c>
      <c r="AA48" t="str">
        <f t="shared" si="8"/>
        <v/>
      </c>
      <c r="AB48" t="str">
        <f>COUNTIFS(AC48:AC$596,AC48)&amp;AC48</f>
        <v>549</v>
      </c>
      <c r="AC48" t="str">
        <f t="shared" si="9"/>
        <v/>
      </c>
      <c r="AD48" t="str">
        <f>COUNTIFS(AC$2:AC48,AC48)&amp;AC48</f>
        <v>47</v>
      </c>
      <c r="AE48" t="str">
        <f t="shared" si="10"/>
        <v/>
      </c>
      <c r="AF48" t="str">
        <f t="shared" si="11"/>
        <v>..</v>
      </c>
      <c r="AG48" s="28" t="str">
        <f t="shared" si="12"/>
        <v/>
      </c>
      <c r="AH48" s="28" t="str">
        <f t="shared" si="13"/>
        <v/>
      </c>
      <c r="AI48" t="str">
        <f t="shared" si="0"/>
        <v/>
      </c>
      <c r="AJ48" t="str">
        <f t="shared" si="14"/>
        <v/>
      </c>
      <c r="AK48" t="str">
        <f t="shared" si="15"/>
        <v/>
      </c>
      <c r="AL48" t="str">
        <f t="shared" si="16"/>
        <v/>
      </c>
      <c r="AM48" t="str">
        <f t="shared" si="1"/>
        <v/>
      </c>
      <c r="AN48" t="str">
        <f t="shared" si="17"/>
        <v/>
      </c>
      <c r="AO48" t="str">
        <f t="shared" si="18"/>
        <v/>
      </c>
      <c r="AP48" t="str">
        <f t="shared" si="19"/>
        <v/>
      </c>
      <c r="AQ48" t="str">
        <f t="shared" si="2"/>
        <v/>
      </c>
      <c r="AR48" t="str">
        <f t="shared" si="20"/>
        <v/>
      </c>
      <c r="AS48" t="str">
        <f t="shared" si="21"/>
        <v/>
      </c>
      <c r="AT48" t="str">
        <f t="shared" si="22"/>
        <v/>
      </c>
      <c r="AU48" s="25" t="str">
        <f t="shared" si="23"/>
        <v/>
      </c>
      <c r="BA48">
        <f>'REGISTER SK'!F51</f>
        <v>0</v>
      </c>
    </row>
    <row r="49" spans="1:53" x14ac:dyDescent="0.35">
      <c r="A49" s="18">
        <v>48</v>
      </c>
      <c r="B49" s="36" t="s">
        <v>379</v>
      </c>
      <c r="C49" s="18" t="str">
        <f>IF(G49="","",IF(G49="Umum",G49,VLOOKUP(F49,'Data Induk Pegawai'!B:AE,4,FALSE)))</f>
        <v/>
      </c>
      <c r="D49" s="19" t="str">
        <f>IF('REGISTER SK'!A52="","",IF('REGISTER SK'!B52=0,D48,'REGISTER SK'!B52))</f>
        <v/>
      </c>
      <c r="E49" s="19" t="str">
        <f t="shared" si="3"/>
        <v/>
      </c>
      <c r="F49" s="29"/>
      <c r="G49" s="29"/>
      <c r="H49" s="31" t="str">
        <f>IF(F49="","",VLOOKUP(F49,'Data Induk Pegawai'!B:U,2,FALSE))</f>
        <v/>
      </c>
      <c r="I49" s="19" t="str">
        <f>IF('REGISTER SK'!C52="","",'REGISTER SK'!C52)</f>
        <v/>
      </c>
      <c r="J49" s="125"/>
      <c r="K49" s="125"/>
      <c r="L49" s="26" t="str">
        <f>IF('REGISTER SK'!D52="","",'REGISTER SK'!D52)</f>
        <v/>
      </c>
      <c r="M49" s="26" t="str">
        <f>IF('REGISTER SK'!E52="","",'REGISTER SK'!E52)</f>
        <v/>
      </c>
      <c r="N49" s="31" t="str">
        <f>IF(G49="","",IF(OR(G49="GTT",G49="PTT"),"--",VLOOKUP(F49,'Data Induk Pegawai'!B:AE,4,FALSE)))</f>
        <v/>
      </c>
      <c r="O49" s="18" t="s">
        <v>500</v>
      </c>
      <c r="P49" s="31" t="str">
        <f>IF(G49="","",VLOOKUP(F49,'Data Induk Pegawai'!B:AE,7,FALSE))</f>
        <v/>
      </c>
      <c r="Q49" s="30"/>
      <c r="R49" s="26" t="str">
        <f>IF(G49="","","Nomor "&amp;RIGHT(VLOOKUP(F49,'Data Induk Pegawai'!B:AE,12,FALSE),2)&amp;" Tahun "&amp;MID(VLOOKUP(F49,'Data Induk Pegawai'!B:AE,12,FALSE),5,4))</f>
        <v/>
      </c>
      <c r="S49" s="26" t="str">
        <f>IF(G49="","",VLOOKUP(F49,'Data Induk Pegawai'!B:AE,11,FALSE))</f>
        <v/>
      </c>
      <c r="T49" s="56"/>
      <c r="U49" s="18" t="str">
        <f t="shared" si="4"/>
        <v/>
      </c>
      <c r="V49" s="30"/>
      <c r="W49" s="18" t="str">
        <f t="shared" si="5"/>
        <v/>
      </c>
      <c r="X49" s="16"/>
      <c r="Y49" t="str">
        <f t="shared" si="6"/>
        <v/>
      </c>
      <c r="Z49" t="str">
        <f t="shared" si="7"/>
        <v/>
      </c>
      <c r="AA49" t="str">
        <f t="shared" si="8"/>
        <v/>
      </c>
      <c r="AB49" t="str">
        <f>COUNTIFS(AC49:AC$596,AC49)&amp;AC49</f>
        <v>548</v>
      </c>
      <c r="AC49" t="str">
        <f t="shared" si="9"/>
        <v/>
      </c>
      <c r="AD49" t="str">
        <f>COUNTIFS(AC$2:AC49,AC49)&amp;AC49</f>
        <v>48</v>
      </c>
      <c r="AE49" t="str">
        <f t="shared" si="10"/>
        <v/>
      </c>
      <c r="AF49" t="str">
        <f t="shared" si="11"/>
        <v>..</v>
      </c>
      <c r="AG49" s="28" t="str">
        <f t="shared" si="12"/>
        <v/>
      </c>
      <c r="AH49" s="28" t="str">
        <f t="shared" si="13"/>
        <v/>
      </c>
      <c r="AI49" t="str">
        <f t="shared" si="0"/>
        <v/>
      </c>
      <c r="AJ49" t="str">
        <f t="shared" si="14"/>
        <v/>
      </c>
      <c r="AK49" t="str">
        <f t="shared" si="15"/>
        <v/>
      </c>
      <c r="AL49" t="str">
        <f t="shared" si="16"/>
        <v/>
      </c>
      <c r="AM49" t="str">
        <f t="shared" si="1"/>
        <v/>
      </c>
      <c r="AN49" t="str">
        <f t="shared" si="17"/>
        <v/>
      </c>
      <c r="AO49" t="str">
        <f t="shared" si="18"/>
        <v/>
      </c>
      <c r="AP49" t="str">
        <f t="shared" si="19"/>
        <v/>
      </c>
      <c r="AQ49" t="str">
        <f t="shared" si="2"/>
        <v/>
      </c>
      <c r="AR49" t="str">
        <f t="shared" si="20"/>
        <v/>
      </c>
      <c r="AS49" t="str">
        <f t="shared" si="21"/>
        <v/>
      </c>
      <c r="AT49" t="str">
        <f t="shared" si="22"/>
        <v/>
      </c>
      <c r="AU49" s="25" t="str">
        <f t="shared" si="23"/>
        <v/>
      </c>
      <c r="BA49">
        <f>'REGISTER SK'!F52</f>
        <v>0</v>
      </c>
    </row>
    <row r="50" spans="1:53" x14ac:dyDescent="0.35">
      <c r="A50" s="18">
        <v>49</v>
      </c>
      <c r="B50" s="36" t="s">
        <v>379</v>
      </c>
      <c r="C50" s="18" t="str">
        <f>IF(G50="","",IF(G50="Umum",G50,VLOOKUP(F50,'Data Induk Pegawai'!B:AE,4,FALSE)))</f>
        <v/>
      </c>
      <c r="D50" s="19" t="str">
        <f>IF('REGISTER SK'!A53="","",IF('REGISTER SK'!B53=0,D49,'REGISTER SK'!B53))</f>
        <v/>
      </c>
      <c r="E50" s="19" t="str">
        <f t="shared" si="3"/>
        <v/>
      </c>
      <c r="F50" s="29"/>
      <c r="G50" s="29"/>
      <c r="H50" s="31" t="str">
        <f>IF(F50="","",VLOOKUP(F50,'Data Induk Pegawai'!B:U,2,FALSE))</f>
        <v/>
      </c>
      <c r="I50" s="19" t="str">
        <f>IF('REGISTER SK'!C53="","",'REGISTER SK'!C53)</f>
        <v/>
      </c>
      <c r="J50" s="125"/>
      <c r="K50" s="125"/>
      <c r="L50" s="26" t="str">
        <f>IF('REGISTER SK'!D53="","",'REGISTER SK'!D53)</f>
        <v/>
      </c>
      <c r="M50" s="26" t="str">
        <f>IF('REGISTER SK'!E53="","",'REGISTER SK'!E53)</f>
        <v/>
      </c>
      <c r="N50" s="31" t="str">
        <f>IF(G50="","",IF(OR(G50="GTT",G50="PTT"),"--",VLOOKUP(F50,'Data Induk Pegawai'!B:AE,4,FALSE)))</f>
        <v/>
      </c>
      <c r="O50" s="18" t="s">
        <v>277</v>
      </c>
      <c r="P50" s="31" t="str">
        <f>IF(G50="","",VLOOKUP(F50,'Data Induk Pegawai'!B:AE,7,FALSE))</f>
        <v/>
      </c>
      <c r="Q50" s="30"/>
      <c r="R50" s="26" t="str">
        <f>IF(G50="","","Nomor "&amp;RIGHT(VLOOKUP(F50,'Data Induk Pegawai'!B:AE,12,FALSE),2)&amp;" Tahun "&amp;MID(VLOOKUP(F50,'Data Induk Pegawai'!B:AE,12,FALSE),5,4))</f>
        <v/>
      </c>
      <c r="S50" s="26" t="str">
        <f>IF(G50="","",VLOOKUP(F50,'Data Induk Pegawai'!B:AE,11,FALSE))</f>
        <v/>
      </c>
      <c r="T50" s="56"/>
      <c r="U50" s="18" t="str">
        <f t="shared" si="4"/>
        <v/>
      </c>
      <c r="V50" s="30"/>
      <c r="W50" s="18" t="str">
        <f t="shared" si="5"/>
        <v/>
      </c>
      <c r="X50" s="16"/>
      <c r="Y50" t="str">
        <f t="shared" si="6"/>
        <v/>
      </c>
      <c r="Z50" t="str">
        <f t="shared" si="7"/>
        <v/>
      </c>
      <c r="AA50" t="str">
        <f t="shared" si="8"/>
        <v/>
      </c>
      <c r="AB50" t="str">
        <f>COUNTIFS(AC50:AC$596,AC50)&amp;AC50</f>
        <v>547</v>
      </c>
      <c r="AC50" t="str">
        <f t="shared" si="9"/>
        <v/>
      </c>
      <c r="AD50" t="str">
        <f>COUNTIFS(AC$2:AC50,AC50)&amp;AC50</f>
        <v>49</v>
      </c>
      <c r="AE50" t="str">
        <f t="shared" si="10"/>
        <v/>
      </c>
      <c r="AF50" t="str">
        <f t="shared" si="11"/>
        <v>..</v>
      </c>
      <c r="AG50" s="28" t="str">
        <f t="shared" si="12"/>
        <v/>
      </c>
      <c r="AH50" s="28" t="str">
        <f t="shared" si="13"/>
        <v/>
      </c>
      <c r="AI50" t="str">
        <f t="shared" si="0"/>
        <v/>
      </c>
      <c r="AJ50" t="str">
        <f t="shared" si="14"/>
        <v/>
      </c>
      <c r="AK50" t="str">
        <f t="shared" si="15"/>
        <v/>
      </c>
      <c r="AL50" t="str">
        <f t="shared" si="16"/>
        <v/>
      </c>
      <c r="AM50" t="str">
        <f t="shared" si="1"/>
        <v/>
      </c>
      <c r="AN50" t="str">
        <f t="shared" si="17"/>
        <v/>
      </c>
      <c r="AO50" t="str">
        <f t="shared" si="18"/>
        <v/>
      </c>
      <c r="AP50" t="str">
        <f t="shared" si="19"/>
        <v/>
      </c>
      <c r="AQ50" t="str">
        <f t="shared" si="2"/>
        <v/>
      </c>
      <c r="AR50" t="str">
        <f t="shared" si="20"/>
        <v/>
      </c>
      <c r="AS50" t="str">
        <f t="shared" si="21"/>
        <v/>
      </c>
      <c r="AT50" t="str">
        <f t="shared" si="22"/>
        <v/>
      </c>
      <c r="AU50" s="25" t="str">
        <f t="shared" si="23"/>
        <v/>
      </c>
      <c r="BA50">
        <f>'REGISTER SK'!F53</f>
        <v>0</v>
      </c>
    </row>
    <row r="51" spans="1:53" x14ac:dyDescent="0.35">
      <c r="A51" s="18">
        <v>50</v>
      </c>
      <c r="B51" s="36" t="s">
        <v>379</v>
      </c>
      <c r="C51" s="18" t="str">
        <f>IF(G51="","",IF(G51="Umum",G51,VLOOKUP(F51,'Data Induk Pegawai'!B:AE,4,FALSE)))</f>
        <v/>
      </c>
      <c r="D51" s="19" t="str">
        <f>IF('REGISTER SK'!A54="","",IF('REGISTER SK'!B54=0,D50,'REGISTER SK'!B54))</f>
        <v/>
      </c>
      <c r="E51" s="19" t="str">
        <f t="shared" si="3"/>
        <v/>
      </c>
      <c r="F51" s="29"/>
      <c r="G51" s="29"/>
      <c r="H51" s="31" t="str">
        <f>IF(F51="","",VLOOKUP(F51,'Data Induk Pegawai'!B:U,2,FALSE))</f>
        <v/>
      </c>
      <c r="I51" s="19" t="str">
        <f>IF('REGISTER SK'!C54="","",'REGISTER SK'!C54)</f>
        <v/>
      </c>
      <c r="J51" s="125"/>
      <c r="K51" s="125"/>
      <c r="L51" s="26" t="str">
        <f>IF('REGISTER SK'!D54="","",'REGISTER SK'!D54)</f>
        <v/>
      </c>
      <c r="M51" s="26" t="str">
        <f>IF('REGISTER SK'!E54="","",'REGISTER SK'!E54)</f>
        <v/>
      </c>
      <c r="N51" s="31" t="str">
        <f>IF(G51="","",IF(OR(G51="GTT",G51="PTT"),"--",VLOOKUP(F51,'Data Induk Pegawai'!B:AE,4,FALSE)))</f>
        <v/>
      </c>
      <c r="O51" s="18" t="s">
        <v>278</v>
      </c>
      <c r="P51" s="31" t="str">
        <f>IF(G51="","",VLOOKUP(F51,'Data Induk Pegawai'!B:AE,7,FALSE))</f>
        <v/>
      </c>
      <c r="Q51" s="30"/>
      <c r="R51" s="26" t="str">
        <f>IF(G51="","","Nomor "&amp;RIGHT(VLOOKUP(F51,'Data Induk Pegawai'!B:AE,12,FALSE),2)&amp;" Tahun "&amp;MID(VLOOKUP(F51,'Data Induk Pegawai'!B:AE,12,FALSE),5,4))</f>
        <v/>
      </c>
      <c r="S51" s="26" t="str">
        <f>IF(G51="","",VLOOKUP(F51,'Data Induk Pegawai'!B:AE,11,FALSE))</f>
        <v/>
      </c>
      <c r="T51" s="56"/>
      <c r="U51" s="18" t="str">
        <f t="shared" si="4"/>
        <v/>
      </c>
      <c r="V51" s="30"/>
      <c r="W51" s="18" t="str">
        <f t="shared" si="5"/>
        <v/>
      </c>
      <c r="X51" s="16"/>
      <c r="Y51" t="str">
        <f t="shared" si="6"/>
        <v/>
      </c>
      <c r="Z51" t="str">
        <f t="shared" si="7"/>
        <v/>
      </c>
      <c r="AA51" t="str">
        <f t="shared" si="8"/>
        <v/>
      </c>
      <c r="AB51" t="str">
        <f>COUNTIFS(AC51:AC$596,AC51)&amp;AC51</f>
        <v>546</v>
      </c>
      <c r="AC51" t="str">
        <f t="shared" si="9"/>
        <v/>
      </c>
      <c r="AD51" t="str">
        <f>COUNTIFS(AC$2:AC51,AC51)&amp;AC51</f>
        <v>50</v>
      </c>
      <c r="AE51" t="str">
        <f t="shared" si="10"/>
        <v/>
      </c>
      <c r="AF51" t="str">
        <f t="shared" si="11"/>
        <v>..</v>
      </c>
      <c r="AG51" s="28" t="str">
        <f t="shared" si="12"/>
        <v/>
      </c>
      <c r="AH51" s="28" t="str">
        <f t="shared" si="13"/>
        <v/>
      </c>
      <c r="AI51" t="str">
        <f t="shared" si="0"/>
        <v/>
      </c>
      <c r="AJ51" t="str">
        <f t="shared" si="14"/>
        <v/>
      </c>
      <c r="AK51" t="str">
        <f t="shared" si="15"/>
        <v/>
      </c>
      <c r="AL51" t="str">
        <f t="shared" si="16"/>
        <v/>
      </c>
      <c r="AM51" t="str">
        <f t="shared" si="1"/>
        <v/>
      </c>
      <c r="AN51" t="str">
        <f t="shared" si="17"/>
        <v/>
      </c>
      <c r="AO51" t="str">
        <f t="shared" si="18"/>
        <v/>
      </c>
      <c r="AP51" t="str">
        <f t="shared" si="19"/>
        <v/>
      </c>
      <c r="AQ51" t="str">
        <f t="shared" si="2"/>
        <v/>
      </c>
      <c r="AR51" t="str">
        <f t="shared" si="20"/>
        <v/>
      </c>
      <c r="AS51" t="str">
        <f t="shared" si="21"/>
        <v/>
      </c>
      <c r="AT51" t="str">
        <f t="shared" si="22"/>
        <v/>
      </c>
      <c r="AU51" s="25" t="str">
        <f t="shared" si="23"/>
        <v/>
      </c>
      <c r="BA51">
        <f>'REGISTER SK'!F54</f>
        <v>0</v>
      </c>
    </row>
    <row r="52" spans="1:53" x14ac:dyDescent="0.35">
      <c r="A52" s="18">
        <v>51</v>
      </c>
      <c r="B52" s="36" t="s">
        <v>379</v>
      </c>
      <c r="C52" s="18" t="str">
        <f>IF(G52="","",IF(G52="Umum",G52,VLOOKUP(F52,'Data Induk Pegawai'!B:AE,4,FALSE)))</f>
        <v/>
      </c>
      <c r="D52" s="19" t="str">
        <f>IF('REGISTER SK'!A55="","",IF('REGISTER SK'!B55=0,D51,'REGISTER SK'!B55))</f>
        <v/>
      </c>
      <c r="E52" s="19" t="str">
        <f t="shared" si="3"/>
        <v/>
      </c>
      <c r="F52" s="29"/>
      <c r="G52" s="29"/>
      <c r="H52" s="31" t="str">
        <f>IF(F52="","",VLOOKUP(F52,'Data Induk Pegawai'!B:U,2,FALSE))</f>
        <v/>
      </c>
      <c r="I52" s="19" t="str">
        <f>IF('REGISTER SK'!C55="","",'REGISTER SK'!C55)</f>
        <v/>
      </c>
      <c r="J52" s="125"/>
      <c r="K52" s="125"/>
      <c r="L52" s="26" t="str">
        <f>IF('REGISTER SK'!D55="","",'REGISTER SK'!D55)</f>
        <v/>
      </c>
      <c r="M52" s="26" t="str">
        <f>IF('REGISTER SK'!E55="","",'REGISTER SK'!E55)</f>
        <v/>
      </c>
      <c r="N52" s="31" t="str">
        <f>IF(G52="","",IF(OR(G52="GTT",G52="PTT"),"--",VLOOKUP(F52,'Data Induk Pegawai'!B:AE,4,FALSE)))</f>
        <v/>
      </c>
      <c r="O52" s="18" t="s">
        <v>279</v>
      </c>
      <c r="P52" s="31" t="str">
        <f>IF(G52="","",VLOOKUP(F52,'Data Induk Pegawai'!B:AE,7,FALSE))</f>
        <v/>
      </c>
      <c r="Q52" s="30"/>
      <c r="R52" s="26" t="str">
        <f>IF(G52="","","Nomor "&amp;RIGHT(VLOOKUP(F52,'Data Induk Pegawai'!B:AE,12,FALSE),2)&amp;" Tahun "&amp;MID(VLOOKUP(F52,'Data Induk Pegawai'!B:AE,12,FALSE),5,4))</f>
        <v/>
      </c>
      <c r="S52" s="26" t="str">
        <f>IF(G52="","",VLOOKUP(F52,'Data Induk Pegawai'!B:AE,11,FALSE))</f>
        <v/>
      </c>
      <c r="T52" s="56"/>
      <c r="U52" s="18" t="str">
        <f t="shared" si="4"/>
        <v/>
      </c>
      <c r="V52" s="30"/>
      <c r="W52" s="18" t="str">
        <f t="shared" si="5"/>
        <v/>
      </c>
      <c r="X52" s="16"/>
      <c r="Y52" t="str">
        <f t="shared" si="6"/>
        <v/>
      </c>
      <c r="Z52" t="str">
        <f t="shared" si="7"/>
        <v/>
      </c>
      <c r="AA52" t="str">
        <f t="shared" si="8"/>
        <v/>
      </c>
      <c r="AB52" t="str">
        <f>COUNTIFS(AC52:AC$596,AC52)&amp;AC52</f>
        <v>545</v>
      </c>
      <c r="AC52" t="str">
        <f t="shared" si="9"/>
        <v/>
      </c>
      <c r="AD52" t="str">
        <f>COUNTIFS(AC$2:AC52,AC52)&amp;AC52</f>
        <v>51</v>
      </c>
      <c r="AE52" t="str">
        <f t="shared" si="10"/>
        <v/>
      </c>
      <c r="AF52" t="str">
        <f t="shared" si="11"/>
        <v>..</v>
      </c>
      <c r="AG52" s="28" t="str">
        <f t="shared" si="12"/>
        <v/>
      </c>
      <c r="AH52" s="28" t="str">
        <f t="shared" si="13"/>
        <v/>
      </c>
      <c r="AI52" t="str">
        <f t="shared" si="0"/>
        <v/>
      </c>
      <c r="AJ52" t="str">
        <f t="shared" si="14"/>
        <v/>
      </c>
      <c r="AK52" t="str">
        <f t="shared" si="15"/>
        <v/>
      </c>
      <c r="AL52" t="str">
        <f t="shared" si="16"/>
        <v/>
      </c>
      <c r="AM52" t="str">
        <f t="shared" si="1"/>
        <v/>
      </c>
      <c r="AN52" t="str">
        <f t="shared" si="17"/>
        <v/>
      </c>
      <c r="AO52" t="str">
        <f t="shared" si="18"/>
        <v/>
      </c>
      <c r="AP52" t="str">
        <f t="shared" si="19"/>
        <v/>
      </c>
      <c r="AQ52" t="str">
        <f t="shared" si="2"/>
        <v/>
      </c>
      <c r="AR52" t="str">
        <f t="shared" si="20"/>
        <v/>
      </c>
      <c r="AS52" t="str">
        <f t="shared" si="21"/>
        <v/>
      </c>
      <c r="AT52" t="str">
        <f t="shared" si="22"/>
        <v/>
      </c>
      <c r="AU52" s="25" t="str">
        <f t="shared" si="23"/>
        <v/>
      </c>
      <c r="BA52">
        <f>'REGISTER SK'!F55</f>
        <v>0</v>
      </c>
    </row>
    <row r="53" spans="1:53" x14ac:dyDescent="0.35">
      <c r="A53" s="18">
        <v>52</v>
      </c>
      <c r="B53" s="36" t="s">
        <v>379</v>
      </c>
      <c r="C53" s="18" t="str">
        <f>IF(G53="","",IF(G53="Umum",G53,VLOOKUP(F53,'Data Induk Pegawai'!B:AE,4,FALSE)))</f>
        <v/>
      </c>
      <c r="D53" s="19" t="str">
        <f>IF('REGISTER SK'!A56="","",IF('REGISTER SK'!B56=0,D52,'REGISTER SK'!B56))</f>
        <v/>
      </c>
      <c r="E53" s="19" t="str">
        <f t="shared" si="3"/>
        <v/>
      </c>
      <c r="F53" s="29"/>
      <c r="G53" s="29"/>
      <c r="H53" s="31" t="str">
        <f>IF(F53="","",VLOOKUP(F53,'Data Induk Pegawai'!B:U,2,FALSE))</f>
        <v/>
      </c>
      <c r="I53" s="19" t="str">
        <f>IF('REGISTER SK'!C56="","",'REGISTER SK'!C56)</f>
        <v/>
      </c>
      <c r="J53" s="125"/>
      <c r="K53" s="125"/>
      <c r="L53" s="26" t="str">
        <f>IF('REGISTER SK'!D56="","",'REGISTER SK'!D56)</f>
        <v/>
      </c>
      <c r="M53" s="26" t="str">
        <f>IF('REGISTER SK'!E56="","",'REGISTER SK'!E56)</f>
        <v/>
      </c>
      <c r="N53" s="31" t="str">
        <f>IF(G53="","",IF(OR(G53="GTT",G53="PTT"),"--",VLOOKUP(F53,'Data Induk Pegawai'!B:AE,4,FALSE)))</f>
        <v/>
      </c>
      <c r="O53" s="18" t="s">
        <v>280</v>
      </c>
      <c r="P53" s="31" t="str">
        <f>IF(G53="","",VLOOKUP(F53,'Data Induk Pegawai'!B:AE,7,FALSE))</f>
        <v/>
      </c>
      <c r="Q53" s="30"/>
      <c r="R53" s="26" t="str">
        <f>IF(G53="","","Nomor "&amp;RIGHT(VLOOKUP(F53,'Data Induk Pegawai'!B:AE,12,FALSE),2)&amp;" Tahun "&amp;MID(VLOOKUP(F53,'Data Induk Pegawai'!B:AE,12,FALSE),5,4))</f>
        <v/>
      </c>
      <c r="S53" s="26" t="str">
        <f>IF(G53="","",VLOOKUP(F53,'Data Induk Pegawai'!B:AE,11,FALSE))</f>
        <v/>
      </c>
      <c r="T53" s="56"/>
      <c r="U53" s="18" t="str">
        <f t="shared" si="4"/>
        <v/>
      </c>
      <c r="V53" s="30"/>
      <c r="W53" s="18" t="str">
        <f t="shared" si="5"/>
        <v/>
      </c>
      <c r="X53" s="16"/>
      <c r="Y53" t="str">
        <f t="shared" si="6"/>
        <v/>
      </c>
      <c r="Z53" t="str">
        <f t="shared" si="7"/>
        <v/>
      </c>
      <c r="AA53" t="str">
        <f t="shared" si="8"/>
        <v/>
      </c>
      <c r="AB53" t="str">
        <f>COUNTIFS(AC53:AC$596,AC53)&amp;AC53</f>
        <v>544</v>
      </c>
      <c r="AC53" t="str">
        <f t="shared" si="9"/>
        <v/>
      </c>
      <c r="AD53" t="str">
        <f>COUNTIFS(AC$2:AC53,AC53)&amp;AC53</f>
        <v>52</v>
      </c>
      <c r="AE53" t="str">
        <f t="shared" si="10"/>
        <v/>
      </c>
      <c r="AF53" t="str">
        <f t="shared" si="11"/>
        <v>..</v>
      </c>
      <c r="AG53" s="28" t="str">
        <f t="shared" si="12"/>
        <v/>
      </c>
      <c r="AH53" s="28" t="str">
        <f t="shared" si="13"/>
        <v/>
      </c>
      <c r="AI53" t="str">
        <f t="shared" si="0"/>
        <v/>
      </c>
      <c r="AJ53" t="str">
        <f t="shared" si="14"/>
        <v/>
      </c>
      <c r="AK53" t="str">
        <f t="shared" si="15"/>
        <v/>
      </c>
      <c r="AL53" t="str">
        <f t="shared" si="16"/>
        <v/>
      </c>
      <c r="AM53" t="str">
        <f t="shared" si="1"/>
        <v/>
      </c>
      <c r="AN53" t="str">
        <f t="shared" si="17"/>
        <v/>
      </c>
      <c r="AO53" t="str">
        <f t="shared" si="18"/>
        <v/>
      </c>
      <c r="AP53" t="str">
        <f t="shared" si="19"/>
        <v/>
      </c>
      <c r="AQ53" t="str">
        <f t="shared" si="2"/>
        <v/>
      </c>
      <c r="AR53" t="str">
        <f t="shared" si="20"/>
        <v/>
      </c>
      <c r="AS53" t="str">
        <f t="shared" si="21"/>
        <v/>
      </c>
      <c r="AT53" t="str">
        <f t="shared" si="22"/>
        <v/>
      </c>
      <c r="AU53" s="25" t="str">
        <f t="shared" si="23"/>
        <v/>
      </c>
      <c r="BA53">
        <f>'REGISTER SK'!F56</f>
        <v>0</v>
      </c>
    </row>
    <row r="54" spans="1:53" x14ac:dyDescent="0.35">
      <c r="A54" s="18">
        <v>53</v>
      </c>
      <c r="B54" s="36" t="s">
        <v>379</v>
      </c>
      <c r="C54" s="18" t="str">
        <f>IF(G54="","",IF(G54="Umum",G54,VLOOKUP(F54,'Data Induk Pegawai'!B:AE,4,FALSE)))</f>
        <v/>
      </c>
      <c r="D54" s="19" t="str">
        <f>IF('REGISTER SK'!A57="","",IF('REGISTER SK'!B57=0,D53,'REGISTER SK'!B57))</f>
        <v/>
      </c>
      <c r="E54" s="19" t="str">
        <f t="shared" si="3"/>
        <v/>
      </c>
      <c r="F54" s="29"/>
      <c r="G54" s="29"/>
      <c r="H54" s="31" t="str">
        <f>IF(F54="","",VLOOKUP(F54,'Data Induk Pegawai'!B:U,2,FALSE))</f>
        <v/>
      </c>
      <c r="I54" s="19" t="str">
        <f>IF('REGISTER SK'!C57="","",'REGISTER SK'!C57)</f>
        <v/>
      </c>
      <c r="J54" s="125"/>
      <c r="K54" s="125"/>
      <c r="L54" s="26" t="str">
        <f>IF('REGISTER SK'!D57="","",'REGISTER SK'!D57)</f>
        <v/>
      </c>
      <c r="M54" s="26" t="str">
        <f>IF('REGISTER SK'!E57="","",'REGISTER SK'!E57)</f>
        <v/>
      </c>
      <c r="N54" s="31" t="str">
        <f>IF(G54="","",IF(OR(G54="GTT",G54="PTT"),"--",VLOOKUP(F54,'Data Induk Pegawai'!B:AE,4,FALSE)))</f>
        <v/>
      </c>
      <c r="O54" s="18" t="s">
        <v>282</v>
      </c>
      <c r="P54" s="31" t="str">
        <f>IF(G54="","",VLOOKUP(F54,'Data Induk Pegawai'!B:AE,7,FALSE))</f>
        <v/>
      </c>
      <c r="Q54" s="30"/>
      <c r="R54" s="26" t="str">
        <f>IF(G54="","","Nomor "&amp;RIGHT(VLOOKUP(F54,'Data Induk Pegawai'!B:AE,12,FALSE),2)&amp;" Tahun "&amp;MID(VLOOKUP(F54,'Data Induk Pegawai'!B:AE,12,FALSE),5,4))</f>
        <v/>
      </c>
      <c r="S54" s="26" t="str">
        <f>IF(G54="","",VLOOKUP(F54,'Data Induk Pegawai'!B:AE,11,FALSE))</f>
        <v/>
      </c>
      <c r="T54" s="56"/>
      <c r="U54" s="18" t="str">
        <f t="shared" si="4"/>
        <v/>
      </c>
      <c r="V54" s="30"/>
      <c r="W54" s="18" t="str">
        <f t="shared" si="5"/>
        <v/>
      </c>
      <c r="X54" s="16"/>
      <c r="Y54" t="str">
        <f t="shared" si="6"/>
        <v/>
      </c>
      <c r="Z54" t="str">
        <f t="shared" si="7"/>
        <v/>
      </c>
      <c r="AA54" t="str">
        <f t="shared" si="8"/>
        <v/>
      </c>
      <c r="AB54" t="str">
        <f>COUNTIFS(AC54:AC$596,AC54)&amp;AC54</f>
        <v>543</v>
      </c>
      <c r="AC54" t="str">
        <f t="shared" si="9"/>
        <v/>
      </c>
      <c r="AD54" t="str">
        <f>COUNTIFS(AC$2:AC54,AC54)&amp;AC54</f>
        <v>53</v>
      </c>
      <c r="AE54" t="str">
        <f t="shared" si="10"/>
        <v/>
      </c>
      <c r="AF54" t="str">
        <f t="shared" si="11"/>
        <v>..</v>
      </c>
      <c r="AG54" s="28" t="str">
        <f t="shared" si="12"/>
        <v/>
      </c>
      <c r="AH54" s="28" t="str">
        <f t="shared" si="13"/>
        <v/>
      </c>
      <c r="AI54" t="str">
        <f t="shared" si="0"/>
        <v/>
      </c>
      <c r="AJ54" t="str">
        <f t="shared" si="14"/>
        <v/>
      </c>
      <c r="AK54" t="str">
        <f t="shared" si="15"/>
        <v/>
      </c>
      <c r="AL54" t="str">
        <f t="shared" si="16"/>
        <v/>
      </c>
      <c r="AM54" t="str">
        <f t="shared" si="1"/>
        <v/>
      </c>
      <c r="AN54" t="str">
        <f t="shared" si="17"/>
        <v/>
      </c>
      <c r="AO54" t="str">
        <f t="shared" si="18"/>
        <v/>
      </c>
      <c r="AP54" t="str">
        <f t="shared" si="19"/>
        <v/>
      </c>
      <c r="AQ54" t="str">
        <f t="shared" si="2"/>
        <v/>
      </c>
      <c r="AR54" t="str">
        <f t="shared" si="20"/>
        <v/>
      </c>
      <c r="AS54" t="str">
        <f t="shared" si="21"/>
        <v/>
      </c>
      <c r="AT54" t="str">
        <f t="shared" si="22"/>
        <v/>
      </c>
      <c r="AU54" s="25" t="str">
        <f t="shared" si="23"/>
        <v/>
      </c>
      <c r="BA54">
        <f>'REGISTER SK'!F57</f>
        <v>0</v>
      </c>
    </row>
    <row r="55" spans="1:53" x14ac:dyDescent="0.35">
      <c r="A55" s="18">
        <v>54</v>
      </c>
      <c r="B55" s="36" t="s">
        <v>379</v>
      </c>
      <c r="C55" s="18" t="str">
        <f>IF(G55="","",IF(G55="Umum",G55,VLOOKUP(F55,'Data Induk Pegawai'!B:AE,4,FALSE)))</f>
        <v/>
      </c>
      <c r="D55" s="19" t="str">
        <f>IF('REGISTER SK'!A58="","",IF('REGISTER SK'!B58=0,D54,'REGISTER SK'!B58))</f>
        <v/>
      </c>
      <c r="E55" s="19" t="str">
        <f t="shared" si="3"/>
        <v/>
      </c>
      <c r="F55" s="29"/>
      <c r="G55" s="29"/>
      <c r="H55" s="31" t="str">
        <f>IF(F55="","",VLOOKUP(F55,'Data Induk Pegawai'!B:U,2,FALSE))</f>
        <v/>
      </c>
      <c r="I55" s="19" t="str">
        <f>IF('REGISTER SK'!C58="","",'REGISTER SK'!C58)</f>
        <v/>
      </c>
      <c r="J55" s="125"/>
      <c r="K55" s="125"/>
      <c r="L55" s="26" t="str">
        <f>IF('REGISTER SK'!D58="","",'REGISTER SK'!D58)</f>
        <v/>
      </c>
      <c r="M55" s="26" t="str">
        <f>IF('REGISTER SK'!E58="","",'REGISTER SK'!E58)</f>
        <v/>
      </c>
      <c r="N55" s="31" t="str">
        <f>IF(G55="","",IF(OR(G55="GTT",G55="PTT"),"--",VLOOKUP(F55,'Data Induk Pegawai'!B:AE,4,FALSE)))</f>
        <v/>
      </c>
      <c r="O55" s="18" t="s">
        <v>283</v>
      </c>
      <c r="P55" s="31" t="str">
        <f>IF(G55="","",VLOOKUP(F55,'Data Induk Pegawai'!B:AE,7,FALSE))</f>
        <v/>
      </c>
      <c r="Q55" s="30"/>
      <c r="R55" s="26" t="str">
        <f>IF(G55="","","Nomor "&amp;RIGHT(VLOOKUP(F55,'Data Induk Pegawai'!B:AE,12,FALSE),2)&amp;" Tahun "&amp;MID(VLOOKUP(F55,'Data Induk Pegawai'!B:AE,12,FALSE),5,4))</f>
        <v/>
      </c>
      <c r="S55" s="26" t="str">
        <f>IF(G55="","",VLOOKUP(F55,'Data Induk Pegawai'!B:AE,11,FALSE))</f>
        <v/>
      </c>
      <c r="T55" s="56"/>
      <c r="U55" s="18" t="str">
        <f t="shared" si="4"/>
        <v/>
      </c>
      <c r="V55" s="30"/>
      <c r="W55" s="18" t="str">
        <f t="shared" si="5"/>
        <v/>
      </c>
      <c r="X55" s="16"/>
      <c r="Y55" t="str">
        <f t="shared" si="6"/>
        <v/>
      </c>
      <c r="Z55" t="str">
        <f t="shared" si="7"/>
        <v/>
      </c>
      <c r="AA55" t="str">
        <f t="shared" si="8"/>
        <v/>
      </c>
      <c r="AB55" t="str">
        <f>COUNTIFS(AC55:AC$596,AC55)&amp;AC55</f>
        <v>542</v>
      </c>
      <c r="AC55" t="str">
        <f t="shared" si="9"/>
        <v/>
      </c>
      <c r="AD55" t="str">
        <f>COUNTIFS(AC$2:AC55,AC55)&amp;AC55</f>
        <v>54</v>
      </c>
      <c r="AE55" t="str">
        <f t="shared" si="10"/>
        <v/>
      </c>
      <c r="AF55" t="str">
        <f t="shared" si="11"/>
        <v>..</v>
      </c>
      <c r="AG55" s="28" t="str">
        <f t="shared" si="12"/>
        <v/>
      </c>
      <c r="AH55" s="28" t="str">
        <f t="shared" si="13"/>
        <v/>
      </c>
      <c r="AI55" t="str">
        <f t="shared" si="0"/>
        <v/>
      </c>
      <c r="AJ55" t="str">
        <f t="shared" si="14"/>
        <v/>
      </c>
      <c r="AK55" t="str">
        <f t="shared" si="15"/>
        <v/>
      </c>
      <c r="AL55" t="str">
        <f t="shared" si="16"/>
        <v/>
      </c>
      <c r="AM55" t="str">
        <f t="shared" si="1"/>
        <v/>
      </c>
      <c r="AN55" t="str">
        <f t="shared" si="17"/>
        <v/>
      </c>
      <c r="AO55" t="str">
        <f t="shared" si="18"/>
        <v/>
      </c>
      <c r="AP55" t="str">
        <f t="shared" si="19"/>
        <v/>
      </c>
      <c r="AQ55" t="str">
        <f t="shared" si="2"/>
        <v/>
      </c>
      <c r="AR55" t="str">
        <f t="shared" si="20"/>
        <v/>
      </c>
      <c r="AS55" t="str">
        <f t="shared" si="21"/>
        <v/>
      </c>
      <c r="AT55" t="str">
        <f t="shared" si="22"/>
        <v/>
      </c>
      <c r="AU55" s="25" t="str">
        <f t="shared" si="23"/>
        <v/>
      </c>
      <c r="BA55">
        <f>'REGISTER SK'!F58</f>
        <v>0</v>
      </c>
    </row>
    <row r="56" spans="1:53" x14ac:dyDescent="0.35">
      <c r="A56" s="18">
        <v>55</v>
      </c>
      <c r="B56" s="36" t="s">
        <v>379</v>
      </c>
      <c r="C56" s="18" t="str">
        <f>IF(G56="","",IF(G56="Umum",G56,VLOOKUP(F56,'Data Induk Pegawai'!B:AE,4,FALSE)))</f>
        <v/>
      </c>
      <c r="D56" s="19" t="str">
        <f>IF('REGISTER SK'!A59="","",IF('REGISTER SK'!B59=0,D55,'REGISTER SK'!B59))</f>
        <v/>
      </c>
      <c r="E56" s="19" t="str">
        <f t="shared" si="3"/>
        <v/>
      </c>
      <c r="F56" s="29"/>
      <c r="G56" s="29"/>
      <c r="H56" s="31" t="str">
        <f>IF(F56="","",VLOOKUP(F56,'Data Induk Pegawai'!B:U,2,FALSE))</f>
        <v/>
      </c>
      <c r="I56" s="19" t="str">
        <f>IF('REGISTER SK'!C59="","",'REGISTER SK'!C59)</f>
        <v/>
      </c>
      <c r="J56" s="125"/>
      <c r="K56" s="125"/>
      <c r="L56" s="26" t="str">
        <f>IF('REGISTER SK'!D59="","",'REGISTER SK'!D59)</f>
        <v/>
      </c>
      <c r="M56" s="26" t="str">
        <f>IF('REGISTER SK'!E59="","",'REGISTER SK'!E59)</f>
        <v/>
      </c>
      <c r="N56" s="31" t="str">
        <f>IF(G56="","",IF(OR(G56="GTT",G56="PTT"),"--",VLOOKUP(F56,'Data Induk Pegawai'!B:AE,4,FALSE)))</f>
        <v/>
      </c>
      <c r="O56" s="18" t="s">
        <v>287</v>
      </c>
      <c r="P56" s="31" t="str">
        <f>IF(G56="","",VLOOKUP(F56,'Data Induk Pegawai'!B:AE,7,FALSE))</f>
        <v/>
      </c>
      <c r="Q56" s="30"/>
      <c r="R56" s="26" t="str">
        <f>IF(G56="","","Nomor "&amp;RIGHT(VLOOKUP(F56,'Data Induk Pegawai'!B:AE,12,FALSE),2)&amp;" Tahun "&amp;MID(VLOOKUP(F56,'Data Induk Pegawai'!B:AE,12,FALSE),5,4))</f>
        <v/>
      </c>
      <c r="S56" s="26" t="str">
        <f>IF(G56="","",VLOOKUP(F56,'Data Induk Pegawai'!B:AE,11,FALSE))</f>
        <v/>
      </c>
      <c r="T56" s="56"/>
      <c r="U56" s="18" t="str">
        <f t="shared" si="4"/>
        <v/>
      </c>
      <c r="V56" s="30"/>
      <c r="W56" s="18" t="str">
        <f t="shared" si="5"/>
        <v/>
      </c>
      <c r="X56" s="16"/>
      <c r="Y56" t="str">
        <f t="shared" si="6"/>
        <v/>
      </c>
      <c r="Z56" t="str">
        <f t="shared" si="7"/>
        <v/>
      </c>
      <c r="AA56" t="str">
        <f t="shared" si="8"/>
        <v/>
      </c>
      <c r="AB56" t="str">
        <f>COUNTIFS(AC56:AC$596,AC56)&amp;AC56</f>
        <v>541</v>
      </c>
      <c r="AC56" t="str">
        <f t="shared" si="9"/>
        <v/>
      </c>
      <c r="AD56" t="str">
        <f>COUNTIFS(AC$2:AC56,AC56)&amp;AC56</f>
        <v>55</v>
      </c>
      <c r="AE56" t="str">
        <f t="shared" si="10"/>
        <v/>
      </c>
      <c r="AF56" t="str">
        <f t="shared" si="11"/>
        <v>..</v>
      </c>
      <c r="AG56" s="28" t="str">
        <f t="shared" si="12"/>
        <v/>
      </c>
      <c r="AH56" s="28" t="str">
        <f t="shared" si="13"/>
        <v/>
      </c>
      <c r="AI56" t="str">
        <f t="shared" si="0"/>
        <v/>
      </c>
      <c r="AJ56" t="str">
        <f t="shared" si="14"/>
        <v/>
      </c>
      <c r="AK56" t="str">
        <f t="shared" si="15"/>
        <v/>
      </c>
      <c r="AL56" t="str">
        <f t="shared" si="16"/>
        <v/>
      </c>
      <c r="AM56" t="str">
        <f t="shared" si="1"/>
        <v/>
      </c>
      <c r="AN56" t="str">
        <f t="shared" si="17"/>
        <v/>
      </c>
      <c r="AO56" t="str">
        <f t="shared" si="18"/>
        <v/>
      </c>
      <c r="AP56" t="str">
        <f t="shared" si="19"/>
        <v/>
      </c>
      <c r="AQ56" t="str">
        <f t="shared" si="2"/>
        <v/>
      </c>
      <c r="AR56" t="str">
        <f t="shared" si="20"/>
        <v/>
      </c>
      <c r="AS56" t="str">
        <f t="shared" si="21"/>
        <v/>
      </c>
      <c r="AT56" t="str">
        <f t="shared" si="22"/>
        <v/>
      </c>
      <c r="AU56" s="25" t="str">
        <f t="shared" si="23"/>
        <v/>
      </c>
      <c r="BA56">
        <f>'REGISTER SK'!F59</f>
        <v>0</v>
      </c>
    </row>
    <row r="57" spans="1:53" x14ac:dyDescent="0.35">
      <c r="A57" s="18">
        <v>56</v>
      </c>
      <c r="B57" s="36"/>
      <c r="C57" s="18" t="str">
        <f>IF(G57="","",IF(G57="Umum",G57,VLOOKUP(F57,'Data Induk Pegawai'!B:AE,4,FALSE)))</f>
        <v/>
      </c>
      <c r="D57" s="19" t="str">
        <f>IF('REGISTER SK'!A60="","",IF('REGISTER SK'!B60=0,D56,'REGISTER SK'!B60))</f>
        <v/>
      </c>
      <c r="E57" s="19" t="str">
        <f t="shared" si="3"/>
        <v/>
      </c>
      <c r="F57" s="29"/>
      <c r="G57" s="29"/>
      <c r="H57" s="31" t="str">
        <f>IF(F57="","",VLOOKUP(F57,'Data Induk Pegawai'!B:U,2,FALSE))</f>
        <v/>
      </c>
      <c r="I57" s="19" t="str">
        <f>IF('REGISTER SK'!C60="","",'REGISTER SK'!C60)</f>
        <v/>
      </c>
      <c r="J57" s="125"/>
      <c r="K57" s="125"/>
      <c r="L57" s="26" t="str">
        <f>IF('REGISTER SK'!D60="","",'REGISTER SK'!D60)</f>
        <v/>
      </c>
      <c r="M57" s="26" t="str">
        <f>IF('REGISTER SK'!E60="","",'REGISTER SK'!E60)</f>
        <v/>
      </c>
      <c r="N57" s="31" t="str">
        <f>IF(G57="","",IF(OR(G57="GTT",G57="PTT"),"--",VLOOKUP(F57,'Data Induk Pegawai'!B:AE,4,FALSE)))</f>
        <v/>
      </c>
      <c r="O57" s="18" t="s">
        <v>378</v>
      </c>
      <c r="P57" s="31" t="str">
        <f>IF(G57="","",VLOOKUP(F57,'Data Induk Pegawai'!B:AE,7,FALSE))</f>
        <v/>
      </c>
      <c r="Q57" s="30"/>
      <c r="R57" s="26" t="str">
        <f>IF(G57="","","Nomor "&amp;RIGHT(VLOOKUP(F57,'Data Induk Pegawai'!B:AE,12,FALSE),2)&amp;" Tahun "&amp;MID(VLOOKUP(F57,'Data Induk Pegawai'!B:AE,12,FALSE),5,4))</f>
        <v/>
      </c>
      <c r="S57" s="26" t="str">
        <f>IF(G57="","",VLOOKUP(F57,'Data Induk Pegawai'!B:AE,11,FALSE))</f>
        <v/>
      </c>
      <c r="T57" s="56"/>
      <c r="U57" s="18" t="str">
        <f t="shared" si="4"/>
        <v/>
      </c>
      <c r="V57" s="30"/>
      <c r="W57" s="18" t="str">
        <f t="shared" si="5"/>
        <v/>
      </c>
      <c r="X57" s="16"/>
      <c r="Y57" t="str">
        <f t="shared" si="6"/>
        <v/>
      </c>
      <c r="Z57" t="str">
        <f t="shared" si="7"/>
        <v/>
      </c>
      <c r="AA57" t="str">
        <f t="shared" si="8"/>
        <v/>
      </c>
      <c r="AB57" t="str">
        <f>COUNTIFS(AC57:AC$596,AC57)&amp;AC57</f>
        <v>540</v>
      </c>
      <c r="AC57" t="str">
        <f t="shared" si="9"/>
        <v/>
      </c>
      <c r="AD57" t="str">
        <f>COUNTIFS(AC$2:AC57,AC57)&amp;AC57</f>
        <v>56</v>
      </c>
      <c r="AE57" t="str">
        <f t="shared" si="10"/>
        <v/>
      </c>
      <c r="AF57" t="str">
        <f t="shared" si="11"/>
        <v>..</v>
      </c>
      <c r="AG57" s="28" t="str">
        <f t="shared" si="12"/>
        <v/>
      </c>
      <c r="AH57" s="28" t="str">
        <f t="shared" si="13"/>
        <v/>
      </c>
      <c r="AI57" t="str">
        <f t="shared" si="0"/>
        <v/>
      </c>
      <c r="AJ57" t="str">
        <f t="shared" si="14"/>
        <v/>
      </c>
      <c r="AK57" t="str">
        <f t="shared" si="15"/>
        <v/>
      </c>
      <c r="AL57" t="str">
        <f t="shared" si="16"/>
        <v/>
      </c>
      <c r="AM57" t="str">
        <f t="shared" si="1"/>
        <v/>
      </c>
      <c r="AN57" t="str">
        <f t="shared" si="17"/>
        <v/>
      </c>
      <c r="AO57" t="str">
        <f t="shared" si="18"/>
        <v/>
      </c>
      <c r="AP57" t="str">
        <f t="shared" si="19"/>
        <v/>
      </c>
      <c r="AQ57" t="str">
        <f t="shared" si="2"/>
        <v/>
      </c>
      <c r="AR57" t="str">
        <f t="shared" si="20"/>
        <v/>
      </c>
      <c r="AS57" t="str">
        <f t="shared" si="21"/>
        <v/>
      </c>
      <c r="AT57" t="str">
        <f t="shared" si="22"/>
        <v/>
      </c>
      <c r="AU57" s="25" t="str">
        <f t="shared" si="23"/>
        <v/>
      </c>
      <c r="BA57">
        <f>'REGISTER SK'!F60</f>
        <v>0</v>
      </c>
    </row>
    <row r="58" spans="1:53" x14ac:dyDescent="0.35">
      <c r="A58" s="18">
        <v>57</v>
      </c>
      <c r="B58" s="36" t="s">
        <v>379</v>
      </c>
      <c r="C58" s="18" t="str">
        <f>IF(G58="","",IF(G58="Umum",G58,VLOOKUP(F58,'Data Induk Pegawai'!B:AE,4,FALSE)))</f>
        <v/>
      </c>
      <c r="D58" s="19" t="str">
        <f>IF('REGISTER SK'!A61="","",IF('REGISTER SK'!B61=0,D57,'REGISTER SK'!B61))</f>
        <v/>
      </c>
      <c r="E58" s="19" t="str">
        <f t="shared" si="3"/>
        <v/>
      </c>
      <c r="F58" s="29"/>
      <c r="G58" s="29"/>
      <c r="H58" s="31" t="str">
        <f>IF(F58="","",VLOOKUP(F58,'Data Induk Pegawai'!B:U,2,FALSE))</f>
        <v/>
      </c>
      <c r="I58" s="19" t="str">
        <f>IF('REGISTER SK'!C61="","",'REGISTER SK'!C61)</f>
        <v/>
      </c>
      <c r="J58" s="125"/>
      <c r="K58" s="125"/>
      <c r="L58" s="26" t="str">
        <f>IF('REGISTER SK'!D61="","",'REGISTER SK'!D61)</f>
        <v/>
      </c>
      <c r="M58" s="26" t="str">
        <f>IF('REGISTER SK'!E61="","",'REGISTER SK'!E61)</f>
        <v/>
      </c>
      <c r="N58" s="31" t="str">
        <f>IF(G58="","",IF(OR(G58="GTT",G58="PTT"),"--",VLOOKUP(F58,'Data Induk Pegawai'!B:AE,4,FALSE)))</f>
        <v/>
      </c>
      <c r="O58" s="18" t="s">
        <v>288</v>
      </c>
      <c r="P58" s="31" t="str">
        <f>IF(G58="","",VLOOKUP(F58,'Data Induk Pegawai'!B:AE,7,FALSE))</f>
        <v/>
      </c>
      <c r="Q58" s="30"/>
      <c r="R58" s="26" t="str">
        <f>IF(G58="","","Nomor "&amp;RIGHT(VLOOKUP(F58,'Data Induk Pegawai'!B:AE,12,FALSE),2)&amp;" Tahun "&amp;MID(VLOOKUP(F58,'Data Induk Pegawai'!B:AE,12,FALSE),5,4))</f>
        <v/>
      </c>
      <c r="S58" s="26" t="str">
        <f>IF(G58="","",VLOOKUP(F58,'Data Induk Pegawai'!B:AE,11,FALSE))</f>
        <v/>
      </c>
      <c r="T58" s="56"/>
      <c r="U58" s="18" t="str">
        <f t="shared" si="4"/>
        <v/>
      </c>
      <c r="V58" s="30"/>
      <c r="W58" s="18" t="str">
        <f t="shared" si="5"/>
        <v/>
      </c>
      <c r="X58" s="16"/>
      <c r="Y58" t="str">
        <f t="shared" si="6"/>
        <v/>
      </c>
      <c r="Z58" t="str">
        <f t="shared" si="7"/>
        <v/>
      </c>
      <c r="AA58" t="str">
        <f t="shared" si="8"/>
        <v/>
      </c>
      <c r="AB58" t="str">
        <f>COUNTIFS(AC58:AC$596,AC58)&amp;AC58</f>
        <v>539</v>
      </c>
      <c r="AC58" t="str">
        <f t="shared" si="9"/>
        <v/>
      </c>
      <c r="AD58" t="str">
        <f>COUNTIFS(AC$2:AC58,AC58)&amp;AC58</f>
        <v>57</v>
      </c>
      <c r="AE58" t="str">
        <f t="shared" si="10"/>
        <v/>
      </c>
      <c r="AF58" t="str">
        <f t="shared" si="11"/>
        <v>..</v>
      </c>
      <c r="AG58" s="28" t="str">
        <f t="shared" si="12"/>
        <v/>
      </c>
      <c r="AH58" s="28" t="str">
        <f t="shared" si="13"/>
        <v/>
      </c>
      <c r="AI58" t="str">
        <f t="shared" si="0"/>
        <v/>
      </c>
      <c r="AJ58" t="str">
        <f t="shared" si="14"/>
        <v/>
      </c>
      <c r="AK58" t="str">
        <f t="shared" si="15"/>
        <v/>
      </c>
      <c r="AL58" t="str">
        <f t="shared" si="16"/>
        <v/>
      </c>
      <c r="AM58" t="str">
        <f t="shared" si="1"/>
        <v/>
      </c>
      <c r="AN58" t="str">
        <f t="shared" si="17"/>
        <v/>
      </c>
      <c r="AO58" t="str">
        <f t="shared" si="18"/>
        <v/>
      </c>
      <c r="AP58" t="str">
        <f t="shared" si="19"/>
        <v/>
      </c>
      <c r="AQ58" t="str">
        <f t="shared" si="2"/>
        <v/>
      </c>
      <c r="AR58" t="str">
        <f t="shared" si="20"/>
        <v/>
      </c>
      <c r="AS58" t="str">
        <f t="shared" si="21"/>
        <v/>
      </c>
      <c r="AT58" t="str">
        <f t="shared" si="22"/>
        <v/>
      </c>
      <c r="AU58" s="25" t="str">
        <f t="shared" si="23"/>
        <v/>
      </c>
      <c r="BA58">
        <f>'REGISTER SK'!F61</f>
        <v>0</v>
      </c>
    </row>
    <row r="59" spans="1:53" x14ac:dyDescent="0.35">
      <c r="A59" s="18">
        <v>58</v>
      </c>
      <c r="B59" s="36" t="s">
        <v>379</v>
      </c>
      <c r="C59" s="18" t="str">
        <f>IF(G59="","",IF(G59="Umum",G59,VLOOKUP(F59,'Data Induk Pegawai'!B:AE,4,FALSE)))</f>
        <v/>
      </c>
      <c r="D59" s="19" t="str">
        <f>IF('REGISTER SK'!A62="","",IF('REGISTER SK'!B62=0,D58,'REGISTER SK'!B62))</f>
        <v/>
      </c>
      <c r="E59" s="19" t="str">
        <f t="shared" si="3"/>
        <v/>
      </c>
      <c r="F59" s="29"/>
      <c r="G59" s="29"/>
      <c r="H59" s="31" t="str">
        <f>IF(F59="","",VLOOKUP(F59,'Data Induk Pegawai'!B:U,2,FALSE))</f>
        <v/>
      </c>
      <c r="I59" s="19" t="str">
        <f>IF('REGISTER SK'!C62="","",'REGISTER SK'!C62)</f>
        <v/>
      </c>
      <c r="J59" s="125"/>
      <c r="K59" s="125"/>
      <c r="L59" s="26" t="str">
        <f>IF('REGISTER SK'!D62="","",'REGISTER SK'!D62)</f>
        <v/>
      </c>
      <c r="M59" s="26" t="str">
        <f>IF('REGISTER SK'!E62="","",'REGISTER SK'!E62)</f>
        <v/>
      </c>
      <c r="N59" s="31" t="str">
        <f>IF(G59="","",IF(OR(G59="GTT",G59="PTT"),"--",VLOOKUP(F59,'Data Induk Pegawai'!B:AE,4,FALSE)))</f>
        <v/>
      </c>
      <c r="O59" s="18" t="s">
        <v>283</v>
      </c>
      <c r="P59" s="31" t="str">
        <f>IF(G59="","",VLOOKUP(F59,'Data Induk Pegawai'!B:AE,7,FALSE))</f>
        <v/>
      </c>
      <c r="Q59" s="30"/>
      <c r="R59" s="26" t="str">
        <f>IF(G59="","","Nomor "&amp;RIGHT(VLOOKUP(F59,'Data Induk Pegawai'!B:AE,12,FALSE),2)&amp;" Tahun "&amp;MID(VLOOKUP(F59,'Data Induk Pegawai'!B:AE,12,FALSE),5,4))</f>
        <v/>
      </c>
      <c r="S59" s="26" t="str">
        <f>IF(G59="","",VLOOKUP(F59,'Data Induk Pegawai'!B:AE,11,FALSE))</f>
        <v/>
      </c>
      <c r="T59" s="56"/>
      <c r="U59" s="18" t="str">
        <f t="shared" si="4"/>
        <v/>
      </c>
      <c r="V59" s="30"/>
      <c r="W59" s="18" t="str">
        <f t="shared" si="5"/>
        <v/>
      </c>
      <c r="X59" s="16"/>
      <c r="Y59" t="str">
        <f t="shared" si="6"/>
        <v/>
      </c>
      <c r="Z59" t="str">
        <f t="shared" si="7"/>
        <v/>
      </c>
      <c r="AA59" t="str">
        <f t="shared" si="8"/>
        <v/>
      </c>
      <c r="AB59" t="str">
        <f>COUNTIFS(AC59:AC$596,AC59)&amp;AC59</f>
        <v>538</v>
      </c>
      <c r="AC59" t="str">
        <f t="shared" si="9"/>
        <v/>
      </c>
      <c r="AD59" t="str">
        <f>COUNTIFS(AC$2:AC59,AC59)&amp;AC59</f>
        <v>58</v>
      </c>
      <c r="AE59" t="str">
        <f t="shared" si="10"/>
        <v/>
      </c>
      <c r="AF59" t="str">
        <f t="shared" si="11"/>
        <v>..</v>
      </c>
      <c r="AG59" s="28" t="str">
        <f t="shared" si="12"/>
        <v/>
      </c>
      <c r="AH59" s="28" t="str">
        <f t="shared" si="13"/>
        <v/>
      </c>
      <c r="AI59" t="str">
        <f t="shared" si="0"/>
        <v/>
      </c>
      <c r="AJ59" t="str">
        <f t="shared" si="14"/>
        <v/>
      </c>
      <c r="AK59" t="str">
        <f t="shared" si="15"/>
        <v/>
      </c>
      <c r="AL59" t="str">
        <f t="shared" si="16"/>
        <v/>
      </c>
      <c r="AM59" t="str">
        <f t="shared" si="1"/>
        <v/>
      </c>
      <c r="AN59" t="str">
        <f t="shared" si="17"/>
        <v/>
      </c>
      <c r="AO59" t="str">
        <f t="shared" si="18"/>
        <v/>
      </c>
      <c r="AP59" t="str">
        <f t="shared" si="19"/>
        <v/>
      </c>
      <c r="AQ59" t="str">
        <f t="shared" si="2"/>
        <v/>
      </c>
      <c r="AR59" t="str">
        <f t="shared" si="20"/>
        <v/>
      </c>
      <c r="AS59" t="str">
        <f t="shared" si="21"/>
        <v/>
      </c>
      <c r="AT59" t="str">
        <f t="shared" si="22"/>
        <v/>
      </c>
      <c r="AU59" s="25" t="str">
        <f t="shared" si="23"/>
        <v/>
      </c>
      <c r="BA59">
        <f>'REGISTER SK'!F62</f>
        <v>0</v>
      </c>
    </row>
    <row r="60" spans="1:53" x14ac:dyDescent="0.35">
      <c r="A60" s="18">
        <v>59</v>
      </c>
      <c r="B60" s="36" t="s">
        <v>379</v>
      </c>
      <c r="C60" s="18" t="str">
        <f>IF(G60="","",IF(G60="Umum",G60,VLOOKUP(F60,'Data Induk Pegawai'!B:AE,4,FALSE)))</f>
        <v/>
      </c>
      <c r="D60" s="19" t="str">
        <f>IF('REGISTER SK'!A63="","",IF('REGISTER SK'!B63=0,D59,'REGISTER SK'!B63))</f>
        <v/>
      </c>
      <c r="E60" s="19" t="str">
        <f t="shared" si="3"/>
        <v/>
      </c>
      <c r="F60" s="29"/>
      <c r="G60" s="29"/>
      <c r="H60" s="31" t="str">
        <f>IF(F60="","",VLOOKUP(F60,'Data Induk Pegawai'!B:U,2,FALSE))</f>
        <v/>
      </c>
      <c r="I60" s="19" t="str">
        <f>IF('REGISTER SK'!C63="","",'REGISTER SK'!C63)</f>
        <v/>
      </c>
      <c r="J60" s="125"/>
      <c r="K60" s="125"/>
      <c r="L60" s="26" t="str">
        <f>IF('REGISTER SK'!D63="","",'REGISTER SK'!D63)</f>
        <v/>
      </c>
      <c r="M60" s="26" t="str">
        <f>IF('REGISTER SK'!E63="","",'REGISTER SK'!E63)</f>
        <v/>
      </c>
      <c r="N60" s="31" t="str">
        <f>IF(G60="","",IF(OR(G60="GTT",G60="PTT"),"--",VLOOKUP(F60,'Data Induk Pegawai'!B:AE,4,FALSE)))</f>
        <v/>
      </c>
      <c r="O60" s="18" t="s">
        <v>291</v>
      </c>
      <c r="P60" s="31" t="str">
        <f>IF(G60="","",VLOOKUP(F60,'Data Induk Pegawai'!B:AE,7,FALSE))</f>
        <v/>
      </c>
      <c r="Q60" s="30"/>
      <c r="R60" s="26" t="str">
        <f>IF(G60="","","Nomor "&amp;RIGHT(VLOOKUP(F60,'Data Induk Pegawai'!B:AE,12,FALSE),2)&amp;" Tahun "&amp;MID(VLOOKUP(F60,'Data Induk Pegawai'!B:AE,12,FALSE),5,4))</f>
        <v/>
      </c>
      <c r="S60" s="26" t="str">
        <f>IF(G60="","",VLOOKUP(F60,'Data Induk Pegawai'!B:AE,11,FALSE))</f>
        <v/>
      </c>
      <c r="T60" s="56"/>
      <c r="U60" s="18" t="str">
        <f t="shared" si="4"/>
        <v/>
      </c>
      <c r="V60" s="30"/>
      <c r="W60" s="18" t="str">
        <f t="shared" si="5"/>
        <v/>
      </c>
      <c r="X60" s="16"/>
      <c r="Y60" t="str">
        <f t="shared" si="6"/>
        <v/>
      </c>
      <c r="Z60" t="str">
        <f t="shared" si="7"/>
        <v/>
      </c>
      <c r="AA60" t="str">
        <f t="shared" si="8"/>
        <v/>
      </c>
      <c r="AB60" t="str">
        <f>COUNTIFS(AC60:AC$596,AC60)&amp;AC60</f>
        <v>537</v>
      </c>
      <c r="AC60" t="str">
        <f t="shared" si="9"/>
        <v/>
      </c>
      <c r="AD60" t="str">
        <f>COUNTIFS(AC$2:AC60,AC60)&amp;AC60</f>
        <v>59</v>
      </c>
      <c r="AE60" t="str">
        <f t="shared" si="10"/>
        <v/>
      </c>
      <c r="AF60" t="str">
        <f t="shared" si="11"/>
        <v>..</v>
      </c>
      <c r="AG60" s="28" t="str">
        <f t="shared" si="12"/>
        <v/>
      </c>
      <c r="AH60" s="28" t="str">
        <f t="shared" si="13"/>
        <v/>
      </c>
      <c r="AI60" t="str">
        <f t="shared" si="0"/>
        <v/>
      </c>
      <c r="AJ60" t="str">
        <f t="shared" si="14"/>
        <v/>
      </c>
      <c r="AK60" t="str">
        <f t="shared" si="15"/>
        <v/>
      </c>
      <c r="AL60" t="str">
        <f t="shared" si="16"/>
        <v/>
      </c>
      <c r="AM60" t="str">
        <f t="shared" si="1"/>
        <v/>
      </c>
      <c r="AN60" t="str">
        <f t="shared" si="17"/>
        <v/>
      </c>
      <c r="AO60" t="str">
        <f t="shared" si="18"/>
        <v/>
      </c>
      <c r="AP60" t="str">
        <f t="shared" si="19"/>
        <v/>
      </c>
      <c r="AQ60" t="str">
        <f t="shared" si="2"/>
        <v/>
      </c>
      <c r="AR60" t="str">
        <f t="shared" si="20"/>
        <v/>
      </c>
      <c r="AS60" t="str">
        <f t="shared" si="21"/>
        <v/>
      </c>
      <c r="AT60" t="str">
        <f t="shared" si="22"/>
        <v/>
      </c>
      <c r="AU60" s="25" t="str">
        <f t="shared" si="23"/>
        <v/>
      </c>
      <c r="BA60">
        <f>'REGISTER SK'!F63</f>
        <v>0</v>
      </c>
    </row>
    <row r="61" spans="1:53" x14ac:dyDescent="0.35">
      <c r="A61" s="18">
        <v>60</v>
      </c>
      <c r="B61" s="36" t="s">
        <v>379</v>
      </c>
      <c r="C61" s="18" t="str">
        <f>IF(G61="","",IF(G61="Umum",G61,VLOOKUP(F61,'Data Induk Pegawai'!B:AE,4,FALSE)))</f>
        <v/>
      </c>
      <c r="D61" s="19" t="str">
        <f>IF('REGISTER SK'!A64="","",IF('REGISTER SK'!B64=0,D60,'REGISTER SK'!B64))</f>
        <v/>
      </c>
      <c r="E61" s="19" t="str">
        <f t="shared" si="3"/>
        <v/>
      </c>
      <c r="F61" s="29"/>
      <c r="G61" s="29"/>
      <c r="H61" s="31" t="str">
        <f>IF(F61="","",VLOOKUP(F61,'Data Induk Pegawai'!B:U,2,FALSE))</f>
        <v/>
      </c>
      <c r="I61" s="19" t="str">
        <f>IF('REGISTER SK'!C64="","",'REGISTER SK'!C64)</f>
        <v/>
      </c>
      <c r="J61" s="125"/>
      <c r="K61" s="125"/>
      <c r="L61" s="26" t="str">
        <f>IF('REGISTER SK'!D64="","",'REGISTER SK'!D64)</f>
        <v/>
      </c>
      <c r="M61" s="26" t="str">
        <f>IF('REGISTER SK'!E64="","",'REGISTER SK'!E64)</f>
        <v/>
      </c>
      <c r="N61" s="31" t="str">
        <f>IF(G61="","",IF(OR(G61="GTT",G61="PTT"),"--",VLOOKUP(F61,'Data Induk Pegawai'!B:AE,4,FALSE)))</f>
        <v/>
      </c>
      <c r="O61" s="18" t="s">
        <v>294</v>
      </c>
      <c r="P61" s="31" t="str">
        <f>IF(G61="","",VLOOKUP(F61,'Data Induk Pegawai'!B:AE,7,FALSE))</f>
        <v/>
      </c>
      <c r="Q61" s="30"/>
      <c r="R61" s="26" t="str">
        <f>IF(G61="","","Nomor "&amp;RIGHT(VLOOKUP(F61,'Data Induk Pegawai'!B:AE,12,FALSE),2)&amp;" Tahun "&amp;MID(VLOOKUP(F61,'Data Induk Pegawai'!B:AE,12,FALSE),5,4))</f>
        <v/>
      </c>
      <c r="S61" s="26" t="str">
        <f>IF(G61="","",VLOOKUP(F61,'Data Induk Pegawai'!B:AE,11,FALSE))</f>
        <v/>
      </c>
      <c r="T61" s="56"/>
      <c r="U61" s="18" t="str">
        <f t="shared" si="4"/>
        <v/>
      </c>
      <c r="V61" s="30"/>
      <c r="W61" s="18" t="str">
        <f t="shared" si="5"/>
        <v/>
      </c>
      <c r="X61" s="16"/>
      <c r="Y61" t="str">
        <f t="shared" si="6"/>
        <v/>
      </c>
      <c r="Z61" t="str">
        <f t="shared" si="7"/>
        <v/>
      </c>
      <c r="AA61" t="str">
        <f t="shared" si="8"/>
        <v/>
      </c>
      <c r="AB61" t="str">
        <f>COUNTIFS(AC61:AC$596,AC61)&amp;AC61</f>
        <v>536</v>
      </c>
      <c r="AC61" t="str">
        <f t="shared" si="9"/>
        <v/>
      </c>
      <c r="AD61" t="str">
        <f>COUNTIFS(AC$2:AC61,AC61)&amp;AC61</f>
        <v>60</v>
      </c>
      <c r="AE61" t="str">
        <f t="shared" si="10"/>
        <v/>
      </c>
      <c r="AF61" t="str">
        <f t="shared" si="11"/>
        <v>..</v>
      </c>
      <c r="AG61" s="28" t="str">
        <f t="shared" si="12"/>
        <v/>
      </c>
      <c r="AH61" s="28" t="str">
        <f t="shared" si="13"/>
        <v/>
      </c>
      <c r="AI61" t="str">
        <f t="shared" si="0"/>
        <v/>
      </c>
      <c r="AJ61" t="str">
        <f t="shared" si="14"/>
        <v/>
      </c>
      <c r="AK61" t="str">
        <f t="shared" si="15"/>
        <v/>
      </c>
      <c r="AL61" t="str">
        <f t="shared" si="16"/>
        <v/>
      </c>
      <c r="AM61" t="str">
        <f t="shared" si="1"/>
        <v/>
      </c>
      <c r="AN61" t="str">
        <f t="shared" si="17"/>
        <v/>
      </c>
      <c r="AO61" t="str">
        <f t="shared" si="18"/>
        <v/>
      </c>
      <c r="AP61" t="str">
        <f t="shared" si="19"/>
        <v/>
      </c>
      <c r="AQ61" t="str">
        <f t="shared" si="2"/>
        <v/>
      </c>
      <c r="AR61" t="str">
        <f t="shared" si="20"/>
        <v/>
      </c>
      <c r="AS61" t="str">
        <f t="shared" si="21"/>
        <v/>
      </c>
      <c r="AT61" t="str">
        <f t="shared" si="22"/>
        <v/>
      </c>
      <c r="AU61" s="25" t="str">
        <f t="shared" si="23"/>
        <v/>
      </c>
      <c r="BA61">
        <f>'REGISTER SK'!F64</f>
        <v>0</v>
      </c>
    </row>
    <row r="62" spans="1:53" x14ac:dyDescent="0.35">
      <c r="A62" s="18">
        <v>61</v>
      </c>
      <c r="B62" s="36" t="s">
        <v>379</v>
      </c>
      <c r="C62" s="18" t="str">
        <f>IF(G62="","",IF(G62="Umum",G62,VLOOKUP(F62,'Data Induk Pegawai'!B:AE,4,FALSE)))</f>
        <v/>
      </c>
      <c r="D62" s="19" t="str">
        <f>IF('REGISTER SK'!A65="","",IF('REGISTER SK'!B65=0,D61,'REGISTER SK'!B65))</f>
        <v/>
      </c>
      <c r="E62" s="19" t="str">
        <f t="shared" si="3"/>
        <v/>
      </c>
      <c r="F62" s="29"/>
      <c r="G62" s="29"/>
      <c r="H62" s="31" t="str">
        <f>IF(F62="","",VLOOKUP(F62,'Data Induk Pegawai'!B:U,2,FALSE))</f>
        <v/>
      </c>
      <c r="I62" s="19" t="str">
        <f>IF('REGISTER SK'!C65="","",'REGISTER SK'!C65)</f>
        <v/>
      </c>
      <c r="J62" s="125"/>
      <c r="K62" s="125"/>
      <c r="L62" s="26" t="str">
        <f>IF('REGISTER SK'!D65="","",'REGISTER SK'!D65)</f>
        <v/>
      </c>
      <c r="M62" s="26" t="str">
        <f>IF('REGISTER SK'!E65="","",'REGISTER SK'!E65)</f>
        <v/>
      </c>
      <c r="N62" s="31" t="str">
        <f>IF(G62="","",IF(OR(G62="GTT",G62="PTT"),"--",VLOOKUP(F62,'Data Induk Pegawai'!B:AE,4,FALSE)))</f>
        <v/>
      </c>
      <c r="O62" s="18" t="s">
        <v>284</v>
      </c>
      <c r="P62" s="31" t="str">
        <f>IF(G62="","",VLOOKUP(F62,'Data Induk Pegawai'!B:AE,7,FALSE))</f>
        <v/>
      </c>
      <c r="Q62" s="30"/>
      <c r="R62" s="26" t="str">
        <f>IF(G62="","","Nomor "&amp;RIGHT(VLOOKUP(F62,'Data Induk Pegawai'!B:AE,12,FALSE),2)&amp;" Tahun "&amp;MID(VLOOKUP(F62,'Data Induk Pegawai'!B:AE,12,FALSE),5,4))</f>
        <v/>
      </c>
      <c r="S62" s="26" t="str">
        <f>IF(G62="","",VLOOKUP(F62,'Data Induk Pegawai'!B:AE,11,FALSE))</f>
        <v/>
      </c>
      <c r="T62" s="57"/>
      <c r="U62" s="18" t="str">
        <f t="shared" si="4"/>
        <v/>
      </c>
      <c r="V62" s="30"/>
      <c r="W62" s="18" t="str">
        <f t="shared" si="5"/>
        <v/>
      </c>
      <c r="X62" s="16"/>
      <c r="Y62" t="str">
        <f t="shared" si="6"/>
        <v/>
      </c>
      <c r="Z62" t="str">
        <f t="shared" si="7"/>
        <v/>
      </c>
      <c r="AA62" t="str">
        <f t="shared" si="8"/>
        <v/>
      </c>
      <c r="AB62" t="str">
        <f>COUNTIFS(AC62:AC$596,AC62)&amp;AC62</f>
        <v>535</v>
      </c>
      <c r="AC62" t="str">
        <f t="shared" si="9"/>
        <v/>
      </c>
      <c r="AD62" t="str">
        <f>COUNTIFS(AC$2:AC62,AC62)&amp;AC62</f>
        <v>61</v>
      </c>
      <c r="AE62" t="str">
        <f t="shared" si="10"/>
        <v/>
      </c>
      <c r="AF62" t="str">
        <f t="shared" si="11"/>
        <v>..</v>
      </c>
      <c r="AG62" s="28" t="str">
        <f t="shared" si="12"/>
        <v/>
      </c>
      <c r="AH62" s="28" t="str">
        <f t="shared" si="13"/>
        <v/>
      </c>
      <c r="AI62" t="str">
        <f t="shared" si="0"/>
        <v/>
      </c>
      <c r="AJ62" t="str">
        <f t="shared" si="14"/>
        <v/>
      </c>
      <c r="AK62" t="str">
        <f t="shared" si="15"/>
        <v/>
      </c>
      <c r="AL62" t="str">
        <f t="shared" si="16"/>
        <v/>
      </c>
      <c r="AM62" t="str">
        <f t="shared" si="1"/>
        <v/>
      </c>
      <c r="AN62" t="str">
        <f t="shared" si="17"/>
        <v/>
      </c>
      <c r="AO62" t="str">
        <f t="shared" si="18"/>
        <v/>
      </c>
      <c r="AP62" t="str">
        <f t="shared" si="19"/>
        <v/>
      </c>
      <c r="AQ62" t="str">
        <f t="shared" si="2"/>
        <v/>
      </c>
      <c r="AR62" t="str">
        <f t="shared" si="20"/>
        <v/>
      </c>
      <c r="AS62" t="str">
        <f t="shared" si="21"/>
        <v/>
      </c>
      <c r="AT62" t="str">
        <f t="shared" si="22"/>
        <v/>
      </c>
      <c r="AU62" s="25" t="str">
        <f t="shared" si="23"/>
        <v/>
      </c>
      <c r="BA62">
        <f>'REGISTER SK'!F65</f>
        <v>0</v>
      </c>
    </row>
    <row r="63" spans="1:53" x14ac:dyDescent="0.35">
      <c r="A63" s="18">
        <v>62</v>
      </c>
      <c r="B63" s="36" t="s">
        <v>379</v>
      </c>
      <c r="C63" s="18" t="str">
        <f>IF(G63="","",IF(G63="Umum",G63,VLOOKUP(F63,'Data Induk Pegawai'!B:AE,4,FALSE)))</f>
        <v/>
      </c>
      <c r="D63" s="19" t="str">
        <f>IF('REGISTER SK'!A66="","",IF('REGISTER SK'!B66=0,D62,'REGISTER SK'!B66))</f>
        <v/>
      </c>
      <c r="E63" s="19" t="str">
        <f t="shared" si="3"/>
        <v/>
      </c>
      <c r="F63" s="29"/>
      <c r="G63" s="29"/>
      <c r="H63" s="31" t="str">
        <f>IF(F63="","",VLOOKUP(F63,'Data Induk Pegawai'!B:U,2,FALSE))</f>
        <v/>
      </c>
      <c r="I63" s="19" t="str">
        <f>IF('REGISTER SK'!C66="","",'REGISTER SK'!C66)</f>
        <v/>
      </c>
      <c r="J63" s="125"/>
      <c r="K63" s="125"/>
      <c r="L63" s="26" t="str">
        <f>IF('REGISTER SK'!D66="","",'REGISTER SK'!D66)</f>
        <v/>
      </c>
      <c r="M63" s="26" t="str">
        <f>IF('REGISTER SK'!E66="","",'REGISTER SK'!E66)</f>
        <v/>
      </c>
      <c r="N63" s="31" t="str">
        <f>IF(G63="","",IF(OR(G63="GTT",G63="PTT"),"--",VLOOKUP(F63,'Data Induk Pegawai'!B:AE,4,FALSE)))</f>
        <v/>
      </c>
      <c r="O63" s="18" t="s">
        <v>293</v>
      </c>
      <c r="P63" s="31" t="str">
        <f>IF(G63="","",VLOOKUP(F63,'Data Induk Pegawai'!B:AE,7,FALSE))</f>
        <v/>
      </c>
      <c r="Q63" s="30"/>
      <c r="R63" s="26" t="str">
        <f>IF(G63="","","Nomor "&amp;RIGHT(VLOOKUP(F63,'Data Induk Pegawai'!B:AE,12,FALSE),2)&amp;" Tahun "&amp;MID(VLOOKUP(F63,'Data Induk Pegawai'!B:AE,12,FALSE),5,4))</f>
        <v/>
      </c>
      <c r="S63" s="26" t="str">
        <f>IF(G63="","",VLOOKUP(F63,'Data Induk Pegawai'!B:AE,11,FALSE))</f>
        <v/>
      </c>
      <c r="T63" s="56"/>
      <c r="U63" s="18" t="str">
        <f t="shared" si="4"/>
        <v/>
      </c>
      <c r="V63" s="30"/>
      <c r="W63" s="18" t="str">
        <f t="shared" si="5"/>
        <v/>
      </c>
      <c r="X63" s="16"/>
      <c r="Y63" t="str">
        <f t="shared" si="6"/>
        <v/>
      </c>
      <c r="Z63" t="str">
        <f t="shared" si="7"/>
        <v/>
      </c>
      <c r="AA63" t="str">
        <f t="shared" si="8"/>
        <v/>
      </c>
      <c r="AB63" t="str">
        <f>COUNTIFS(AC63:AC$596,AC63)&amp;AC63</f>
        <v>534</v>
      </c>
      <c r="AC63" t="str">
        <f t="shared" si="9"/>
        <v/>
      </c>
      <c r="AD63" t="str">
        <f>COUNTIFS(AC$2:AC63,AC63)&amp;AC63</f>
        <v>62</v>
      </c>
      <c r="AE63" t="str">
        <f t="shared" si="10"/>
        <v/>
      </c>
      <c r="AF63" t="str">
        <f t="shared" si="11"/>
        <v>..</v>
      </c>
      <c r="AG63" s="28" t="str">
        <f t="shared" si="12"/>
        <v/>
      </c>
      <c r="AH63" s="28" t="str">
        <f t="shared" si="13"/>
        <v/>
      </c>
      <c r="AI63" t="str">
        <f t="shared" si="0"/>
        <v/>
      </c>
      <c r="AJ63" t="str">
        <f t="shared" si="14"/>
        <v/>
      </c>
      <c r="AK63" t="str">
        <f t="shared" si="15"/>
        <v/>
      </c>
      <c r="AL63" t="str">
        <f t="shared" si="16"/>
        <v/>
      </c>
      <c r="AM63" t="str">
        <f t="shared" si="1"/>
        <v/>
      </c>
      <c r="AN63" t="str">
        <f t="shared" si="17"/>
        <v/>
      </c>
      <c r="AO63" t="str">
        <f t="shared" si="18"/>
        <v/>
      </c>
      <c r="AP63" t="str">
        <f t="shared" si="19"/>
        <v/>
      </c>
      <c r="AQ63" t="str">
        <f t="shared" si="2"/>
        <v/>
      </c>
      <c r="AR63" t="str">
        <f t="shared" si="20"/>
        <v/>
      </c>
      <c r="AS63" t="str">
        <f t="shared" si="21"/>
        <v/>
      </c>
      <c r="AT63" t="str">
        <f t="shared" si="22"/>
        <v/>
      </c>
      <c r="AU63" s="25" t="str">
        <f t="shared" si="23"/>
        <v/>
      </c>
      <c r="BA63">
        <f>'REGISTER SK'!F66</f>
        <v>0</v>
      </c>
    </row>
    <row r="64" spans="1:53" x14ac:dyDescent="0.35">
      <c r="A64" s="18">
        <v>63</v>
      </c>
      <c r="B64" s="36" t="s">
        <v>379</v>
      </c>
      <c r="C64" s="18" t="str">
        <f>IF(G64="","",IF(G64="Umum",G64,VLOOKUP(F64,'Data Induk Pegawai'!B:AE,4,FALSE)))</f>
        <v/>
      </c>
      <c r="D64" s="19" t="str">
        <f>IF('REGISTER SK'!A67="","",IF('REGISTER SK'!B67=0,D63,'REGISTER SK'!B67))</f>
        <v/>
      </c>
      <c r="E64" s="19" t="str">
        <f t="shared" si="3"/>
        <v/>
      </c>
      <c r="F64" s="29"/>
      <c r="G64" s="29"/>
      <c r="H64" s="31" t="str">
        <f>IF(F64="","",VLOOKUP(F64,'Data Induk Pegawai'!B:U,2,FALSE))</f>
        <v/>
      </c>
      <c r="I64" s="19" t="str">
        <f>IF('REGISTER SK'!C67="","",'REGISTER SK'!C67)</f>
        <v/>
      </c>
      <c r="J64" s="125"/>
      <c r="K64" s="125"/>
      <c r="L64" s="26" t="str">
        <f>IF('REGISTER SK'!D67="","",'REGISTER SK'!D67)</f>
        <v/>
      </c>
      <c r="M64" s="26" t="str">
        <f>IF('REGISTER SK'!E67="","",'REGISTER SK'!E67)</f>
        <v/>
      </c>
      <c r="N64" s="31" t="str">
        <f>IF(G64="","",IF(OR(G64="GTT",G64="PTT"),"--",VLOOKUP(F64,'Data Induk Pegawai'!B:AE,4,FALSE)))</f>
        <v/>
      </c>
      <c r="O64" s="18" t="s">
        <v>286</v>
      </c>
      <c r="P64" s="31" t="str">
        <f>IF(G64="","",VLOOKUP(F64,'Data Induk Pegawai'!B:AE,7,FALSE))</f>
        <v/>
      </c>
      <c r="Q64" s="30"/>
      <c r="R64" s="26" t="str">
        <f>IF(G64="","","Nomor "&amp;RIGHT(VLOOKUP(F64,'Data Induk Pegawai'!B:AE,12,FALSE),2)&amp;" Tahun "&amp;MID(VLOOKUP(F64,'Data Induk Pegawai'!B:AE,12,FALSE),5,4))</f>
        <v/>
      </c>
      <c r="S64" s="26" t="str">
        <f>IF(G64="","",VLOOKUP(F64,'Data Induk Pegawai'!B:AE,11,FALSE))</f>
        <v/>
      </c>
      <c r="T64" s="56"/>
      <c r="U64" s="18" t="str">
        <f t="shared" si="4"/>
        <v/>
      </c>
      <c r="V64" s="30"/>
      <c r="W64" s="18" t="str">
        <f t="shared" si="5"/>
        <v/>
      </c>
      <c r="X64" s="16"/>
      <c r="Y64" t="str">
        <f t="shared" si="6"/>
        <v/>
      </c>
      <c r="Z64" t="str">
        <f t="shared" si="7"/>
        <v/>
      </c>
      <c r="AA64" t="str">
        <f t="shared" si="8"/>
        <v/>
      </c>
      <c r="AB64" t="str">
        <f>COUNTIFS(AC64:AC$596,AC64)&amp;AC64</f>
        <v>533</v>
      </c>
      <c r="AC64" t="str">
        <f t="shared" si="9"/>
        <v/>
      </c>
      <c r="AD64" t="str">
        <f>COUNTIFS(AC$2:AC64,AC64)&amp;AC64</f>
        <v>63</v>
      </c>
      <c r="AE64" t="str">
        <f t="shared" si="10"/>
        <v/>
      </c>
      <c r="AF64" t="str">
        <f t="shared" si="11"/>
        <v>..</v>
      </c>
      <c r="AG64" s="28" t="str">
        <f t="shared" si="12"/>
        <v/>
      </c>
      <c r="AH64" s="28" t="str">
        <f t="shared" si="13"/>
        <v/>
      </c>
      <c r="AI64" t="str">
        <f t="shared" si="0"/>
        <v/>
      </c>
      <c r="AJ64" t="str">
        <f t="shared" si="14"/>
        <v/>
      </c>
      <c r="AK64" t="str">
        <f t="shared" si="15"/>
        <v/>
      </c>
      <c r="AL64" t="str">
        <f t="shared" si="16"/>
        <v/>
      </c>
      <c r="AM64" t="str">
        <f t="shared" si="1"/>
        <v/>
      </c>
      <c r="AN64" t="str">
        <f t="shared" si="17"/>
        <v/>
      </c>
      <c r="AO64" t="str">
        <f t="shared" si="18"/>
        <v/>
      </c>
      <c r="AP64" t="str">
        <f t="shared" si="19"/>
        <v/>
      </c>
      <c r="AQ64" t="str">
        <f t="shared" si="2"/>
        <v/>
      </c>
      <c r="AR64" t="str">
        <f t="shared" si="20"/>
        <v/>
      </c>
      <c r="AS64" t="str">
        <f t="shared" si="21"/>
        <v/>
      </c>
      <c r="AT64" t="str">
        <f t="shared" si="22"/>
        <v/>
      </c>
      <c r="AU64" s="25" t="str">
        <f t="shared" si="23"/>
        <v/>
      </c>
      <c r="BA64">
        <f>'REGISTER SK'!F67</f>
        <v>0</v>
      </c>
    </row>
    <row r="65" spans="1:53" x14ac:dyDescent="0.35">
      <c r="A65" s="18">
        <v>64</v>
      </c>
      <c r="B65" s="36" t="s">
        <v>379</v>
      </c>
      <c r="C65" s="18" t="str">
        <f>IF(G65="","",IF(G65="Umum",G65,VLOOKUP(F65,'Data Induk Pegawai'!B:AE,4,FALSE)))</f>
        <v/>
      </c>
      <c r="D65" s="19" t="str">
        <f>IF('REGISTER SK'!A68="","",IF('REGISTER SK'!B68=0,D64,'REGISTER SK'!B68))</f>
        <v/>
      </c>
      <c r="E65" s="19" t="str">
        <f t="shared" si="3"/>
        <v/>
      </c>
      <c r="F65" s="29"/>
      <c r="G65" s="29"/>
      <c r="H65" s="31" t="str">
        <f>IF(F65="","",VLOOKUP(F65,'Data Induk Pegawai'!B:U,2,FALSE))</f>
        <v/>
      </c>
      <c r="I65" s="19" t="str">
        <f>IF('REGISTER SK'!C68="","",'REGISTER SK'!C68)</f>
        <v/>
      </c>
      <c r="J65" s="125"/>
      <c r="K65" s="125"/>
      <c r="L65" s="26" t="str">
        <f>IF('REGISTER SK'!D68="","",'REGISTER SK'!D68)</f>
        <v/>
      </c>
      <c r="M65" s="26" t="str">
        <f>IF('REGISTER SK'!E68="","",'REGISTER SK'!E68)</f>
        <v/>
      </c>
      <c r="N65" s="31" t="str">
        <f>IF(G65="","",IF(OR(G65="GTT",G65="PTT"),"--",VLOOKUP(F65,'Data Induk Pegawai'!B:AE,4,FALSE)))</f>
        <v/>
      </c>
      <c r="O65" s="18" t="s">
        <v>285</v>
      </c>
      <c r="P65" s="31" t="str">
        <f>IF(G65="","",VLOOKUP(F65,'Data Induk Pegawai'!B:AE,7,FALSE))</f>
        <v/>
      </c>
      <c r="Q65" s="30"/>
      <c r="R65" s="26" t="str">
        <f>IF(G65="","","Nomor "&amp;RIGHT(VLOOKUP(F65,'Data Induk Pegawai'!B:AE,12,FALSE),2)&amp;" Tahun "&amp;MID(VLOOKUP(F65,'Data Induk Pegawai'!B:AE,12,FALSE),5,4))</f>
        <v/>
      </c>
      <c r="S65" s="26" t="str">
        <f>IF(G65="","",VLOOKUP(F65,'Data Induk Pegawai'!B:AE,11,FALSE))</f>
        <v/>
      </c>
      <c r="T65" s="56"/>
      <c r="U65" s="18" t="str">
        <f t="shared" si="4"/>
        <v/>
      </c>
      <c r="V65" s="30"/>
      <c r="W65" s="18" t="str">
        <f t="shared" si="5"/>
        <v/>
      </c>
      <c r="X65" s="16"/>
      <c r="Y65" t="str">
        <f t="shared" si="6"/>
        <v/>
      </c>
      <c r="Z65" t="str">
        <f t="shared" si="7"/>
        <v/>
      </c>
      <c r="AA65" t="str">
        <f t="shared" si="8"/>
        <v/>
      </c>
      <c r="AB65" t="str">
        <f>COUNTIFS(AC65:AC$596,AC65)&amp;AC65</f>
        <v>532</v>
      </c>
      <c r="AC65" t="str">
        <f t="shared" si="9"/>
        <v/>
      </c>
      <c r="AD65" t="str">
        <f>COUNTIFS(AC$2:AC65,AC65)&amp;AC65</f>
        <v>64</v>
      </c>
      <c r="AE65" t="str">
        <f t="shared" si="10"/>
        <v/>
      </c>
      <c r="AF65" t="str">
        <f t="shared" si="11"/>
        <v>..</v>
      </c>
      <c r="AG65" s="28" t="str">
        <f t="shared" si="12"/>
        <v/>
      </c>
      <c r="AH65" s="28" t="str">
        <f t="shared" si="13"/>
        <v/>
      </c>
      <c r="AI65" t="str">
        <f t="shared" si="0"/>
        <v/>
      </c>
      <c r="AJ65" t="str">
        <f t="shared" si="14"/>
        <v/>
      </c>
      <c r="AK65" t="str">
        <f t="shared" si="15"/>
        <v/>
      </c>
      <c r="AL65" t="str">
        <f t="shared" si="16"/>
        <v/>
      </c>
      <c r="AM65" t="str">
        <f t="shared" si="1"/>
        <v/>
      </c>
      <c r="AN65" t="str">
        <f t="shared" si="17"/>
        <v/>
      </c>
      <c r="AO65" t="str">
        <f t="shared" si="18"/>
        <v/>
      </c>
      <c r="AP65" t="str">
        <f t="shared" si="19"/>
        <v/>
      </c>
      <c r="AQ65" t="str">
        <f t="shared" si="2"/>
        <v/>
      </c>
      <c r="AR65" t="str">
        <f t="shared" si="20"/>
        <v/>
      </c>
      <c r="AS65" t="str">
        <f t="shared" si="21"/>
        <v/>
      </c>
      <c r="AT65" t="str">
        <f t="shared" si="22"/>
        <v/>
      </c>
      <c r="AU65" s="25" t="str">
        <f t="shared" si="23"/>
        <v/>
      </c>
      <c r="BA65">
        <f>'REGISTER SK'!F68</f>
        <v>0</v>
      </c>
    </row>
    <row r="66" spans="1:53" x14ac:dyDescent="0.35">
      <c r="A66" s="18">
        <v>65</v>
      </c>
      <c r="B66" s="36" t="s">
        <v>379</v>
      </c>
      <c r="C66" s="18" t="str">
        <f>IF(G66="","",IF(G66="Umum",G66,VLOOKUP(F66,'Data Induk Pegawai'!B:AE,4,FALSE)))</f>
        <v/>
      </c>
      <c r="D66" s="19" t="str">
        <f>IF('REGISTER SK'!A69="","",IF('REGISTER SK'!B69=0,D65,'REGISTER SK'!B69))</f>
        <v/>
      </c>
      <c r="E66" s="19" t="str">
        <f t="shared" si="3"/>
        <v/>
      </c>
      <c r="F66" s="29"/>
      <c r="G66" s="29"/>
      <c r="H66" s="31" t="str">
        <f>IF(F66="","",VLOOKUP(F66,'Data Induk Pegawai'!B:U,2,FALSE))</f>
        <v/>
      </c>
      <c r="I66" s="19" t="str">
        <f>IF('REGISTER SK'!C69="","",'REGISTER SK'!C69)</f>
        <v/>
      </c>
      <c r="J66" s="125"/>
      <c r="K66" s="125"/>
      <c r="L66" s="26" t="str">
        <f>IF('REGISTER SK'!D69="","",'REGISTER SK'!D69)</f>
        <v/>
      </c>
      <c r="M66" s="26" t="str">
        <f>IF('REGISTER SK'!E69="","",'REGISTER SK'!E69)</f>
        <v/>
      </c>
      <c r="N66" s="31" t="str">
        <f>IF(G66="","",IF(OR(G66="GTT",G66="PTT"),"--",VLOOKUP(F66,'Data Induk Pegawai'!B:AE,4,FALSE)))</f>
        <v/>
      </c>
      <c r="O66" s="18" t="s">
        <v>290</v>
      </c>
      <c r="P66" s="31" t="str">
        <f>IF(G66="","",VLOOKUP(F66,'Data Induk Pegawai'!B:AE,7,FALSE))</f>
        <v/>
      </c>
      <c r="Q66" s="30"/>
      <c r="R66" s="26" t="str">
        <f>IF(G66="","","Nomor "&amp;RIGHT(VLOOKUP(F66,'Data Induk Pegawai'!B:AE,12,FALSE),2)&amp;" Tahun "&amp;MID(VLOOKUP(F66,'Data Induk Pegawai'!B:AE,12,FALSE),5,4))</f>
        <v/>
      </c>
      <c r="S66" s="26" t="str">
        <f>IF(G66="","",VLOOKUP(F66,'Data Induk Pegawai'!B:AE,11,FALSE))</f>
        <v/>
      </c>
      <c r="T66" s="56"/>
      <c r="U66" s="18" t="str">
        <f t="shared" si="4"/>
        <v/>
      </c>
      <c r="V66" s="30"/>
      <c r="W66" s="18" t="str">
        <f t="shared" si="5"/>
        <v/>
      </c>
      <c r="X66" s="16"/>
      <c r="Y66" t="str">
        <f t="shared" si="6"/>
        <v/>
      </c>
      <c r="Z66" t="str">
        <f t="shared" si="7"/>
        <v/>
      </c>
      <c r="AA66" t="str">
        <f t="shared" si="8"/>
        <v/>
      </c>
      <c r="AB66" t="str">
        <f>COUNTIFS(AC66:AC$596,AC66)&amp;AC66</f>
        <v>531</v>
      </c>
      <c r="AC66" t="str">
        <f t="shared" si="9"/>
        <v/>
      </c>
      <c r="AD66" t="str">
        <f>COUNTIFS(AC$2:AC66,AC66)&amp;AC66</f>
        <v>65</v>
      </c>
      <c r="AE66" t="str">
        <f t="shared" si="10"/>
        <v/>
      </c>
      <c r="AF66" t="str">
        <f t="shared" si="11"/>
        <v>..</v>
      </c>
      <c r="AG66" s="28" t="str">
        <f t="shared" si="12"/>
        <v/>
      </c>
      <c r="AH66" s="28" t="str">
        <f t="shared" si="13"/>
        <v/>
      </c>
      <c r="AI66" t="str">
        <f t="shared" ref="AI66:AI129" si="24">IF(AG66="","",AJ66&amp;" "&amp;VLOOKUP(AK66,AX:AY,2,FALSE)&amp;" "&amp;AL66)</f>
        <v/>
      </c>
      <c r="AJ66" t="str">
        <f t="shared" si="14"/>
        <v/>
      </c>
      <c r="AK66" t="str">
        <f t="shared" si="15"/>
        <v/>
      </c>
      <c r="AL66" t="str">
        <f t="shared" si="16"/>
        <v/>
      </c>
      <c r="AM66" t="str">
        <f t="shared" ref="AM66:AM129" si="25">IF(AI66="","",AN66&amp;" "&amp;VLOOKUP(AO66,AX:AY,2,FALSE)&amp;" "&amp;AP66)</f>
        <v/>
      </c>
      <c r="AN66" t="str">
        <f t="shared" si="17"/>
        <v/>
      </c>
      <c r="AO66" t="str">
        <f t="shared" si="18"/>
        <v/>
      </c>
      <c r="AP66" t="str">
        <f t="shared" si="19"/>
        <v/>
      </c>
      <c r="AQ66" t="str">
        <f t="shared" ref="AQ66:AQ129" si="26">IF(AM66="","",AR66&amp;" "&amp;VLOOKUP(AS66,AX:AY,2,FALSE)&amp;" "&amp;AT66)</f>
        <v/>
      </c>
      <c r="AR66" t="str">
        <f t="shared" si="20"/>
        <v/>
      </c>
      <c r="AS66" t="str">
        <f t="shared" si="21"/>
        <v/>
      </c>
      <c r="AT66" t="str">
        <f t="shared" si="22"/>
        <v/>
      </c>
      <c r="AU66" s="25" t="str">
        <f t="shared" si="23"/>
        <v/>
      </c>
      <c r="BA66">
        <f>'REGISTER SK'!F69</f>
        <v>0</v>
      </c>
    </row>
    <row r="67" spans="1:53" x14ac:dyDescent="0.35">
      <c r="A67" s="18">
        <v>66</v>
      </c>
      <c r="B67" s="36" t="s">
        <v>379</v>
      </c>
      <c r="C67" s="18" t="str">
        <f>IF(G67="","",IF(G67="Umum",G67,VLOOKUP(F67,'Data Induk Pegawai'!B:AE,4,FALSE)))</f>
        <v/>
      </c>
      <c r="D67" s="19" t="str">
        <f>IF('REGISTER SK'!A70="","",IF('REGISTER SK'!B70=0,D66,'REGISTER SK'!B70))</f>
        <v/>
      </c>
      <c r="E67" s="19" t="str">
        <f t="shared" ref="E67:E130" si="27">IF(D67="","",D67&amp;"/"&amp;D67+1)</f>
        <v/>
      </c>
      <c r="F67" s="29"/>
      <c r="G67" s="29"/>
      <c r="H67" s="31" t="str">
        <f>IF(F67="","",VLOOKUP(F67,'Data Induk Pegawai'!B:U,2,FALSE))</f>
        <v/>
      </c>
      <c r="I67" s="19" t="str">
        <f>IF('REGISTER SK'!C70="","",'REGISTER SK'!C70)</f>
        <v/>
      </c>
      <c r="J67" s="125"/>
      <c r="K67" s="125"/>
      <c r="L67" s="26" t="str">
        <f>IF('REGISTER SK'!D70="","",'REGISTER SK'!D70)</f>
        <v/>
      </c>
      <c r="M67" s="26" t="str">
        <f>IF('REGISTER SK'!E70="","",'REGISTER SK'!E70)</f>
        <v/>
      </c>
      <c r="N67" s="31" t="str">
        <f>IF(G67="","",IF(OR(G67="GTT",G67="PTT"),"--",VLOOKUP(F67,'Data Induk Pegawai'!B:AE,4,FALSE)))</f>
        <v/>
      </c>
      <c r="O67" s="18" t="s">
        <v>257</v>
      </c>
      <c r="P67" s="31" t="str">
        <f>IF(G67="","",VLOOKUP(F67,'Data Induk Pegawai'!B:AE,7,FALSE))</f>
        <v/>
      </c>
      <c r="Q67" s="30"/>
      <c r="R67" s="26" t="str">
        <f>IF(G67="","","Nomor "&amp;RIGHT(VLOOKUP(F67,'Data Induk Pegawai'!B:AE,12,FALSE),2)&amp;" Tahun "&amp;MID(VLOOKUP(F67,'Data Induk Pegawai'!B:AE,12,FALSE),5,4))</f>
        <v/>
      </c>
      <c r="S67" s="26" t="str">
        <f>IF(G67="","",VLOOKUP(F67,'Data Induk Pegawai'!B:AE,11,FALSE))</f>
        <v/>
      </c>
      <c r="T67" s="56"/>
      <c r="U67" s="18" t="str">
        <f t="shared" ref="U67:U129" si="28">IF(Y67="","",IF(Z67&lt;1,AA67&amp;" Bulan",IF(AND(Z67&gt;0,AA67=0),Z67&amp;" Tahun",Z67&amp;" Tahun "&amp;AA67&amp;" Bulan")))</f>
        <v/>
      </c>
      <c r="V67" s="30"/>
      <c r="W67" s="18" t="str">
        <f t="shared" ref="W67:W129" si="29">V67&amp;H67</f>
        <v/>
      </c>
      <c r="X67" s="16"/>
      <c r="Y67" t="str">
        <f t="shared" ref="Y67:Y129" si="30">IFERROR(IF(S67="","",DATEDIF(S67,M67,"M")),"?")</f>
        <v/>
      </c>
      <c r="Z67" t="str">
        <f t="shared" ref="Z67:Z129" si="31">IFERROR(IF(Y67="","",ROUNDDOWN(Y67/12,0)),"-")</f>
        <v/>
      </c>
      <c r="AA67" t="str">
        <f t="shared" ref="AA67:AA129" si="32">IFERROR(IF(Y67="","",Y67-Z67*12),"-")</f>
        <v/>
      </c>
      <c r="AB67" t="str">
        <f>COUNTIFS(AC67:AC$596,AC67)&amp;AC67</f>
        <v>530</v>
      </c>
      <c r="AC67" t="str">
        <f t="shared" ref="AC67:AC130" si="33">IF(LEFT(V67,16)="SK Pemberhentian","OUT"&amp;F67,IF(RIGHT(G67,2)="TT","GPTT",IF(RIGHT(G67,2)="TY","GPTY",G67))&amp;F67)</f>
        <v/>
      </c>
      <c r="AD67" t="str">
        <f>COUNTIFS(AC$2:AC67,AC67)&amp;AC67</f>
        <v>66</v>
      </c>
      <c r="AE67" t="str">
        <f t="shared" ref="AE67:AE129" si="34">IF(LEFT(V67,16)="SK Pemberhentian",E67&amp;"OUT"&amp;F67,E67&amp;G67&amp;F67)</f>
        <v/>
      </c>
      <c r="AF67" t="str">
        <f t="shared" ref="AF67:AF130" si="35">G67&amp;"."&amp;D67&amp;"."&amp;I67</f>
        <v>..</v>
      </c>
      <c r="AG67" s="28" t="str">
        <f t="shared" ref="AG67:AG129" si="36">L67</f>
        <v/>
      </c>
      <c r="AH67" s="28" t="str">
        <f t="shared" ref="AH67:AH129" si="37">M67</f>
        <v/>
      </c>
      <c r="AI67" t="str">
        <f t="shared" si="24"/>
        <v/>
      </c>
      <c r="AJ67" t="str">
        <f t="shared" ref="AJ67:AJ129" si="38">TEXT(AG67,"D")</f>
        <v/>
      </c>
      <c r="AK67" t="str">
        <f t="shared" ref="AK67:AK129" si="39">TEXT(AG67,"MMMM")</f>
        <v/>
      </c>
      <c r="AL67" t="str">
        <f t="shared" ref="AL67:AL129" si="40">TEXT(AG67,"YYYY")</f>
        <v/>
      </c>
      <c r="AM67" t="str">
        <f t="shared" si="25"/>
        <v/>
      </c>
      <c r="AN67" t="str">
        <f t="shared" ref="AN67:AN129" si="41">TEXT(S67,"D")</f>
        <v/>
      </c>
      <c r="AO67" t="str">
        <f t="shared" ref="AO67:AO129" si="42">TEXT(S67,"MMMM")</f>
        <v/>
      </c>
      <c r="AP67" t="str">
        <f t="shared" ref="AP67:AP129" si="43">TEXT(S67,"YYYY")</f>
        <v/>
      </c>
      <c r="AQ67" t="str">
        <f t="shared" si="26"/>
        <v/>
      </c>
      <c r="AR67" t="str">
        <f t="shared" ref="AR67:AR129" si="44">TEXT(M67,"D")</f>
        <v/>
      </c>
      <c r="AS67" t="str">
        <f t="shared" ref="AS67:AS129" si="45">TEXT(M67,"MMMM")</f>
        <v/>
      </c>
      <c r="AT67" t="str">
        <f t="shared" ref="AT67:AT129" si="46">TEXT(M67,"YYYY")</f>
        <v/>
      </c>
      <c r="AU67" s="25" t="str">
        <f t="shared" ref="AU67:AU130" si="47">IF(OR(G67="Umum",G67=""),"",VLOOKUP(VALUE(TEXT(M67,"M")-1),AW:AY,3,FALSE))</f>
        <v/>
      </c>
      <c r="BA67">
        <f>'REGISTER SK'!F70</f>
        <v>0</v>
      </c>
    </row>
    <row r="68" spans="1:53" x14ac:dyDescent="0.35">
      <c r="A68" s="18">
        <v>67</v>
      </c>
      <c r="B68" s="36" t="s">
        <v>379</v>
      </c>
      <c r="C68" s="18" t="str">
        <f>IF(G68="","",IF(G68="Umum",G68,VLOOKUP(F68,'Data Induk Pegawai'!B:AE,4,FALSE)))</f>
        <v/>
      </c>
      <c r="D68" s="19" t="str">
        <f>IF('REGISTER SK'!A71="","",IF('REGISTER SK'!B71=0,D67,'REGISTER SK'!B71))</f>
        <v/>
      </c>
      <c r="E68" s="19" t="str">
        <f t="shared" si="27"/>
        <v/>
      </c>
      <c r="F68" s="29"/>
      <c r="G68" s="29"/>
      <c r="H68" s="31" t="str">
        <f>IF(F68="","",VLOOKUP(F68,'Data Induk Pegawai'!B:U,2,FALSE))</f>
        <v/>
      </c>
      <c r="I68" s="19" t="str">
        <f>IF('REGISTER SK'!C71="","",'REGISTER SK'!C71)</f>
        <v/>
      </c>
      <c r="J68" s="125"/>
      <c r="K68" s="125"/>
      <c r="L68" s="26" t="str">
        <f>IF('REGISTER SK'!D71="","",'REGISTER SK'!D71)</f>
        <v/>
      </c>
      <c r="M68" s="26" t="str">
        <f>IF('REGISTER SK'!E71="","",'REGISTER SK'!E71)</f>
        <v/>
      </c>
      <c r="N68" s="31" t="str">
        <f>IF(G68="","",IF(OR(G68="GTT",G68="PTT"),"--",VLOOKUP(F68,'Data Induk Pegawai'!B:AE,4,FALSE)))</f>
        <v/>
      </c>
      <c r="O68" s="18" t="s">
        <v>294</v>
      </c>
      <c r="P68" s="31" t="str">
        <f>IF(G68="","",VLOOKUP(F68,'Data Induk Pegawai'!B:AE,7,FALSE))</f>
        <v/>
      </c>
      <c r="Q68" s="30"/>
      <c r="R68" s="26" t="str">
        <f>IF(G68="","","Nomor "&amp;RIGHT(VLOOKUP(F68,'Data Induk Pegawai'!B:AE,12,FALSE),2)&amp;" Tahun "&amp;MID(VLOOKUP(F68,'Data Induk Pegawai'!B:AE,12,FALSE),5,4))</f>
        <v/>
      </c>
      <c r="S68" s="26" t="str">
        <f>IF(G68="","",VLOOKUP(F68,'Data Induk Pegawai'!B:AE,11,FALSE))</f>
        <v/>
      </c>
      <c r="T68" s="56"/>
      <c r="U68" s="18" t="str">
        <f t="shared" si="28"/>
        <v/>
      </c>
      <c r="V68" s="30"/>
      <c r="W68" s="18" t="str">
        <f t="shared" si="29"/>
        <v/>
      </c>
      <c r="X68" s="16"/>
      <c r="Y68" t="str">
        <f t="shared" si="30"/>
        <v/>
      </c>
      <c r="Z68" t="str">
        <f t="shared" si="31"/>
        <v/>
      </c>
      <c r="AA68" t="str">
        <f t="shared" si="32"/>
        <v/>
      </c>
      <c r="AB68" t="str">
        <f>COUNTIFS(AC68:AC$596,AC68)&amp;AC68</f>
        <v>529</v>
      </c>
      <c r="AC68" t="str">
        <f t="shared" si="33"/>
        <v/>
      </c>
      <c r="AD68" t="str">
        <f>COUNTIFS(AC$2:AC68,AC68)&amp;AC68</f>
        <v>67</v>
      </c>
      <c r="AE68" t="str">
        <f t="shared" si="34"/>
        <v/>
      </c>
      <c r="AF68" t="str">
        <f t="shared" si="35"/>
        <v>..</v>
      </c>
      <c r="AG68" s="28" t="str">
        <f t="shared" si="36"/>
        <v/>
      </c>
      <c r="AH68" s="28" t="str">
        <f t="shared" si="37"/>
        <v/>
      </c>
      <c r="AI68" t="str">
        <f t="shared" si="24"/>
        <v/>
      </c>
      <c r="AJ68" t="str">
        <f t="shared" si="38"/>
        <v/>
      </c>
      <c r="AK68" t="str">
        <f t="shared" si="39"/>
        <v/>
      </c>
      <c r="AL68" t="str">
        <f t="shared" si="40"/>
        <v/>
      </c>
      <c r="AM68" t="str">
        <f t="shared" si="25"/>
        <v/>
      </c>
      <c r="AN68" t="str">
        <f t="shared" si="41"/>
        <v/>
      </c>
      <c r="AO68" t="str">
        <f t="shared" si="42"/>
        <v/>
      </c>
      <c r="AP68" t="str">
        <f t="shared" si="43"/>
        <v/>
      </c>
      <c r="AQ68" t="str">
        <f t="shared" si="26"/>
        <v/>
      </c>
      <c r="AR68" t="str">
        <f t="shared" si="44"/>
        <v/>
      </c>
      <c r="AS68" t="str">
        <f t="shared" si="45"/>
        <v/>
      </c>
      <c r="AT68" t="str">
        <f t="shared" si="46"/>
        <v/>
      </c>
      <c r="AU68" s="25" t="str">
        <f t="shared" si="47"/>
        <v/>
      </c>
      <c r="BA68">
        <f>'REGISTER SK'!F71</f>
        <v>0</v>
      </c>
    </row>
    <row r="69" spans="1:53" x14ac:dyDescent="0.35">
      <c r="A69" s="18">
        <v>68</v>
      </c>
      <c r="B69" s="36" t="s">
        <v>379</v>
      </c>
      <c r="C69" s="18" t="str">
        <f>IF(G69="","",IF(G69="Umum",G69,VLOOKUP(F69,'Data Induk Pegawai'!B:AE,4,FALSE)))</f>
        <v/>
      </c>
      <c r="D69" s="19" t="str">
        <f>IF('REGISTER SK'!A72="","",IF('REGISTER SK'!B72=0,D68,'REGISTER SK'!B72))</f>
        <v/>
      </c>
      <c r="E69" s="19" t="str">
        <f t="shared" si="27"/>
        <v/>
      </c>
      <c r="F69" s="29"/>
      <c r="G69" s="29"/>
      <c r="H69" s="31" t="str">
        <f>IF(F69="","",VLOOKUP(F69,'Data Induk Pegawai'!B:U,2,FALSE))</f>
        <v/>
      </c>
      <c r="I69" s="19" t="str">
        <f>IF('REGISTER SK'!C72="","",'REGISTER SK'!C72)</f>
        <v/>
      </c>
      <c r="J69" s="125"/>
      <c r="K69" s="125"/>
      <c r="L69" s="26" t="str">
        <f>IF('REGISTER SK'!D72="","",'REGISTER SK'!D72)</f>
        <v/>
      </c>
      <c r="M69" s="26" t="str">
        <f>IF('REGISTER SK'!E72="","",'REGISTER SK'!E72)</f>
        <v/>
      </c>
      <c r="N69" s="31" t="str">
        <f>IF(G69="","",IF(OR(G69="GTT",G69="PTT"),"--",VLOOKUP(F69,'Data Induk Pegawai'!B:AE,4,FALSE)))</f>
        <v/>
      </c>
      <c r="O69" s="18" t="s">
        <v>284</v>
      </c>
      <c r="P69" s="31" t="str">
        <f>IF(G69="","",VLOOKUP(F69,'Data Induk Pegawai'!B:AE,7,FALSE))</f>
        <v/>
      </c>
      <c r="Q69" s="30"/>
      <c r="R69" s="26" t="str">
        <f>IF(G69="","","Nomor "&amp;RIGHT(VLOOKUP(F69,'Data Induk Pegawai'!B:AE,12,FALSE),2)&amp;" Tahun "&amp;MID(VLOOKUP(F69,'Data Induk Pegawai'!B:AE,12,FALSE),5,4))</f>
        <v/>
      </c>
      <c r="S69" s="26" t="str">
        <f>IF(G69="","",VLOOKUP(F69,'Data Induk Pegawai'!B:AE,11,FALSE))</f>
        <v/>
      </c>
      <c r="T69" s="56"/>
      <c r="U69" s="18" t="str">
        <f t="shared" si="28"/>
        <v/>
      </c>
      <c r="V69" s="30"/>
      <c r="W69" s="18" t="str">
        <f t="shared" si="29"/>
        <v/>
      </c>
      <c r="X69" s="16"/>
      <c r="Y69" t="str">
        <f t="shared" si="30"/>
        <v/>
      </c>
      <c r="Z69" t="str">
        <f t="shared" si="31"/>
        <v/>
      </c>
      <c r="AA69" t="str">
        <f t="shared" si="32"/>
        <v/>
      </c>
      <c r="AB69" t="str">
        <f>COUNTIFS(AC69:AC$596,AC69)&amp;AC69</f>
        <v>528</v>
      </c>
      <c r="AC69" t="str">
        <f t="shared" si="33"/>
        <v/>
      </c>
      <c r="AD69" t="str">
        <f>COUNTIFS(AC$2:AC69,AC69)&amp;AC69</f>
        <v>68</v>
      </c>
      <c r="AE69" t="str">
        <f t="shared" si="34"/>
        <v/>
      </c>
      <c r="AF69" t="str">
        <f t="shared" si="35"/>
        <v>..</v>
      </c>
      <c r="AG69" s="28" t="str">
        <f t="shared" si="36"/>
        <v/>
      </c>
      <c r="AH69" s="28" t="str">
        <f t="shared" si="37"/>
        <v/>
      </c>
      <c r="AI69" t="str">
        <f t="shared" si="24"/>
        <v/>
      </c>
      <c r="AJ69" t="str">
        <f t="shared" si="38"/>
        <v/>
      </c>
      <c r="AK69" t="str">
        <f t="shared" si="39"/>
        <v/>
      </c>
      <c r="AL69" t="str">
        <f t="shared" si="40"/>
        <v/>
      </c>
      <c r="AM69" t="str">
        <f t="shared" si="25"/>
        <v/>
      </c>
      <c r="AN69" t="str">
        <f t="shared" si="41"/>
        <v/>
      </c>
      <c r="AO69" t="str">
        <f t="shared" si="42"/>
        <v/>
      </c>
      <c r="AP69" t="str">
        <f t="shared" si="43"/>
        <v/>
      </c>
      <c r="AQ69" t="str">
        <f t="shared" si="26"/>
        <v/>
      </c>
      <c r="AR69" t="str">
        <f t="shared" si="44"/>
        <v/>
      </c>
      <c r="AS69" t="str">
        <f t="shared" si="45"/>
        <v/>
      </c>
      <c r="AT69" t="str">
        <f t="shared" si="46"/>
        <v/>
      </c>
      <c r="AU69" s="25" t="str">
        <f t="shared" si="47"/>
        <v/>
      </c>
      <c r="BA69">
        <f>'REGISTER SK'!F72</f>
        <v>0</v>
      </c>
    </row>
    <row r="70" spans="1:53" x14ac:dyDescent="0.35">
      <c r="A70" s="18">
        <v>69</v>
      </c>
      <c r="B70" s="36" t="s">
        <v>379</v>
      </c>
      <c r="C70" s="18" t="str">
        <f>IF(G70="","",IF(G70="Umum",G70,VLOOKUP(F70,'Data Induk Pegawai'!B:AE,4,FALSE)))</f>
        <v/>
      </c>
      <c r="D70" s="19" t="str">
        <f>IF('REGISTER SK'!A73="","",IF('REGISTER SK'!B73=0,D69,'REGISTER SK'!B73))</f>
        <v/>
      </c>
      <c r="E70" s="19" t="str">
        <f t="shared" si="27"/>
        <v/>
      </c>
      <c r="F70" s="29"/>
      <c r="G70" s="29"/>
      <c r="H70" s="31" t="str">
        <f>IF(F70="","",VLOOKUP(F70,'Data Induk Pegawai'!B:U,2,FALSE))</f>
        <v/>
      </c>
      <c r="I70" s="19" t="str">
        <f>IF('REGISTER SK'!C73="","",'REGISTER SK'!C73)</f>
        <v/>
      </c>
      <c r="J70" s="125"/>
      <c r="K70" s="125"/>
      <c r="L70" s="26" t="str">
        <f>IF('REGISTER SK'!D73="","",'REGISTER SK'!D73)</f>
        <v/>
      </c>
      <c r="M70" s="26" t="str">
        <f>IF('REGISTER SK'!E73="","",'REGISTER SK'!E73)</f>
        <v/>
      </c>
      <c r="N70" s="31" t="str">
        <f>IF(G70="","",IF(OR(G70="GTT",G70="PTT"),"--",VLOOKUP(F70,'Data Induk Pegawai'!B:AE,4,FALSE)))</f>
        <v/>
      </c>
      <c r="O70" s="18" t="s">
        <v>285</v>
      </c>
      <c r="P70" s="31" t="str">
        <f>IF(G70="","",VLOOKUP(F70,'Data Induk Pegawai'!B:AE,7,FALSE))</f>
        <v/>
      </c>
      <c r="Q70" s="30"/>
      <c r="R70" s="26" t="str">
        <f>IF(G70="","","Nomor "&amp;RIGHT(VLOOKUP(F70,'Data Induk Pegawai'!B:AE,12,FALSE),2)&amp;" Tahun "&amp;MID(VLOOKUP(F70,'Data Induk Pegawai'!B:AE,12,FALSE),5,4))</f>
        <v/>
      </c>
      <c r="S70" s="26" t="str">
        <f>IF(G70="","",VLOOKUP(F70,'Data Induk Pegawai'!B:AE,11,FALSE))</f>
        <v/>
      </c>
      <c r="T70" s="56"/>
      <c r="U70" s="18" t="str">
        <f t="shared" si="28"/>
        <v/>
      </c>
      <c r="V70" s="30"/>
      <c r="W70" s="18" t="str">
        <f t="shared" si="29"/>
        <v/>
      </c>
      <c r="X70" s="16"/>
      <c r="Y70" t="str">
        <f t="shared" si="30"/>
        <v/>
      </c>
      <c r="Z70" t="str">
        <f t="shared" si="31"/>
        <v/>
      </c>
      <c r="AA70" t="str">
        <f t="shared" si="32"/>
        <v/>
      </c>
      <c r="AB70" t="str">
        <f>COUNTIFS(AC70:AC$596,AC70)&amp;AC70</f>
        <v>527</v>
      </c>
      <c r="AC70" t="str">
        <f t="shared" si="33"/>
        <v/>
      </c>
      <c r="AD70" t="str">
        <f>COUNTIFS(AC$2:AC70,AC70)&amp;AC70</f>
        <v>69</v>
      </c>
      <c r="AE70" t="str">
        <f t="shared" si="34"/>
        <v/>
      </c>
      <c r="AF70" t="str">
        <f t="shared" si="35"/>
        <v>..</v>
      </c>
      <c r="AG70" s="28" t="str">
        <f t="shared" si="36"/>
        <v/>
      </c>
      <c r="AH70" s="28" t="str">
        <f t="shared" si="37"/>
        <v/>
      </c>
      <c r="AI70" t="str">
        <f t="shared" si="24"/>
        <v/>
      </c>
      <c r="AJ70" t="str">
        <f t="shared" si="38"/>
        <v/>
      </c>
      <c r="AK70" t="str">
        <f t="shared" si="39"/>
        <v/>
      </c>
      <c r="AL70" t="str">
        <f t="shared" si="40"/>
        <v/>
      </c>
      <c r="AM70" t="str">
        <f t="shared" si="25"/>
        <v/>
      </c>
      <c r="AN70" t="str">
        <f t="shared" si="41"/>
        <v/>
      </c>
      <c r="AO70" t="str">
        <f t="shared" si="42"/>
        <v/>
      </c>
      <c r="AP70" t="str">
        <f t="shared" si="43"/>
        <v/>
      </c>
      <c r="AQ70" t="str">
        <f t="shared" si="26"/>
        <v/>
      </c>
      <c r="AR70" t="str">
        <f t="shared" si="44"/>
        <v/>
      </c>
      <c r="AS70" t="str">
        <f t="shared" si="45"/>
        <v/>
      </c>
      <c r="AT70" t="str">
        <f t="shared" si="46"/>
        <v/>
      </c>
      <c r="AU70" s="25" t="str">
        <f t="shared" si="47"/>
        <v/>
      </c>
      <c r="BA70">
        <f>'REGISTER SK'!F73</f>
        <v>0</v>
      </c>
    </row>
    <row r="71" spans="1:53" x14ac:dyDescent="0.35">
      <c r="A71" s="18">
        <v>70</v>
      </c>
      <c r="B71" s="36" t="s">
        <v>379</v>
      </c>
      <c r="C71" s="18" t="str">
        <f>IF(G71="","",IF(G71="Umum",G71,VLOOKUP(F71,'Data Induk Pegawai'!B:AE,4,FALSE)))</f>
        <v/>
      </c>
      <c r="D71" s="19" t="str">
        <f>IF('REGISTER SK'!A74="","",IF('REGISTER SK'!B74=0,D70,'REGISTER SK'!B74))</f>
        <v/>
      </c>
      <c r="E71" s="19" t="str">
        <f t="shared" si="27"/>
        <v/>
      </c>
      <c r="F71" s="29"/>
      <c r="G71" s="29"/>
      <c r="H71" s="31" t="str">
        <f>IF(F71="","",VLOOKUP(F71,'Data Induk Pegawai'!B:U,2,FALSE))</f>
        <v/>
      </c>
      <c r="I71" s="19" t="str">
        <f>IF('REGISTER SK'!C74="","",'REGISTER SK'!C74)</f>
        <v/>
      </c>
      <c r="J71" s="125"/>
      <c r="K71" s="125"/>
      <c r="L71" s="26" t="str">
        <f>IF('REGISTER SK'!D74="","",'REGISTER SK'!D74)</f>
        <v/>
      </c>
      <c r="M71" s="26" t="str">
        <f>IF('REGISTER SK'!E74="","",'REGISTER SK'!E74)</f>
        <v/>
      </c>
      <c r="N71" s="31" t="str">
        <f>IF(G71="","",IF(OR(G71="GTT",G71="PTT"),"--",VLOOKUP(F71,'Data Induk Pegawai'!B:AE,4,FALSE)))</f>
        <v/>
      </c>
      <c r="O71" s="18" t="s">
        <v>286</v>
      </c>
      <c r="P71" s="31" t="str">
        <f>IF(G71="","",VLOOKUP(F71,'Data Induk Pegawai'!B:AE,7,FALSE))</f>
        <v/>
      </c>
      <c r="Q71" s="30"/>
      <c r="R71" s="26" t="str">
        <f>IF(G71="","","Nomor "&amp;RIGHT(VLOOKUP(F71,'Data Induk Pegawai'!B:AE,12,FALSE),2)&amp;" Tahun "&amp;MID(VLOOKUP(F71,'Data Induk Pegawai'!B:AE,12,FALSE),5,4))</f>
        <v/>
      </c>
      <c r="S71" s="26" t="str">
        <f>IF(G71="","",VLOOKUP(F71,'Data Induk Pegawai'!B:AE,11,FALSE))</f>
        <v/>
      </c>
      <c r="T71" s="56"/>
      <c r="U71" s="18" t="str">
        <f t="shared" si="28"/>
        <v/>
      </c>
      <c r="V71" s="30"/>
      <c r="W71" s="18" t="str">
        <f t="shared" si="29"/>
        <v/>
      </c>
      <c r="X71" s="16"/>
      <c r="Y71" t="str">
        <f t="shared" si="30"/>
        <v/>
      </c>
      <c r="Z71" t="str">
        <f t="shared" si="31"/>
        <v/>
      </c>
      <c r="AA71" t="str">
        <f t="shared" si="32"/>
        <v/>
      </c>
      <c r="AB71" t="str">
        <f>COUNTIFS(AC71:AC$596,AC71)&amp;AC71</f>
        <v>526</v>
      </c>
      <c r="AC71" t="str">
        <f t="shared" si="33"/>
        <v/>
      </c>
      <c r="AD71" t="str">
        <f>COUNTIFS(AC$2:AC71,AC71)&amp;AC71</f>
        <v>70</v>
      </c>
      <c r="AE71" t="str">
        <f t="shared" si="34"/>
        <v/>
      </c>
      <c r="AF71" t="str">
        <f t="shared" si="35"/>
        <v>..</v>
      </c>
      <c r="AG71" s="28" t="str">
        <f t="shared" si="36"/>
        <v/>
      </c>
      <c r="AH71" s="28" t="str">
        <f t="shared" si="37"/>
        <v/>
      </c>
      <c r="AI71" t="str">
        <f t="shared" si="24"/>
        <v/>
      </c>
      <c r="AJ71" t="str">
        <f t="shared" si="38"/>
        <v/>
      </c>
      <c r="AK71" t="str">
        <f t="shared" si="39"/>
        <v/>
      </c>
      <c r="AL71" t="str">
        <f t="shared" si="40"/>
        <v/>
      </c>
      <c r="AM71" t="str">
        <f t="shared" si="25"/>
        <v/>
      </c>
      <c r="AN71" t="str">
        <f t="shared" si="41"/>
        <v/>
      </c>
      <c r="AO71" t="str">
        <f t="shared" si="42"/>
        <v/>
      </c>
      <c r="AP71" t="str">
        <f t="shared" si="43"/>
        <v/>
      </c>
      <c r="AQ71" t="str">
        <f t="shared" si="26"/>
        <v/>
      </c>
      <c r="AR71" t="str">
        <f t="shared" si="44"/>
        <v/>
      </c>
      <c r="AS71" t="str">
        <f t="shared" si="45"/>
        <v/>
      </c>
      <c r="AT71" t="str">
        <f t="shared" si="46"/>
        <v/>
      </c>
      <c r="AU71" s="25" t="str">
        <f t="shared" si="47"/>
        <v/>
      </c>
      <c r="BA71">
        <f>'REGISTER SK'!F74</f>
        <v>0</v>
      </c>
    </row>
    <row r="72" spans="1:53" x14ac:dyDescent="0.35">
      <c r="A72" s="18">
        <v>71</v>
      </c>
      <c r="B72" s="36" t="s">
        <v>379</v>
      </c>
      <c r="C72" s="18" t="str">
        <f>IF(G72="","",IF(G72="Umum",G72,VLOOKUP(F72,'Data Induk Pegawai'!B:AE,4,FALSE)))</f>
        <v/>
      </c>
      <c r="D72" s="19" t="str">
        <f>IF('REGISTER SK'!A75="","",IF('REGISTER SK'!B75=0,D71,'REGISTER SK'!B75))</f>
        <v/>
      </c>
      <c r="E72" s="19" t="str">
        <f t="shared" si="27"/>
        <v/>
      </c>
      <c r="F72" s="29"/>
      <c r="G72" s="29"/>
      <c r="H72" s="31" t="str">
        <f>IF(F72="","",VLOOKUP(F72,'Data Induk Pegawai'!B:U,2,FALSE))</f>
        <v/>
      </c>
      <c r="I72" s="19" t="str">
        <f>IF('REGISTER SK'!C75="","",'REGISTER SK'!C75)</f>
        <v/>
      </c>
      <c r="J72" s="125"/>
      <c r="K72" s="125"/>
      <c r="L72" s="26" t="str">
        <f>IF('REGISTER SK'!D75="","",'REGISTER SK'!D75)</f>
        <v/>
      </c>
      <c r="M72" s="26" t="str">
        <f>IF('REGISTER SK'!E75="","",'REGISTER SK'!E75)</f>
        <v/>
      </c>
      <c r="N72" s="31" t="str">
        <f>IF(G72="","",IF(OR(G72="GTT",G72="PTT"),"--",VLOOKUP(F72,'Data Induk Pegawai'!B:AE,4,FALSE)))</f>
        <v/>
      </c>
      <c r="O72" s="18" t="s">
        <v>287</v>
      </c>
      <c r="P72" s="31" t="str">
        <f>IF(G72="","",VLOOKUP(F72,'Data Induk Pegawai'!B:AE,7,FALSE))</f>
        <v/>
      </c>
      <c r="Q72" s="30"/>
      <c r="R72" s="26" t="str">
        <f>IF(G72="","","Nomor "&amp;RIGHT(VLOOKUP(F72,'Data Induk Pegawai'!B:AE,12,FALSE),2)&amp;" Tahun "&amp;MID(VLOOKUP(F72,'Data Induk Pegawai'!B:AE,12,FALSE),5,4))</f>
        <v/>
      </c>
      <c r="S72" s="26" t="str">
        <f>IF(G72="","",VLOOKUP(F72,'Data Induk Pegawai'!B:AE,11,FALSE))</f>
        <v/>
      </c>
      <c r="T72" s="56"/>
      <c r="U72" s="18" t="str">
        <f t="shared" si="28"/>
        <v/>
      </c>
      <c r="V72" s="30"/>
      <c r="W72" s="18" t="str">
        <f t="shared" si="29"/>
        <v/>
      </c>
      <c r="X72" s="16"/>
      <c r="Y72" t="str">
        <f t="shared" si="30"/>
        <v/>
      </c>
      <c r="Z72" t="str">
        <f t="shared" si="31"/>
        <v/>
      </c>
      <c r="AA72" t="str">
        <f t="shared" si="32"/>
        <v/>
      </c>
      <c r="AB72" t="str">
        <f>COUNTIFS(AC72:AC$596,AC72)&amp;AC72</f>
        <v>525</v>
      </c>
      <c r="AC72" t="str">
        <f t="shared" si="33"/>
        <v/>
      </c>
      <c r="AD72" t="str">
        <f>COUNTIFS(AC$2:AC72,AC72)&amp;AC72</f>
        <v>71</v>
      </c>
      <c r="AE72" t="str">
        <f t="shared" si="34"/>
        <v/>
      </c>
      <c r="AF72" t="str">
        <f t="shared" si="35"/>
        <v>..</v>
      </c>
      <c r="AG72" s="28" t="str">
        <f t="shared" si="36"/>
        <v/>
      </c>
      <c r="AH72" s="28" t="str">
        <f t="shared" si="37"/>
        <v/>
      </c>
      <c r="AI72" t="str">
        <f t="shared" si="24"/>
        <v/>
      </c>
      <c r="AJ72" t="str">
        <f t="shared" si="38"/>
        <v/>
      </c>
      <c r="AK72" t="str">
        <f t="shared" si="39"/>
        <v/>
      </c>
      <c r="AL72" t="str">
        <f t="shared" si="40"/>
        <v/>
      </c>
      <c r="AM72" t="str">
        <f t="shared" si="25"/>
        <v/>
      </c>
      <c r="AN72" t="str">
        <f t="shared" si="41"/>
        <v/>
      </c>
      <c r="AO72" t="str">
        <f t="shared" si="42"/>
        <v/>
      </c>
      <c r="AP72" t="str">
        <f t="shared" si="43"/>
        <v/>
      </c>
      <c r="AQ72" t="str">
        <f t="shared" si="26"/>
        <v/>
      </c>
      <c r="AR72" t="str">
        <f t="shared" si="44"/>
        <v/>
      </c>
      <c r="AS72" t="str">
        <f t="shared" si="45"/>
        <v/>
      </c>
      <c r="AT72" t="str">
        <f t="shared" si="46"/>
        <v/>
      </c>
      <c r="AU72" s="25" t="str">
        <f t="shared" si="47"/>
        <v/>
      </c>
      <c r="BA72">
        <f>'REGISTER SK'!F75</f>
        <v>0</v>
      </c>
    </row>
    <row r="73" spans="1:53" x14ac:dyDescent="0.35">
      <c r="A73" s="18">
        <v>72</v>
      </c>
      <c r="B73" s="36" t="s">
        <v>379</v>
      </c>
      <c r="C73" s="18" t="str">
        <f>IF(G73="","",IF(G73="Umum",G73,VLOOKUP(F73,'Data Induk Pegawai'!B:AE,4,FALSE)))</f>
        <v/>
      </c>
      <c r="D73" s="19" t="str">
        <f>IF('REGISTER SK'!A76="","",IF('REGISTER SK'!B76=0,D72,'REGISTER SK'!B76))</f>
        <v/>
      </c>
      <c r="E73" s="19" t="str">
        <f t="shared" si="27"/>
        <v/>
      </c>
      <c r="F73" s="29"/>
      <c r="G73" s="29"/>
      <c r="H73" s="31" t="str">
        <f>IF(F73="","",VLOOKUP(F73,'Data Induk Pegawai'!B:U,2,FALSE))</f>
        <v/>
      </c>
      <c r="I73" s="19" t="str">
        <f>IF('REGISTER SK'!C76="","",'REGISTER SK'!C76)</f>
        <v/>
      </c>
      <c r="J73" s="125"/>
      <c r="K73" s="125"/>
      <c r="L73" s="26" t="str">
        <f>IF('REGISTER SK'!D76="","",'REGISTER SK'!D76)</f>
        <v/>
      </c>
      <c r="M73" s="26" t="str">
        <f>IF('REGISTER SK'!E76="","",'REGISTER SK'!E76)</f>
        <v/>
      </c>
      <c r="N73" s="31" t="str">
        <f>IF(G73="","",IF(OR(G73="GTT",G73="PTT"),"--",VLOOKUP(F73,'Data Induk Pegawai'!B:AE,4,FALSE)))</f>
        <v/>
      </c>
      <c r="O73" s="18" t="s">
        <v>288</v>
      </c>
      <c r="P73" s="31" t="str">
        <f>IF(G73="","",VLOOKUP(F73,'Data Induk Pegawai'!B:AE,7,FALSE))</f>
        <v/>
      </c>
      <c r="Q73" s="30"/>
      <c r="R73" s="26" t="str">
        <f>IF(G73="","","Nomor "&amp;RIGHT(VLOOKUP(F73,'Data Induk Pegawai'!B:AE,12,FALSE),2)&amp;" Tahun "&amp;MID(VLOOKUP(F73,'Data Induk Pegawai'!B:AE,12,FALSE),5,4))</f>
        <v/>
      </c>
      <c r="S73" s="26" t="str">
        <f>IF(G73="","",VLOOKUP(F73,'Data Induk Pegawai'!B:AE,11,FALSE))</f>
        <v/>
      </c>
      <c r="T73" s="57"/>
      <c r="U73" s="18" t="str">
        <f t="shared" si="28"/>
        <v/>
      </c>
      <c r="V73" s="30"/>
      <c r="W73" s="18" t="str">
        <f t="shared" si="29"/>
        <v/>
      </c>
      <c r="X73" s="16"/>
      <c r="Y73" t="str">
        <f t="shared" si="30"/>
        <v/>
      </c>
      <c r="Z73" t="str">
        <f t="shared" si="31"/>
        <v/>
      </c>
      <c r="AA73" t="str">
        <f t="shared" si="32"/>
        <v/>
      </c>
      <c r="AB73" t="str">
        <f>COUNTIFS(AC73:AC$596,AC73)&amp;AC73</f>
        <v>524</v>
      </c>
      <c r="AC73" t="str">
        <f t="shared" si="33"/>
        <v/>
      </c>
      <c r="AD73" t="str">
        <f>COUNTIFS(AC$2:AC73,AC73)&amp;AC73</f>
        <v>72</v>
      </c>
      <c r="AE73" t="str">
        <f t="shared" si="34"/>
        <v/>
      </c>
      <c r="AF73" t="str">
        <f t="shared" si="35"/>
        <v>..</v>
      </c>
      <c r="AG73" s="28" t="str">
        <f t="shared" si="36"/>
        <v/>
      </c>
      <c r="AH73" s="28" t="str">
        <f t="shared" si="37"/>
        <v/>
      </c>
      <c r="AI73" t="str">
        <f t="shared" si="24"/>
        <v/>
      </c>
      <c r="AJ73" t="str">
        <f t="shared" si="38"/>
        <v/>
      </c>
      <c r="AK73" t="str">
        <f t="shared" si="39"/>
        <v/>
      </c>
      <c r="AL73" t="str">
        <f t="shared" si="40"/>
        <v/>
      </c>
      <c r="AM73" t="str">
        <f t="shared" si="25"/>
        <v/>
      </c>
      <c r="AN73" t="str">
        <f t="shared" si="41"/>
        <v/>
      </c>
      <c r="AO73" t="str">
        <f t="shared" si="42"/>
        <v/>
      </c>
      <c r="AP73" t="str">
        <f t="shared" si="43"/>
        <v/>
      </c>
      <c r="AQ73" t="str">
        <f t="shared" si="26"/>
        <v/>
      </c>
      <c r="AR73" t="str">
        <f t="shared" si="44"/>
        <v/>
      </c>
      <c r="AS73" t="str">
        <f t="shared" si="45"/>
        <v/>
      </c>
      <c r="AT73" t="str">
        <f t="shared" si="46"/>
        <v/>
      </c>
      <c r="AU73" s="25" t="str">
        <f t="shared" si="47"/>
        <v/>
      </c>
      <c r="BA73">
        <f>'REGISTER SK'!F76</f>
        <v>0</v>
      </c>
    </row>
    <row r="74" spans="1:53" x14ac:dyDescent="0.35">
      <c r="A74" s="18">
        <v>73</v>
      </c>
      <c r="B74" s="36" t="s">
        <v>379</v>
      </c>
      <c r="C74" s="18" t="str">
        <f>IF(G74="","",IF(G74="Umum",G74,VLOOKUP(F74,'Data Induk Pegawai'!B:AE,4,FALSE)))</f>
        <v/>
      </c>
      <c r="D74" s="19" t="str">
        <f>IF('REGISTER SK'!A77="","",IF('REGISTER SK'!B77=0,D73,'REGISTER SK'!B77))</f>
        <v/>
      </c>
      <c r="E74" s="19" t="str">
        <f t="shared" si="27"/>
        <v/>
      </c>
      <c r="F74" s="29"/>
      <c r="G74" s="29"/>
      <c r="H74" s="31" t="str">
        <f>IF(F74="","",VLOOKUP(F74,'Data Induk Pegawai'!B:U,2,FALSE))</f>
        <v/>
      </c>
      <c r="I74" s="19" t="str">
        <f>IF('REGISTER SK'!C77="","",'REGISTER SK'!C77)</f>
        <v/>
      </c>
      <c r="J74" s="125"/>
      <c r="K74" s="125"/>
      <c r="L74" s="26" t="str">
        <f>IF('REGISTER SK'!D77="","",'REGISTER SK'!D77)</f>
        <v/>
      </c>
      <c r="M74" s="26" t="str">
        <f>IF('REGISTER SK'!E77="","",'REGISTER SK'!E77)</f>
        <v/>
      </c>
      <c r="N74" s="31" t="str">
        <f>IF(G74="","",IF(OR(G74="GTT",G74="PTT"),"--",VLOOKUP(F74,'Data Induk Pegawai'!B:AE,4,FALSE)))</f>
        <v/>
      </c>
      <c r="O74" s="18" t="s">
        <v>295</v>
      </c>
      <c r="P74" s="31" t="str">
        <f>IF(G74="","",VLOOKUP(F74,'Data Induk Pegawai'!B:AE,7,FALSE))</f>
        <v/>
      </c>
      <c r="Q74" s="30"/>
      <c r="R74" s="26" t="str">
        <f>IF(G74="","","Nomor "&amp;RIGHT(VLOOKUP(F74,'Data Induk Pegawai'!B:AE,12,FALSE),2)&amp;" Tahun "&amp;MID(VLOOKUP(F74,'Data Induk Pegawai'!B:AE,12,FALSE),5,4))</f>
        <v/>
      </c>
      <c r="S74" s="26" t="str">
        <f>IF(G74="","",VLOOKUP(F74,'Data Induk Pegawai'!B:AE,11,FALSE))</f>
        <v/>
      </c>
      <c r="T74" s="57"/>
      <c r="U74" s="18" t="str">
        <f t="shared" si="28"/>
        <v/>
      </c>
      <c r="V74" s="30"/>
      <c r="W74" s="18" t="str">
        <f t="shared" si="29"/>
        <v/>
      </c>
      <c r="X74" s="16"/>
      <c r="Y74" t="str">
        <f t="shared" si="30"/>
        <v/>
      </c>
      <c r="Z74" t="str">
        <f t="shared" si="31"/>
        <v/>
      </c>
      <c r="AA74" t="str">
        <f t="shared" si="32"/>
        <v/>
      </c>
      <c r="AB74" t="str">
        <f>COUNTIFS(AC74:AC$596,AC74)&amp;AC74</f>
        <v>523</v>
      </c>
      <c r="AC74" t="str">
        <f t="shared" si="33"/>
        <v/>
      </c>
      <c r="AD74" t="str">
        <f>COUNTIFS(AC$2:AC74,AC74)&amp;AC74</f>
        <v>73</v>
      </c>
      <c r="AE74" t="str">
        <f t="shared" si="34"/>
        <v/>
      </c>
      <c r="AF74" t="str">
        <f t="shared" si="35"/>
        <v>..</v>
      </c>
      <c r="AG74" s="28" t="str">
        <f t="shared" si="36"/>
        <v/>
      </c>
      <c r="AH74" s="28" t="str">
        <f t="shared" si="37"/>
        <v/>
      </c>
      <c r="AI74" t="str">
        <f t="shared" si="24"/>
        <v/>
      </c>
      <c r="AJ74" t="str">
        <f t="shared" si="38"/>
        <v/>
      </c>
      <c r="AK74" t="str">
        <f t="shared" si="39"/>
        <v/>
      </c>
      <c r="AL74" t="str">
        <f t="shared" si="40"/>
        <v/>
      </c>
      <c r="AM74" t="str">
        <f t="shared" si="25"/>
        <v/>
      </c>
      <c r="AN74" t="str">
        <f t="shared" si="41"/>
        <v/>
      </c>
      <c r="AO74" t="str">
        <f t="shared" si="42"/>
        <v/>
      </c>
      <c r="AP74" t="str">
        <f t="shared" si="43"/>
        <v/>
      </c>
      <c r="AQ74" t="str">
        <f t="shared" si="26"/>
        <v/>
      </c>
      <c r="AR74" t="str">
        <f t="shared" si="44"/>
        <v/>
      </c>
      <c r="AS74" t="str">
        <f t="shared" si="45"/>
        <v/>
      </c>
      <c r="AT74" t="str">
        <f t="shared" si="46"/>
        <v/>
      </c>
      <c r="AU74" s="25" t="str">
        <f t="shared" si="47"/>
        <v/>
      </c>
      <c r="BA74">
        <f>'REGISTER SK'!F77</f>
        <v>0</v>
      </c>
    </row>
    <row r="75" spans="1:53" x14ac:dyDescent="0.35">
      <c r="A75" s="18">
        <v>74</v>
      </c>
      <c r="B75" s="36" t="s">
        <v>379</v>
      </c>
      <c r="C75" s="18" t="str">
        <f>IF(G75="","",IF(G75="Umum",G75,VLOOKUP(F75,'Data Induk Pegawai'!B:AE,4,FALSE)))</f>
        <v/>
      </c>
      <c r="D75" s="19" t="str">
        <f>IF('REGISTER SK'!A78="","",IF('REGISTER SK'!B78=0,D74,'REGISTER SK'!B78))</f>
        <v/>
      </c>
      <c r="E75" s="19" t="str">
        <f t="shared" si="27"/>
        <v/>
      </c>
      <c r="F75" s="29"/>
      <c r="G75" s="29"/>
      <c r="H75" s="31" t="str">
        <f>IF(F75="","",VLOOKUP(F75,'Data Induk Pegawai'!B:U,2,FALSE))</f>
        <v/>
      </c>
      <c r="I75" s="19" t="str">
        <f>IF('REGISTER SK'!C78="","",'REGISTER SK'!C78)</f>
        <v/>
      </c>
      <c r="J75" s="125"/>
      <c r="K75" s="125"/>
      <c r="L75" s="26" t="str">
        <f>IF('REGISTER SK'!D78="","",'REGISTER SK'!D78)</f>
        <v/>
      </c>
      <c r="M75" s="26" t="str">
        <f>IF('REGISTER SK'!E78="","",'REGISTER SK'!E78)</f>
        <v/>
      </c>
      <c r="N75" s="31" t="str">
        <f>IF(G75="","",IF(OR(G75="GTT",G75="PTT"),"--",VLOOKUP(F75,'Data Induk Pegawai'!B:AE,4,FALSE)))</f>
        <v/>
      </c>
      <c r="O75" s="18" t="s">
        <v>296</v>
      </c>
      <c r="P75" s="31" t="str">
        <f>IF(G75="","",VLOOKUP(F75,'Data Induk Pegawai'!B:AE,7,FALSE))</f>
        <v/>
      </c>
      <c r="Q75" s="30"/>
      <c r="R75" s="26" t="str">
        <f>IF(G75="","","Nomor "&amp;RIGHT(VLOOKUP(F75,'Data Induk Pegawai'!B:AE,12,FALSE),2)&amp;" Tahun "&amp;MID(VLOOKUP(F75,'Data Induk Pegawai'!B:AE,12,FALSE),5,4))</f>
        <v/>
      </c>
      <c r="S75" s="26" t="str">
        <f>IF(G75="","",VLOOKUP(F75,'Data Induk Pegawai'!B:AE,11,FALSE))</f>
        <v/>
      </c>
      <c r="T75" s="57"/>
      <c r="U75" s="18" t="str">
        <f t="shared" si="28"/>
        <v/>
      </c>
      <c r="V75" s="30"/>
      <c r="W75" s="18" t="str">
        <f t="shared" si="29"/>
        <v/>
      </c>
      <c r="X75" s="16"/>
      <c r="Y75" t="str">
        <f t="shared" si="30"/>
        <v/>
      </c>
      <c r="Z75" t="str">
        <f t="shared" si="31"/>
        <v/>
      </c>
      <c r="AA75" t="str">
        <f t="shared" si="32"/>
        <v/>
      </c>
      <c r="AB75" t="str">
        <f>COUNTIFS(AC75:AC$596,AC75)&amp;AC75</f>
        <v>522</v>
      </c>
      <c r="AC75" t="str">
        <f t="shared" si="33"/>
        <v/>
      </c>
      <c r="AD75" t="str">
        <f>COUNTIFS(AC$2:AC75,AC75)&amp;AC75</f>
        <v>74</v>
      </c>
      <c r="AE75" t="str">
        <f t="shared" si="34"/>
        <v/>
      </c>
      <c r="AF75" t="str">
        <f t="shared" si="35"/>
        <v>..</v>
      </c>
      <c r="AG75" s="28" t="str">
        <f t="shared" si="36"/>
        <v/>
      </c>
      <c r="AH75" s="28" t="str">
        <f t="shared" si="37"/>
        <v/>
      </c>
      <c r="AI75" t="str">
        <f t="shared" si="24"/>
        <v/>
      </c>
      <c r="AJ75" t="str">
        <f t="shared" si="38"/>
        <v/>
      </c>
      <c r="AK75" t="str">
        <f t="shared" si="39"/>
        <v/>
      </c>
      <c r="AL75" t="str">
        <f t="shared" si="40"/>
        <v/>
      </c>
      <c r="AM75" t="str">
        <f t="shared" si="25"/>
        <v/>
      </c>
      <c r="AN75" t="str">
        <f t="shared" si="41"/>
        <v/>
      </c>
      <c r="AO75" t="str">
        <f t="shared" si="42"/>
        <v/>
      </c>
      <c r="AP75" t="str">
        <f t="shared" si="43"/>
        <v/>
      </c>
      <c r="AQ75" t="str">
        <f t="shared" si="26"/>
        <v/>
      </c>
      <c r="AR75" t="str">
        <f t="shared" si="44"/>
        <v/>
      </c>
      <c r="AS75" t="str">
        <f t="shared" si="45"/>
        <v/>
      </c>
      <c r="AT75" t="str">
        <f t="shared" si="46"/>
        <v/>
      </c>
      <c r="AU75" s="25" t="str">
        <f t="shared" si="47"/>
        <v/>
      </c>
      <c r="BA75">
        <f>'REGISTER SK'!F78</f>
        <v>0</v>
      </c>
    </row>
    <row r="76" spans="1:53" x14ac:dyDescent="0.35">
      <c r="A76" s="18">
        <v>75</v>
      </c>
      <c r="B76" s="36" t="s">
        <v>379</v>
      </c>
      <c r="C76" s="18" t="str">
        <f>IF(G76="","",IF(G76="Umum",G76,VLOOKUP(F76,'Data Induk Pegawai'!B:AE,4,FALSE)))</f>
        <v/>
      </c>
      <c r="D76" s="19" t="str">
        <f>IF('REGISTER SK'!A79="","",IF('REGISTER SK'!B79=0,D75,'REGISTER SK'!B79))</f>
        <v/>
      </c>
      <c r="E76" s="19" t="str">
        <f t="shared" si="27"/>
        <v/>
      </c>
      <c r="F76" s="29"/>
      <c r="G76" s="29"/>
      <c r="H76" s="31" t="str">
        <f>IF(F76="","",VLOOKUP(F76,'Data Induk Pegawai'!B:U,2,FALSE))</f>
        <v/>
      </c>
      <c r="I76" s="19" t="str">
        <f>IF('REGISTER SK'!C79="","",'REGISTER SK'!C79)</f>
        <v/>
      </c>
      <c r="J76" s="125"/>
      <c r="K76" s="125"/>
      <c r="L76" s="26" t="str">
        <f>IF('REGISTER SK'!D79="","",'REGISTER SK'!D79)</f>
        <v/>
      </c>
      <c r="M76" s="26" t="str">
        <f>IF('REGISTER SK'!E79="","",'REGISTER SK'!E79)</f>
        <v/>
      </c>
      <c r="N76" s="31" t="str">
        <f>IF(G76="","",IF(OR(G76="GTT",G76="PTT"),"--",VLOOKUP(F76,'Data Induk Pegawai'!B:AE,4,FALSE)))</f>
        <v/>
      </c>
      <c r="O76" s="18" t="s">
        <v>297</v>
      </c>
      <c r="P76" s="31" t="str">
        <f>IF(G76="","",VLOOKUP(F76,'Data Induk Pegawai'!B:AE,7,FALSE))</f>
        <v/>
      </c>
      <c r="Q76" s="30"/>
      <c r="R76" s="26" t="str">
        <f>IF(G76="","","Nomor "&amp;RIGHT(VLOOKUP(F76,'Data Induk Pegawai'!B:AE,12,FALSE),2)&amp;" Tahun "&amp;MID(VLOOKUP(F76,'Data Induk Pegawai'!B:AE,12,FALSE),5,4))</f>
        <v/>
      </c>
      <c r="S76" s="26" t="str">
        <f>IF(G76="","",VLOOKUP(F76,'Data Induk Pegawai'!B:AE,11,FALSE))</f>
        <v/>
      </c>
      <c r="T76" s="57"/>
      <c r="U76" s="18" t="str">
        <f t="shared" si="28"/>
        <v/>
      </c>
      <c r="V76" s="30"/>
      <c r="W76" s="18" t="str">
        <f t="shared" si="29"/>
        <v/>
      </c>
      <c r="X76" s="16"/>
      <c r="Y76" t="str">
        <f t="shared" si="30"/>
        <v/>
      </c>
      <c r="Z76" t="str">
        <f t="shared" si="31"/>
        <v/>
      </c>
      <c r="AA76" t="str">
        <f t="shared" si="32"/>
        <v/>
      </c>
      <c r="AB76" t="str">
        <f>COUNTIFS(AC76:AC$596,AC76)&amp;AC76</f>
        <v>521</v>
      </c>
      <c r="AC76" t="str">
        <f t="shared" si="33"/>
        <v/>
      </c>
      <c r="AD76" t="str">
        <f>COUNTIFS(AC$2:AC76,AC76)&amp;AC76</f>
        <v>75</v>
      </c>
      <c r="AE76" t="str">
        <f t="shared" si="34"/>
        <v/>
      </c>
      <c r="AF76" t="str">
        <f t="shared" si="35"/>
        <v>..</v>
      </c>
      <c r="AG76" s="28" t="str">
        <f t="shared" si="36"/>
        <v/>
      </c>
      <c r="AH76" s="28" t="str">
        <f t="shared" si="37"/>
        <v/>
      </c>
      <c r="AI76" t="str">
        <f t="shared" si="24"/>
        <v/>
      </c>
      <c r="AJ76" t="str">
        <f t="shared" si="38"/>
        <v/>
      </c>
      <c r="AK76" t="str">
        <f t="shared" si="39"/>
        <v/>
      </c>
      <c r="AL76" t="str">
        <f t="shared" si="40"/>
        <v/>
      </c>
      <c r="AM76" t="str">
        <f t="shared" si="25"/>
        <v/>
      </c>
      <c r="AN76" t="str">
        <f t="shared" si="41"/>
        <v/>
      </c>
      <c r="AO76" t="str">
        <f t="shared" si="42"/>
        <v/>
      </c>
      <c r="AP76" t="str">
        <f t="shared" si="43"/>
        <v/>
      </c>
      <c r="AQ76" t="str">
        <f t="shared" si="26"/>
        <v/>
      </c>
      <c r="AR76" t="str">
        <f t="shared" si="44"/>
        <v/>
      </c>
      <c r="AS76" t="str">
        <f t="shared" si="45"/>
        <v/>
      </c>
      <c r="AT76" t="str">
        <f t="shared" si="46"/>
        <v/>
      </c>
      <c r="AU76" s="25" t="str">
        <f t="shared" si="47"/>
        <v/>
      </c>
      <c r="BA76">
        <f>'REGISTER SK'!F79</f>
        <v>0</v>
      </c>
    </row>
    <row r="77" spans="1:53" x14ac:dyDescent="0.35">
      <c r="A77" s="18">
        <v>76</v>
      </c>
      <c r="B77" s="36" t="s">
        <v>379</v>
      </c>
      <c r="C77" s="18" t="str">
        <f>IF(G77="","",IF(G77="Umum",G77,VLOOKUP(F77,'Data Induk Pegawai'!B:AE,4,FALSE)))</f>
        <v/>
      </c>
      <c r="D77" s="19" t="str">
        <f>IF('REGISTER SK'!A80="","",IF('REGISTER SK'!B80=0,D76,'REGISTER SK'!B80))</f>
        <v/>
      </c>
      <c r="E77" s="19" t="str">
        <f t="shared" si="27"/>
        <v/>
      </c>
      <c r="F77" s="29"/>
      <c r="G77" s="29"/>
      <c r="H77" s="31" t="str">
        <f>IF(F77="","",VLOOKUP(F77,'Data Induk Pegawai'!B:U,2,FALSE))</f>
        <v/>
      </c>
      <c r="I77" s="19" t="str">
        <f>IF('REGISTER SK'!C80="","",'REGISTER SK'!C80)</f>
        <v/>
      </c>
      <c r="J77" s="125"/>
      <c r="K77" s="125"/>
      <c r="L77" s="26" t="str">
        <f>IF('REGISTER SK'!D80="","",'REGISTER SK'!D80)</f>
        <v/>
      </c>
      <c r="M77" s="26" t="str">
        <f>IF('REGISTER SK'!E80="","",'REGISTER SK'!E80)</f>
        <v/>
      </c>
      <c r="N77" s="31" t="str">
        <f>IF(G77="","",IF(OR(G77="GTT",G77="PTT"),"--",VLOOKUP(F77,'Data Induk Pegawai'!B:AE,4,FALSE)))</f>
        <v/>
      </c>
      <c r="O77" s="18" t="s">
        <v>298</v>
      </c>
      <c r="P77" s="31" t="str">
        <f>IF(G77="","",VLOOKUP(F77,'Data Induk Pegawai'!B:AE,7,FALSE))</f>
        <v/>
      </c>
      <c r="Q77" s="30"/>
      <c r="R77" s="26" t="str">
        <f>IF(G77="","","Nomor "&amp;RIGHT(VLOOKUP(F77,'Data Induk Pegawai'!B:AE,12,FALSE),2)&amp;" Tahun "&amp;MID(VLOOKUP(F77,'Data Induk Pegawai'!B:AE,12,FALSE),5,4))</f>
        <v/>
      </c>
      <c r="S77" s="26" t="str">
        <f>IF(G77="","",VLOOKUP(F77,'Data Induk Pegawai'!B:AE,11,FALSE))</f>
        <v/>
      </c>
      <c r="T77" s="57"/>
      <c r="U77" s="18" t="str">
        <f t="shared" si="28"/>
        <v/>
      </c>
      <c r="V77" s="30"/>
      <c r="W77" s="18" t="str">
        <f t="shared" si="29"/>
        <v/>
      </c>
      <c r="X77" s="16"/>
      <c r="Y77" t="str">
        <f t="shared" si="30"/>
        <v/>
      </c>
      <c r="Z77" t="str">
        <f t="shared" si="31"/>
        <v/>
      </c>
      <c r="AA77" t="str">
        <f t="shared" si="32"/>
        <v/>
      </c>
      <c r="AB77" t="str">
        <f>COUNTIFS(AC77:AC$596,AC77)&amp;AC77</f>
        <v>520</v>
      </c>
      <c r="AC77" t="str">
        <f t="shared" si="33"/>
        <v/>
      </c>
      <c r="AD77" t="str">
        <f>COUNTIFS(AC$2:AC77,AC77)&amp;AC77</f>
        <v>76</v>
      </c>
      <c r="AE77" t="str">
        <f t="shared" si="34"/>
        <v/>
      </c>
      <c r="AF77" t="str">
        <f t="shared" si="35"/>
        <v>..</v>
      </c>
      <c r="AG77" s="28" t="str">
        <f t="shared" si="36"/>
        <v/>
      </c>
      <c r="AH77" s="28" t="str">
        <f t="shared" si="37"/>
        <v/>
      </c>
      <c r="AI77" t="str">
        <f t="shared" si="24"/>
        <v/>
      </c>
      <c r="AJ77" t="str">
        <f t="shared" si="38"/>
        <v/>
      </c>
      <c r="AK77" t="str">
        <f t="shared" si="39"/>
        <v/>
      </c>
      <c r="AL77" t="str">
        <f t="shared" si="40"/>
        <v/>
      </c>
      <c r="AM77" t="str">
        <f t="shared" si="25"/>
        <v/>
      </c>
      <c r="AN77" t="str">
        <f t="shared" si="41"/>
        <v/>
      </c>
      <c r="AO77" t="str">
        <f t="shared" si="42"/>
        <v/>
      </c>
      <c r="AP77" t="str">
        <f t="shared" si="43"/>
        <v/>
      </c>
      <c r="AQ77" t="str">
        <f t="shared" si="26"/>
        <v/>
      </c>
      <c r="AR77" t="str">
        <f t="shared" si="44"/>
        <v/>
      </c>
      <c r="AS77" t="str">
        <f t="shared" si="45"/>
        <v/>
      </c>
      <c r="AT77" t="str">
        <f t="shared" si="46"/>
        <v/>
      </c>
      <c r="AU77" s="25" t="str">
        <f t="shared" si="47"/>
        <v/>
      </c>
      <c r="BA77">
        <f>'REGISTER SK'!F80</f>
        <v>0</v>
      </c>
    </row>
    <row r="78" spans="1:53" x14ac:dyDescent="0.35">
      <c r="A78" s="18">
        <v>77</v>
      </c>
      <c r="B78" s="36" t="s">
        <v>379</v>
      </c>
      <c r="C78" s="18" t="str">
        <f>IF(G78="","",IF(G78="Umum",G78,VLOOKUP(F78,'Data Induk Pegawai'!B:AE,4,FALSE)))</f>
        <v/>
      </c>
      <c r="D78" s="19" t="str">
        <f>IF('REGISTER SK'!A81="","",IF('REGISTER SK'!B81=0,D77,'REGISTER SK'!B81))</f>
        <v/>
      </c>
      <c r="E78" s="19" t="str">
        <f t="shared" si="27"/>
        <v/>
      </c>
      <c r="F78" s="29"/>
      <c r="G78" s="29"/>
      <c r="H78" s="31" t="str">
        <f>IF(F78="","",VLOOKUP(F78,'Data Induk Pegawai'!B:U,2,FALSE))</f>
        <v/>
      </c>
      <c r="I78" s="19" t="str">
        <f>IF('REGISTER SK'!C81="","",'REGISTER SK'!C81)</f>
        <v/>
      </c>
      <c r="J78" s="125"/>
      <c r="K78" s="125"/>
      <c r="L78" s="26" t="str">
        <f>IF('REGISTER SK'!D81="","",'REGISTER SK'!D81)</f>
        <v/>
      </c>
      <c r="M78" s="26" t="str">
        <f>IF('REGISTER SK'!E81="","",'REGISTER SK'!E81)</f>
        <v/>
      </c>
      <c r="N78" s="31" t="str">
        <f>IF(G78="","",IF(OR(G78="GTT",G78="PTT"),"--",VLOOKUP(F78,'Data Induk Pegawai'!B:AE,4,FALSE)))</f>
        <v/>
      </c>
      <c r="O78" s="18" t="s">
        <v>299</v>
      </c>
      <c r="P78" s="31" t="str">
        <f>IF(G78="","",VLOOKUP(F78,'Data Induk Pegawai'!B:AE,7,FALSE))</f>
        <v/>
      </c>
      <c r="Q78" s="30"/>
      <c r="R78" s="26" t="str">
        <f>IF(G78="","","Nomor "&amp;RIGHT(VLOOKUP(F78,'Data Induk Pegawai'!B:AE,12,FALSE),2)&amp;" Tahun "&amp;MID(VLOOKUP(F78,'Data Induk Pegawai'!B:AE,12,FALSE),5,4))</f>
        <v/>
      </c>
      <c r="S78" s="26" t="str">
        <f>IF(G78="","",VLOOKUP(F78,'Data Induk Pegawai'!B:AE,11,FALSE))</f>
        <v/>
      </c>
      <c r="T78" s="57"/>
      <c r="U78" s="18" t="str">
        <f t="shared" si="28"/>
        <v/>
      </c>
      <c r="V78" s="30"/>
      <c r="W78" s="18" t="str">
        <f t="shared" si="29"/>
        <v/>
      </c>
      <c r="X78" s="16"/>
      <c r="Y78" t="str">
        <f t="shared" si="30"/>
        <v/>
      </c>
      <c r="Z78" t="str">
        <f t="shared" si="31"/>
        <v/>
      </c>
      <c r="AA78" t="str">
        <f t="shared" si="32"/>
        <v/>
      </c>
      <c r="AB78" t="str">
        <f>COUNTIFS(AC78:AC$596,AC78)&amp;AC78</f>
        <v>519</v>
      </c>
      <c r="AC78" t="str">
        <f t="shared" si="33"/>
        <v/>
      </c>
      <c r="AD78" t="str">
        <f>COUNTIFS(AC$2:AC78,AC78)&amp;AC78</f>
        <v>77</v>
      </c>
      <c r="AE78" t="str">
        <f t="shared" si="34"/>
        <v/>
      </c>
      <c r="AF78" t="str">
        <f t="shared" si="35"/>
        <v>..</v>
      </c>
      <c r="AG78" s="28" t="str">
        <f t="shared" si="36"/>
        <v/>
      </c>
      <c r="AH78" s="28" t="str">
        <f t="shared" si="37"/>
        <v/>
      </c>
      <c r="AI78" t="str">
        <f t="shared" si="24"/>
        <v/>
      </c>
      <c r="AJ78" t="str">
        <f t="shared" si="38"/>
        <v/>
      </c>
      <c r="AK78" t="str">
        <f t="shared" si="39"/>
        <v/>
      </c>
      <c r="AL78" t="str">
        <f t="shared" si="40"/>
        <v/>
      </c>
      <c r="AM78" t="str">
        <f t="shared" si="25"/>
        <v/>
      </c>
      <c r="AN78" t="str">
        <f t="shared" si="41"/>
        <v/>
      </c>
      <c r="AO78" t="str">
        <f t="shared" si="42"/>
        <v/>
      </c>
      <c r="AP78" t="str">
        <f t="shared" si="43"/>
        <v/>
      </c>
      <c r="AQ78" t="str">
        <f t="shared" si="26"/>
        <v/>
      </c>
      <c r="AR78" t="str">
        <f t="shared" si="44"/>
        <v/>
      </c>
      <c r="AS78" t="str">
        <f t="shared" si="45"/>
        <v/>
      </c>
      <c r="AT78" t="str">
        <f t="shared" si="46"/>
        <v/>
      </c>
      <c r="AU78" s="25" t="str">
        <f t="shared" si="47"/>
        <v/>
      </c>
      <c r="BA78">
        <f>'REGISTER SK'!F81</f>
        <v>0</v>
      </c>
    </row>
    <row r="79" spans="1:53" x14ac:dyDescent="0.35">
      <c r="A79" s="18">
        <v>78</v>
      </c>
      <c r="B79" s="36" t="s">
        <v>379</v>
      </c>
      <c r="C79" s="18" t="str">
        <f>IF(G79="","",IF(G79="Umum",G79,VLOOKUP(F79,'Data Induk Pegawai'!B:AE,4,FALSE)))</f>
        <v/>
      </c>
      <c r="D79" s="19" t="str">
        <f>IF('REGISTER SK'!A82="","",IF('REGISTER SK'!B82=0,D78,'REGISTER SK'!B82))</f>
        <v/>
      </c>
      <c r="E79" s="19" t="str">
        <f t="shared" si="27"/>
        <v/>
      </c>
      <c r="F79" s="29"/>
      <c r="G79" s="29"/>
      <c r="H79" s="31" t="str">
        <f>IF(F79="","",VLOOKUP(F79,'Data Induk Pegawai'!B:U,2,FALSE))</f>
        <v/>
      </c>
      <c r="I79" s="19" t="str">
        <f>IF('REGISTER SK'!C82="","",'REGISTER SK'!C82)</f>
        <v/>
      </c>
      <c r="J79" s="125"/>
      <c r="K79" s="125"/>
      <c r="L79" s="26" t="str">
        <f>IF('REGISTER SK'!D82="","",'REGISTER SK'!D82)</f>
        <v/>
      </c>
      <c r="M79" s="26" t="str">
        <f>IF('REGISTER SK'!E82="","",'REGISTER SK'!E82)</f>
        <v/>
      </c>
      <c r="N79" s="31" t="str">
        <f>IF(G79="","",IF(OR(G79="GTT",G79="PTT"),"--",VLOOKUP(F79,'Data Induk Pegawai'!B:AE,4,FALSE)))</f>
        <v/>
      </c>
      <c r="O79" s="18" t="s">
        <v>300</v>
      </c>
      <c r="P79" s="31" t="str">
        <f>IF(G79="","",VLOOKUP(F79,'Data Induk Pegawai'!B:AE,7,FALSE))</f>
        <v/>
      </c>
      <c r="Q79" s="30"/>
      <c r="R79" s="26" t="str">
        <f>IF(G79="","","Nomor "&amp;RIGHT(VLOOKUP(F79,'Data Induk Pegawai'!B:AE,12,FALSE),2)&amp;" Tahun "&amp;MID(VLOOKUP(F79,'Data Induk Pegawai'!B:AE,12,FALSE),5,4))</f>
        <v/>
      </c>
      <c r="S79" s="26" t="str">
        <f>IF(G79="","",VLOOKUP(F79,'Data Induk Pegawai'!B:AE,11,FALSE))</f>
        <v/>
      </c>
      <c r="T79" s="57"/>
      <c r="U79" s="18" t="str">
        <f t="shared" si="28"/>
        <v/>
      </c>
      <c r="V79" s="30"/>
      <c r="W79" s="18" t="str">
        <f t="shared" si="29"/>
        <v/>
      </c>
      <c r="X79" s="16"/>
      <c r="Y79" t="str">
        <f t="shared" si="30"/>
        <v/>
      </c>
      <c r="Z79" t="str">
        <f t="shared" si="31"/>
        <v/>
      </c>
      <c r="AA79" t="str">
        <f t="shared" si="32"/>
        <v/>
      </c>
      <c r="AB79" t="str">
        <f>COUNTIFS(AC79:AC$596,AC79)&amp;AC79</f>
        <v>518</v>
      </c>
      <c r="AC79" t="str">
        <f t="shared" si="33"/>
        <v/>
      </c>
      <c r="AD79" t="str">
        <f>COUNTIFS(AC$2:AC79,AC79)&amp;AC79</f>
        <v>78</v>
      </c>
      <c r="AE79" t="str">
        <f t="shared" si="34"/>
        <v/>
      </c>
      <c r="AF79" t="str">
        <f t="shared" si="35"/>
        <v>..</v>
      </c>
      <c r="AG79" s="28" t="str">
        <f t="shared" si="36"/>
        <v/>
      </c>
      <c r="AH79" s="28" t="str">
        <f t="shared" si="37"/>
        <v/>
      </c>
      <c r="AI79" t="str">
        <f t="shared" si="24"/>
        <v/>
      </c>
      <c r="AJ79" t="str">
        <f t="shared" si="38"/>
        <v/>
      </c>
      <c r="AK79" t="str">
        <f t="shared" si="39"/>
        <v/>
      </c>
      <c r="AL79" t="str">
        <f t="shared" si="40"/>
        <v/>
      </c>
      <c r="AM79" t="str">
        <f t="shared" si="25"/>
        <v/>
      </c>
      <c r="AN79" t="str">
        <f t="shared" si="41"/>
        <v/>
      </c>
      <c r="AO79" t="str">
        <f t="shared" si="42"/>
        <v/>
      </c>
      <c r="AP79" t="str">
        <f t="shared" si="43"/>
        <v/>
      </c>
      <c r="AQ79" t="str">
        <f t="shared" si="26"/>
        <v/>
      </c>
      <c r="AR79" t="str">
        <f t="shared" si="44"/>
        <v/>
      </c>
      <c r="AS79" t="str">
        <f t="shared" si="45"/>
        <v/>
      </c>
      <c r="AT79" t="str">
        <f t="shared" si="46"/>
        <v/>
      </c>
      <c r="AU79" s="25" t="str">
        <f t="shared" si="47"/>
        <v/>
      </c>
      <c r="BA79">
        <f>'REGISTER SK'!F82</f>
        <v>0</v>
      </c>
    </row>
    <row r="80" spans="1:53" x14ac:dyDescent="0.35">
      <c r="A80" s="18">
        <v>79</v>
      </c>
      <c r="B80" s="36" t="s">
        <v>379</v>
      </c>
      <c r="C80" s="18" t="str">
        <f>IF(G80="","",IF(G80="Umum",G80,VLOOKUP(F80,'Data Induk Pegawai'!B:AE,4,FALSE)))</f>
        <v/>
      </c>
      <c r="D80" s="19" t="str">
        <f>IF('REGISTER SK'!A83="","",IF('REGISTER SK'!B83=0,D79,'REGISTER SK'!B83))</f>
        <v/>
      </c>
      <c r="E80" s="19" t="str">
        <f t="shared" si="27"/>
        <v/>
      </c>
      <c r="F80" s="29"/>
      <c r="G80" s="29"/>
      <c r="H80" s="31" t="str">
        <f>IF(F80="","",VLOOKUP(F80,'Data Induk Pegawai'!B:U,2,FALSE))</f>
        <v/>
      </c>
      <c r="I80" s="19" t="str">
        <f>IF('REGISTER SK'!C83="","",'REGISTER SK'!C83)</f>
        <v/>
      </c>
      <c r="J80" s="125"/>
      <c r="K80" s="125"/>
      <c r="L80" s="26" t="str">
        <f>IF('REGISTER SK'!D83="","",'REGISTER SK'!D83)</f>
        <v/>
      </c>
      <c r="M80" s="26" t="str">
        <f>IF('REGISTER SK'!E83="","",'REGISTER SK'!E83)</f>
        <v/>
      </c>
      <c r="N80" s="31" t="str">
        <f>IF(G80="","",IF(OR(G80="GTT",G80="PTT"),"--",VLOOKUP(F80,'Data Induk Pegawai'!B:AE,4,FALSE)))</f>
        <v/>
      </c>
      <c r="O80" s="18" t="s">
        <v>282</v>
      </c>
      <c r="P80" s="31" t="str">
        <f>IF(G80="","",VLOOKUP(F80,'Data Induk Pegawai'!B:AE,7,FALSE))</f>
        <v/>
      </c>
      <c r="Q80" s="30"/>
      <c r="R80" s="26" t="str">
        <f>IF(G80="","","Nomor "&amp;RIGHT(VLOOKUP(F80,'Data Induk Pegawai'!B:AE,12,FALSE),2)&amp;" Tahun "&amp;MID(VLOOKUP(F80,'Data Induk Pegawai'!B:AE,12,FALSE),5,4))</f>
        <v/>
      </c>
      <c r="S80" s="26" t="str">
        <f>IF(G80="","",VLOOKUP(F80,'Data Induk Pegawai'!B:AE,11,FALSE))</f>
        <v/>
      </c>
      <c r="T80" s="57"/>
      <c r="U80" s="18" t="str">
        <f t="shared" si="28"/>
        <v/>
      </c>
      <c r="V80" s="30"/>
      <c r="W80" s="18" t="str">
        <f t="shared" si="29"/>
        <v/>
      </c>
      <c r="X80" s="16"/>
      <c r="Y80" t="str">
        <f t="shared" si="30"/>
        <v/>
      </c>
      <c r="Z80" t="str">
        <f t="shared" si="31"/>
        <v/>
      </c>
      <c r="AA80" t="str">
        <f t="shared" si="32"/>
        <v/>
      </c>
      <c r="AB80" t="str">
        <f>COUNTIFS(AC80:AC$596,AC80)&amp;AC80</f>
        <v>517</v>
      </c>
      <c r="AC80" t="str">
        <f t="shared" si="33"/>
        <v/>
      </c>
      <c r="AD80" t="str">
        <f>COUNTIFS(AC$2:AC80,AC80)&amp;AC80</f>
        <v>79</v>
      </c>
      <c r="AE80" t="str">
        <f t="shared" si="34"/>
        <v/>
      </c>
      <c r="AF80" t="str">
        <f t="shared" si="35"/>
        <v>..</v>
      </c>
      <c r="AG80" s="28" t="str">
        <f t="shared" si="36"/>
        <v/>
      </c>
      <c r="AH80" s="28" t="str">
        <f t="shared" si="37"/>
        <v/>
      </c>
      <c r="AI80" t="str">
        <f t="shared" si="24"/>
        <v/>
      </c>
      <c r="AJ80" t="str">
        <f t="shared" si="38"/>
        <v/>
      </c>
      <c r="AK80" t="str">
        <f t="shared" si="39"/>
        <v/>
      </c>
      <c r="AL80" t="str">
        <f t="shared" si="40"/>
        <v/>
      </c>
      <c r="AM80" t="str">
        <f t="shared" si="25"/>
        <v/>
      </c>
      <c r="AN80" t="str">
        <f t="shared" si="41"/>
        <v/>
      </c>
      <c r="AO80" t="str">
        <f t="shared" si="42"/>
        <v/>
      </c>
      <c r="AP80" t="str">
        <f t="shared" si="43"/>
        <v/>
      </c>
      <c r="AQ80" t="str">
        <f t="shared" si="26"/>
        <v/>
      </c>
      <c r="AR80" t="str">
        <f t="shared" si="44"/>
        <v/>
      </c>
      <c r="AS80" t="str">
        <f t="shared" si="45"/>
        <v/>
      </c>
      <c r="AT80" t="str">
        <f t="shared" si="46"/>
        <v/>
      </c>
      <c r="AU80" s="25" t="str">
        <f t="shared" si="47"/>
        <v/>
      </c>
      <c r="BA80">
        <f>'REGISTER SK'!F83</f>
        <v>0</v>
      </c>
    </row>
    <row r="81" spans="1:53" x14ac:dyDescent="0.35">
      <c r="A81" s="18">
        <v>80</v>
      </c>
      <c r="B81" s="36"/>
      <c r="C81" s="18" t="str">
        <f>IF(G81="","",IF(G81="Umum",G81,VLOOKUP(F81,'Data Induk Pegawai'!B:AE,4,FALSE)))</f>
        <v/>
      </c>
      <c r="D81" s="19" t="str">
        <f>IF('REGISTER SK'!A84="","",IF('REGISTER SK'!B84=0,D80,'REGISTER SK'!B84))</f>
        <v/>
      </c>
      <c r="E81" s="19" t="str">
        <f t="shared" si="27"/>
        <v/>
      </c>
      <c r="F81" s="29"/>
      <c r="G81" s="29"/>
      <c r="H81" s="31" t="str">
        <f>IF(F81="","",VLOOKUP(F81,'Data Induk Pegawai'!B:U,2,FALSE))</f>
        <v/>
      </c>
      <c r="I81" s="19" t="str">
        <f>IF('REGISTER SK'!C84="","",'REGISTER SK'!C84)</f>
        <v/>
      </c>
      <c r="J81" s="125"/>
      <c r="K81" s="125"/>
      <c r="L81" s="26" t="str">
        <f>IF('REGISTER SK'!D84="","",'REGISTER SK'!D84)</f>
        <v/>
      </c>
      <c r="M81" s="26" t="str">
        <f>IF('REGISTER SK'!E84="","",'REGISTER SK'!E84)</f>
        <v/>
      </c>
      <c r="N81" s="31" t="str">
        <f>IF(G81="","",IF(OR(G81="GTT",G81="PTT"),"--",VLOOKUP(F81,'Data Induk Pegawai'!B:AE,4,FALSE)))</f>
        <v/>
      </c>
      <c r="O81" s="18" t="s">
        <v>378</v>
      </c>
      <c r="P81" s="31" t="str">
        <f>IF(G81="","",VLOOKUP(F81,'Data Induk Pegawai'!B:AE,7,FALSE))</f>
        <v/>
      </c>
      <c r="Q81" s="30"/>
      <c r="R81" s="26" t="str">
        <f>IF(G81="","","Nomor "&amp;RIGHT(VLOOKUP(F81,'Data Induk Pegawai'!B:AE,12,FALSE),2)&amp;" Tahun "&amp;MID(VLOOKUP(F81,'Data Induk Pegawai'!B:AE,12,FALSE),5,4))</f>
        <v/>
      </c>
      <c r="S81" s="26" t="str">
        <f>IF(G81="","",VLOOKUP(F81,'Data Induk Pegawai'!B:AE,11,FALSE))</f>
        <v/>
      </c>
      <c r="T81" s="57"/>
      <c r="U81" s="18" t="str">
        <f t="shared" si="28"/>
        <v/>
      </c>
      <c r="V81" s="30"/>
      <c r="W81" s="18" t="str">
        <f t="shared" si="29"/>
        <v/>
      </c>
      <c r="X81" s="16"/>
      <c r="Y81" t="str">
        <f t="shared" si="30"/>
        <v/>
      </c>
      <c r="Z81" t="str">
        <f t="shared" si="31"/>
        <v/>
      </c>
      <c r="AA81" t="str">
        <f t="shared" si="32"/>
        <v/>
      </c>
      <c r="AB81" t="str">
        <f>COUNTIFS(AC81:AC$596,AC81)&amp;AC81</f>
        <v>516</v>
      </c>
      <c r="AC81" t="str">
        <f t="shared" si="33"/>
        <v/>
      </c>
      <c r="AD81" t="str">
        <f>COUNTIFS(AC$2:AC81,AC81)&amp;AC81</f>
        <v>80</v>
      </c>
      <c r="AE81" t="str">
        <f t="shared" si="34"/>
        <v/>
      </c>
      <c r="AF81" t="str">
        <f t="shared" si="35"/>
        <v>..</v>
      </c>
      <c r="AG81" s="28" t="str">
        <f t="shared" si="36"/>
        <v/>
      </c>
      <c r="AH81" s="28" t="str">
        <f t="shared" si="37"/>
        <v/>
      </c>
      <c r="AI81" t="str">
        <f t="shared" si="24"/>
        <v/>
      </c>
      <c r="AJ81" t="str">
        <f t="shared" si="38"/>
        <v/>
      </c>
      <c r="AK81" t="str">
        <f t="shared" si="39"/>
        <v/>
      </c>
      <c r="AL81" t="str">
        <f t="shared" si="40"/>
        <v/>
      </c>
      <c r="AM81" t="str">
        <f t="shared" si="25"/>
        <v/>
      </c>
      <c r="AN81" t="str">
        <f t="shared" si="41"/>
        <v/>
      </c>
      <c r="AO81" t="str">
        <f t="shared" si="42"/>
        <v/>
      </c>
      <c r="AP81" t="str">
        <f t="shared" si="43"/>
        <v/>
      </c>
      <c r="AQ81" t="str">
        <f t="shared" si="26"/>
        <v/>
      </c>
      <c r="AR81" t="str">
        <f t="shared" si="44"/>
        <v/>
      </c>
      <c r="AS81" t="str">
        <f t="shared" si="45"/>
        <v/>
      </c>
      <c r="AT81" t="str">
        <f t="shared" si="46"/>
        <v/>
      </c>
      <c r="AU81" s="25" t="str">
        <f t="shared" si="47"/>
        <v/>
      </c>
      <c r="BA81">
        <f>'REGISTER SK'!F84</f>
        <v>0</v>
      </c>
    </row>
    <row r="82" spans="1:53" x14ac:dyDescent="0.35">
      <c r="A82" s="18">
        <v>81</v>
      </c>
      <c r="B82" s="36" t="s">
        <v>379</v>
      </c>
      <c r="C82" s="18" t="str">
        <f>IF(G82="","",IF(G82="Umum",G82,VLOOKUP(F82,'Data Induk Pegawai'!B:AE,4,FALSE)))</f>
        <v/>
      </c>
      <c r="D82" s="19" t="str">
        <f>IF('REGISTER SK'!A85="","",IF('REGISTER SK'!B85=0,D81,'REGISTER SK'!B85))</f>
        <v/>
      </c>
      <c r="E82" s="19" t="str">
        <f t="shared" si="27"/>
        <v/>
      </c>
      <c r="F82" s="29"/>
      <c r="G82" s="29"/>
      <c r="H82" s="31" t="str">
        <f>IF(F82="","",VLOOKUP(F82,'Data Induk Pegawai'!B:U,2,FALSE))</f>
        <v/>
      </c>
      <c r="I82" s="19" t="str">
        <f>IF('REGISTER SK'!C85="","",'REGISTER SK'!C85)</f>
        <v/>
      </c>
      <c r="J82" s="125"/>
      <c r="K82" s="125"/>
      <c r="L82" s="26" t="str">
        <f>IF('REGISTER SK'!D85="","",'REGISTER SK'!D85)</f>
        <v/>
      </c>
      <c r="M82" s="26" t="str">
        <f>IF('REGISTER SK'!E85="","",'REGISTER SK'!E85)</f>
        <v/>
      </c>
      <c r="N82" s="31" t="str">
        <f>IF(G82="","",IF(OR(G82="GTT",G82="PTT"),"--",VLOOKUP(F82,'Data Induk Pegawai'!B:AE,4,FALSE)))</f>
        <v/>
      </c>
      <c r="O82" s="18" t="s">
        <v>290</v>
      </c>
      <c r="P82" s="31" t="str">
        <f>IF(G82="","",VLOOKUP(F82,'Data Induk Pegawai'!B:AE,7,FALSE))</f>
        <v/>
      </c>
      <c r="Q82" s="30"/>
      <c r="R82" s="26" t="str">
        <f>IF(G82="","","Nomor "&amp;RIGHT(VLOOKUP(F82,'Data Induk Pegawai'!B:AE,12,FALSE),2)&amp;" Tahun "&amp;MID(VLOOKUP(F82,'Data Induk Pegawai'!B:AE,12,FALSE),5,4))</f>
        <v/>
      </c>
      <c r="S82" s="26" t="str">
        <f>IF(G82="","",VLOOKUP(F82,'Data Induk Pegawai'!B:AE,11,FALSE))</f>
        <v/>
      </c>
      <c r="T82" s="57"/>
      <c r="U82" s="18" t="str">
        <f t="shared" si="28"/>
        <v/>
      </c>
      <c r="V82" s="30"/>
      <c r="W82" s="18" t="str">
        <f t="shared" si="29"/>
        <v/>
      </c>
      <c r="X82" s="16"/>
      <c r="Y82" t="str">
        <f t="shared" si="30"/>
        <v/>
      </c>
      <c r="Z82" t="str">
        <f t="shared" si="31"/>
        <v/>
      </c>
      <c r="AA82" t="str">
        <f t="shared" si="32"/>
        <v/>
      </c>
      <c r="AB82" t="str">
        <f>COUNTIFS(AC82:AC$596,AC82)&amp;AC82</f>
        <v>515</v>
      </c>
      <c r="AC82" t="str">
        <f t="shared" si="33"/>
        <v/>
      </c>
      <c r="AD82" t="str">
        <f>COUNTIFS(AC$2:AC82,AC82)&amp;AC82</f>
        <v>81</v>
      </c>
      <c r="AE82" t="str">
        <f t="shared" si="34"/>
        <v/>
      </c>
      <c r="AF82" t="str">
        <f t="shared" si="35"/>
        <v>..</v>
      </c>
      <c r="AG82" s="28" t="str">
        <f t="shared" si="36"/>
        <v/>
      </c>
      <c r="AH82" s="28" t="str">
        <f t="shared" si="37"/>
        <v/>
      </c>
      <c r="AI82" t="str">
        <f t="shared" si="24"/>
        <v/>
      </c>
      <c r="AJ82" t="str">
        <f t="shared" si="38"/>
        <v/>
      </c>
      <c r="AK82" t="str">
        <f t="shared" si="39"/>
        <v/>
      </c>
      <c r="AL82" t="str">
        <f t="shared" si="40"/>
        <v/>
      </c>
      <c r="AM82" t="str">
        <f t="shared" si="25"/>
        <v/>
      </c>
      <c r="AN82" t="str">
        <f t="shared" si="41"/>
        <v/>
      </c>
      <c r="AO82" t="str">
        <f t="shared" si="42"/>
        <v/>
      </c>
      <c r="AP82" t="str">
        <f t="shared" si="43"/>
        <v/>
      </c>
      <c r="AQ82" t="str">
        <f t="shared" si="26"/>
        <v/>
      </c>
      <c r="AR82" t="str">
        <f t="shared" si="44"/>
        <v/>
      </c>
      <c r="AS82" t="str">
        <f t="shared" si="45"/>
        <v/>
      </c>
      <c r="AT82" t="str">
        <f t="shared" si="46"/>
        <v/>
      </c>
      <c r="AU82" s="25" t="str">
        <f t="shared" si="47"/>
        <v/>
      </c>
      <c r="BA82">
        <f>'REGISTER SK'!F85</f>
        <v>0</v>
      </c>
    </row>
    <row r="83" spans="1:53" x14ac:dyDescent="0.35">
      <c r="A83" s="18">
        <v>82</v>
      </c>
      <c r="B83" s="36" t="s">
        <v>379</v>
      </c>
      <c r="C83" s="18" t="str">
        <f>IF(G83="","",IF(G83="Umum",G83,VLOOKUP(F83,'Data Induk Pegawai'!B:AE,4,FALSE)))</f>
        <v/>
      </c>
      <c r="D83" s="19" t="str">
        <f>IF('REGISTER SK'!A86="","",IF('REGISTER SK'!B86=0,D82,'REGISTER SK'!B86))</f>
        <v/>
      </c>
      <c r="E83" s="19" t="str">
        <f t="shared" si="27"/>
        <v/>
      </c>
      <c r="F83" s="29"/>
      <c r="G83" s="29"/>
      <c r="H83" s="31" t="str">
        <f>IF(F83="","",VLOOKUP(F83,'Data Induk Pegawai'!B:U,2,FALSE))</f>
        <v/>
      </c>
      <c r="I83" s="19" t="str">
        <f>IF('REGISTER SK'!C86="","",'REGISTER SK'!C86)</f>
        <v/>
      </c>
      <c r="J83" s="125"/>
      <c r="K83" s="125"/>
      <c r="L83" s="26" t="str">
        <f>IF('REGISTER SK'!D86="","",'REGISTER SK'!D86)</f>
        <v/>
      </c>
      <c r="M83" s="26" t="str">
        <f>IF('REGISTER SK'!E86="","",'REGISTER SK'!E86)</f>
        <v/>
      </c>
      <c r="N83" s="31" t="str">
        <f>IF(G83="","",IF(OR(G83="GTT",G83="PTT"),"--",VLOOKUP(F83,'Data Induk Pegawai'!B:AE,4,FALSE)))</f>
        <v/>
      </c>
      <c r="O83" s="18" t="s">
        <v>291</v>
      </c>
      <c r="P83" s="31" t="str">
        <f>IF(G83="","",VLOOKUP(F83,'Data Induk Pegawai'!B:AE,7,FALSE))</f>
        <v/>
      </c>
      <c r="Q83" s="30"/>
      <c r="R83" s="26" t="str">
        <f>IF(G83="","","Nomor "&amp;RIGHT(VLOOKUP(F83,'Data Induk Pegawai'!B:AE,12,FALSE),2)&amp;" Tahun "&amp;MID(VLOOKUP(F83,'Data Induk Pegawai'!B:AE,12,FALSE),5,4))</f>
        <v/>
      </c>
      <c r="S83" s="26" t="str">
        <f>IF(G83="","",VLOOKUP(F83,'Data Induk Pegawai'!B:AE,11,FALSE))</f>
        <v/>
      </c>
      <c r="T83" s="57"/>
      <c r="U83" s="18" t="str">
        <f t="shared" si="28"/>
        <v/>
      </c>
      <c r="V83" s="30"/>
      <c r="W83" s="18" t="str">
        <f t="shared" si="29"/>
        <v/>
      </c>
      <c r="X83" s="16"/>
      <c r="Y83" t="str">
        <f t="shared" si="30"/>
        <v/>
      </c>
      <c r="Z83" t="str">
        <f t="shared" si="31"/>
        <v/>
      </c>
      <c r="AA83" t="str">
        <f t="shared" si="32"/>
        <v/>
      </c>
      <c r="AB83" t="str">
        <f>COUNTIFS(AC83:AC$596,AC83)&amp;AC83</f>
        <v>514</v>
      </c>
      <c r="AC83" t="str">
        <f t="shared" si="33"/>
        <v/>
      </c>
      <c r="AD83" t="str">
        <f>COUNTIFS(AC$2:AC83,AC83)&amp;AC83</f>
        <v>82</v>
      </c>
      <c r="AE83" t="str">
        <f t="shared" si="34"/>
        <v/>
      </c>
      <c r="AF83" t="str">
        <f t="shared" si="35"/>
        <v>..</v>
      </c>
      <c r="AG83" s="28" t="str">
        <f t="shared" si="36"/>
        <v/>
      </c>
      <c r="AH83" s="28" t="str">
        <f t="shared" si="37"/>
        <v/>
      </c>
      <c r="AI83" t="str">
        <f t="shared" si="24"/>
        <v/>
      </c>
      <c r="AJ83" t="str">
        <f t="shared" si="38"/>
        <v/>
      </c>
      <c r="AK83" t="str">
        <f t="shared" si="39"/>
        <v/>
      </c>
      <c r="AL83" t="str">
        <f t="shared" si="40"/>
        <v/>
      </c>
      <c r="AM83" t="str">
        <f t="shared" si="25"/>
        <v/>
      </c>
      <c r="AN83" t="str">
        <f t="shared" si="41"/>
        <v/>
      </c>
      <c r="AO83" t="str">
        <f t="shared" si="42"/>
        <v/>
      </c>
      <c r="AP83" t="str">
        <f t="shared" si="43"/>
        <v/>
      </c>
      <c r="AQ83" t="str">
        <f t="shared" si="26"/>
        <v/>
      </c>
      <c r="AR83" t="str">
        <f t="shared" si="44"/>
        <v/>
      </c>
      <c r="AS83" t="str">
        <f t="shared" si="45"/>
        <v/>
      </c>
      <c r="AT83" t="str">
        <f t="shared" si="46"/>
        <v/>
      </c>
      <c r="AU83" s="25" t="str">
        <f t="shared" si="47"/>
        <v/>
      </c>
      <c r="BA83">
        <f>'REGISTER SK'!F86</f>
        <v>0</v>
      </c>
    </row>
    <row r="84" spans="1:53" x14ac:dyDescent="0.35">
      <c r="A84" s="18">
        <v>83</v>
      </c>
      <c r="B84" s="36" t="s">
        <v>379</v>
      </c>
      <c r="C84" s="18" t="str">
        <f>IF(G84="","",IF(G84="Umum",G84,VLOOKUP(F84,'Data Induk Pegawai'!B:AE,4,FALSE)))</f>
        <v/>
      </c>
      <c r="D84" s="19" t="str">
        <f>IF('REGISTER SK'!A87="","",IF('REGISTER SK'!B87=0,D83,'REGISTER SK'!B87))</f>
        <v/>
      </c>
      <c r="E84" s="19" t="str">
        <f t="shared" si="27"/>
        <v/>
      </c>
      <c r="F84" s="29"/>
      <c r="G84" s="29"/>
      <c r="H84" s="31" t="str">
        <f>IF(F84="","",VLOOKUP(F84,'Data Induk Pegawai'!B:U,2,FALSE))</f>
        <v/>
      </c>
      <c r="I84" s="19" t="str">
        <f>IF('REGISTER SK'!C87="","",'REGISTER SK'!C87)</f>
        <v/>
      </c>
      <c r="J84" s="125"/>
      <c r="K84" s="125"/>
      <c r="L84" s="26" t="str">
        <f>IF('REGISTER SK'!D87="","",'REGISTER SK'!D87)</f>
        <v/>
      </c>
      <c r="M84" s="26" t="str">
        <f>IF('REGISTER SK'!E87="","",'REGISTER SK'!E87)</f>
        <v/>
      </c>
      <c r="N84" s="31" t="str">
        <f>IF(G84="","",IF(OR(G84="GTT",G84="PTT"),"--",VLOOKUP(F84,'Data Induk Pegawai'!B:AE,4,FALSE)))</f>
        <v/>
      </c>
      <c r="O84" s="18" t="s">
        <v>293</v>
      </c>
      <c r="P84" s="31" t="str">
        <f>IF(G84="","",VLOOKUP(F84,'Data Induk Pegawai'!B:AE,7,FALSE))</f>
        <v/>
      </c>
      <c r="Q84" s="30"/>
      <c r="R84" s="26" t="str">
        <f>IF(G84="","","Nomor "&amp;RIGHT(VLOOKUP(F84,'Data Induk Pegawai'!B:AE,12,FALSE),2)&amp;" Tahun "&amp;MID(VLOOKUP(F84,'Data Induk Pegawai'!B:AE,12,FALSE),5,4))</f>
        <v/>
      </c>
      <c r="S84" s="26" t="str">
        <f>IF(G84="","",VLOOKUP(F84,'Data Induk Pegawai'!B:AE,11,FALSE))</f>
        <v/>
      </c>
      <c r="T84" s="57"/>
      <c r="U84" s="18" t="str">
        <f t="shared" si="28"/>
        <v/>
      </c>
      <c r="V84" s="30"/>
      <c r="W84" s="18" t="str">
        <f t="shared" si="29"/>
        <v/>
      </c>
      <c r="X84" s="16"/>
      <c r="Y84" t="str">
        <f t="shared" si="30"/>
        <v/>
      </c>
      <c r="Z84" t="str">
        <f t="shared" si="31"/>
        <v/>
      </c>
      <c r="AA84" t="str">
        <f t="shared" si="32"/>
        <v/>
      </c>
      <c r="AB84" t="str">
        <f>COUNTIFS(AC84:AC$596,AC84)&amp;AC84</f>
        <v>513</v>
      </c>
      <c r="AC84" t="str">
        <f t="shared" si="33"/>
        <v/>
      </c>
      <c r="AD84" t="str">
        <f>COUNTIFS(AC$2:AC84,AC84)&amp;AC84</f>
        <v>83</v>
      </c>
      <c r="AE84" t="str">
        <f t="shared" si="34"/>
        <v/>
      </c>
      <c r="AF84" t="str">
        <f t="shared" si="35"/>
        <v>..</v>
      </c>
      <c r="AG84" s="28" t="str">
        <f t="shared" si="36"/>
        <v/>
      </c>
      <c r="AH84" s="28" t="str">
        <f t="shared" si="37"/>
        <v/>
      </c>
      <c r="AI84" t="str">
        <f t="shared" si="24"/>
        <v/>
      </c>
      <c r="AJ84" t="str">
        <f t="shared" si="38"/>
        <v/>
      </c>
      <c r="AK84" t="str">
        <f t="shared" si="39"/>
        <v/>
      </c>
      <c r="AL84" t="str">
        <f t="shared" si="40"/>
        <v/>
      </c>
      <c r="AM84" t="str">
        <f t="shared" si="25"/>
        <v/>
      </c>
      <c r="AN84" t="str">
        <f t="shared" si="41"/>
        <v/>
      </c>
      <c r="AO84" t="str">
        <f t="shared" si="42"/>
        <v/>
      </c>
      <c r="AP84" t="str">
        <f t="shared" si="43"/>
        <v/>
      </c>
      <c r="AQ84" t="str">
        <f t="shared" si="26"/>
        <v/>
      </c>
      <c r="AR84" t="str">
        <f t="shared" si="44"/>
        <v/>
      </c>
      <c r="AS84" t="str">
        <f t="shared" si="45"/>
        <v/>
      </c>
      <c r="AT84" t="str">
        <f t="shared" si="46"/>
        <v/>
      </c>
      <c r="AU84" s="25" t="str">
        <f t="shared" si="47"/>
        <v/>
      </c>
      <c r="BA84">
        <f>'REGISTER SK'!F87</f>
        <v>0</v>
      </c>
    </row>
    <row r="85" spans="1:53" x14ac:dyDescent="0.35">
      <c r="A85" s="18">
        <v>84</v>
      </c>
      <c r="B85" s="36" t="s">
        <v>379</v>
      </c>
      <c r="C85" s="18" t="str">
        <f>IF(G85="","",IF(G85="Umum",G85,VLOOKUP(F85,'Data Induk Pegawai'!B:AE,4,FALSE)))</f>
        <v/>
      </c>
      <c r="D85" s="19" t="str">
        <f>IF('REGISTER SK'!A88="","",IF('REGISTER SK'!B88=0,D84,'REGISTER SK'!B88))</f>
        <v/>
      </c>
      <c r="E85" s="19" t="str">
        <f t="shared" si="27"/>
        <v/>
      </c>
      <c r="F85" s="29"/>
      <c r="G85" s="29"/>
      <c r="H85" s="31" t="str">
        <f>IF(F85="","",VLOOKUP(F85,'Data Induk Pegawai'!B:U,2,FALSE))</f>
        <v/>
      </c>
      <c r="I85" s="19" t="str">
        <f>IF('REGISTER SK'!C88="","",'REGISTER SK'!C88)</f>
        <v/>
      </c>
      <c r="J85" s="125"/>
      <c r="K85" s="125"/>
      <c r="L85" s="26" t="str">
        <f>IF('REGISTER SK'!D88="","",'REGISTER SK'!D88)</f>
        <v/>
      </c>
      <c r="M85" s="26" t="str">
        <f>IF('REGISTER SK'!E88="","",'REGISTER SK'!E88)</f>
        <v/>
      </c>
      <c r="N85" s="31" t="str">
        <f>IF(G85="","",IF(OR(G85="GTT",G85="PTT"),"--",VLOOKUP(F85,'Data Induk Pegawai'!B:AE,4,FALSE)))</f>
        <v/>
      </c>
      <c r="O85" s="18" t="s">
        <v>294</v>
      </c>
      <c r="P85" s="31" t="str">
        <f>IF(G85="","",VLOOKUP(F85,'Data Induk Pegawai'!B:AE,7,FALSE))</f>
        <v/>
      </c>
      <c r="Q85" s="30"/>
      <c r="R85" s="26" t="str">
        <f>IF(G85="","","Nomor "&amp;RIGHT(VLOOKUP(F85,'Data Induk Pegawai'!B:AE,12,FALSE),2)&amp;" Tahun "&amp;MID(VLOOKUP(F85,'Data Induk Pegawai'!B:AE,12,FALSE),5,4))</f>
        <v/>
      </c>
      <c r="S85" s="26" t="str">
        <f>IF(G85="","",VLOOKUP(F85,'Data Induk Pegawai'!B:AE,11,FALSE))</f>
        <v/>
      </c>
      <c r="T85" s="57"/>
      <c r="U85" s="18" t="str">
        <f t="shared" si="28"/>
        <v/>
      </c>
      <c r="V85" s="30"/>
      <c r="W85" s="18" t="str">
        <f t="shared" si="29"/>
        <v/>
      </c>
      <c r="X85" s="16"/>
      <c r="Y85" t="str">
        <f t="shared" si="30"/>
        <v/>
      </c>
      <c r="Z85" t="str">
        <f t="shared" si="31"/>
        <v/>
      </c>
      <c r="AA85" t="str">
        <f t="shared" si="32"/>
        <v/>
      </c>
      <c r="AB85" t="str">
        <f>COUNTIFS(AC85:AC$596,AC85)&amp;AC85</f>
        <v>512</v>
      </c>
      <c r="AC85" t="str">
        <f t="shared" si="33"/>
        <v/>
      </c>
      <c r="AD85" t="str">
        <f>COUNTIFS(AC$2:AC85,AC85)&amp;AC85</f>
        <v>84</v>
      </c>
      <c r="AE85" t="str">
        <f t="shared" si="34"/>
        <v/>
      </c>
      <c r="AF85" t="str">
        <f t="shared" si="35"/>
        <v>..</v>
      </c>
      <c r="AG85" s="28" t="str">
        <f t="shared" si="36"/>
        <v/>
      </c>
      <c r="AH85" s="28" t="str">
        <f t="shared" si="37"/>
        <v/>
      </c>
      <c r="AI85" t="str">
        <f t="shared" si="24"/>
        <v/>
      </c>
      <c r="AJ85" t="str">
        <f t="shared" si="38"/>
        <v/>
      </c>
      <c r="AK85" t="str">
        <f t="shared" si="39"/>
        <v/>
      </c>
      <c r="AL85" t="str">
        <f t="shared" si="40"/>
        <v/>
      </c>
      <c r="AM85" t="str">
        <f t="shared" si="25"/>
        <v/>
      </c>
      <c r="AN85" t="str">
        <f t="shared" si="41"/>
        <v/>
      </c>
      <c r="AO85" t="str">
        <f t="shared" si="42"/>
        <v/>
      </c>
      <c r="AP85" t="str">
        <f t="shared" si="43"/>
        <v/>
      </c>
      <c r="AQ85" t="str">
        <f t="shared" si="26"/>
        <v/>
      </c>
      <c r="AR85" t="str">
        <f t="shared" si="44"/>
        <v/>
      </c>
      <c r="AS85" t="str">
        <f t="shared" si="45"/>
        <v/>
      </c>
      <c r="AT85" t="str">
        <f t="shared" si="46"/>
        <v/>
      </c>
      <c r="AU85" s="25" t="str">
        <f t="shared" si="47"/>
        <v/>
      </c>
      <c r="BA85">
        <f>'REGISTER SK'!F88</f>
        <v>0</v>
      </c>
    </row>
    <row r="86" spans="1:53" x14ac:dyDescent="0.35">
      <c r="A86" s="18">
        <v>85</v>
      </c>
      <c r="B86" s="36" t="s">
        <v>379</v>
      </c>
      <c r="C86" s="18" t="str">
        <f>IF(G86="","",IF(G86="Umum",G86,VLOOKUP(F86,'Data Induk Pegawai'!B:AE,4,FALSE)))</f>
        <v/>
      </c>
      <c r="D86" s="19" t="str">
        <f>IF('REGISTER SK'!A89="","",IF('REGISTER SK'!B89=0,D85,'REGISTER SK'!B89))</f>
        <v/>
      </c>
      <c r="E86" s="19" t="str">
        <f t="shared" si="27"/>
        <v/>
      </c>
      <c r="F86" s="29"/>
      <c r="G86" s="29"/>
      <c r="H86" s="31" t="str">
        <f>IF(F86="","",VLOOKUP(F86,'Data Induk Pegawai'!B:U,2,FALSE))</f>
        <v/>
      </c>
      <c r="I86" s="19" t="str">
        <f>IF('REGISTER SK'!C89="","",'REGISTER SK'!C89)</f>
        <v/>
      </c>
      <c r="J86" s="125"/>
      <c r="K86" s="125"/>
      <c r="L86" s="26" t="str">
        <f>IF('REGISTER SK'!D89="","",'REGISTER SK'!D89)</f>
        <v/>
      </c>
      <c r="M86" s="26" t="str">
        <f>IF('REGISTER SK'!E89="","",'REGISTER SK'!E89)</f>
        <v/>
      </c>
      <c r="N86" s="31" t="str">
        <f>IF(G86="","",IF(OR(G86="GTT",G86="PTT"),"--",VLOOKUP(F86,'Data Induk Pegawai'!B:AE,4,FALSE)))</f>
        <v/>
      </c>
      <c r="O86" s="18" t="s">
        <v>302</v>
      </c>
      <c r="P86" s="31" t="str">
        <f>IF(G86="","",VLOOKUP(F86,'Data Induk Pegawai'!B:AE,7,FALSE))</f>
        <v/>
      </c>
      <c r="Q86" s="30"/>
      <c r="R86" s="26" t="str">
        <f>IF(G86="","","Nomor "&amp;RIGHT(VLOOKUP(F86,'Data Induk Pegawai'!B:AE,12,FALSE),2)&amp;" Tahun "&amp;MID(VLOOKUP(F86,'Data Induk Pegawai'!B:AE,12,FALSE),5,4))</f>
        <v/>
      </c>
      <c r="S86" s="26" t="str">
        <f>IF(G86="","",VLOOKUP(F86,'Data Induk Pegawai'!B:AE,11,FALSE))</f>
        <v/>
      </c>
      <c r="T86" s="57"/>
      <c r="U86" s="18" t="str">
        <f t="shared" si="28"/>
        <v/>
      </c>
      <c r="V86" s="30"/>
      <c r="W86" s="18" t="str">
        <f t="shared" si="29"/>
        <v/>
      </c>
      <c r="X86" s="16"/>
      <c r="Y86" t="str">
        <f t="shared" si="30"/>
        <v/>
      </c>
      <c r="Z86" t="str">
        <f t="shared" si="31"/>
        <v/>
      </c>
      <c r="AA86" t="str">
        <f t="shared" si="32"/>
        <v/>
      </c>
      <c r="AB86" t="str">
        <f>COUNTIFS(AC86:AC$596,AC86)&amp;AC86</f>
        <v>511</v>
      </c>
      <c r="AC86" t="str">
        <f t="shared" si="33"/>
        <v/>
      </c>
      <c r="AD86" t="str">
        <f>COUNTIFS(AC$2:AC86,AC86)&amp;AC86</f>
        <v>85</v>
      </c>
      <c r="AE86" t="str">
        <f t="shared" si="34"/>
        <v/>
      </c>
      <c r="AF86" t="str">
        <f t="shared" si="35"/>
        <v>..</v>
      </c>
      <c r="AG86" s="28" t="str">
        <f t="shared" si="36"/>
        <v/>
      </c>
      <c r="AH86" s="28" t="str">
        <f t="shared" si="37"/>
        <v/>
      </c>
      <c r="AI86" t="str">
        <f t="shared" si="24"/>
        <v/>
      </c>
      <c r="AJ86" t="str">
        <f t="shared" si="38"/>
        <v/>
      </c>
      <c r="AK86" t="str">
        <f t="shared" si="39"/>
        <v/>
      </c>
      <c r="AL86" t="str">
        <f t="shared" si="40"/>
        <v/>
      </c>
      <c r="AM86" t="str">
        <f t="shared" si="25"/>
        <v/>
      </c>
      <c r="AN86" t="str">
        <f t="shared" si="41"/>
        <v/>
      </c>
      <c r="AO86" t="str">
        <f t="shared" si="42"/>
        <v/>
      </c>
      <c r="AP86" t="str">
        <f t="shared" si="43"/>
        <v/>
      </c>
      <c r="AQ86" t="str">
        <f t="shared" si="26"/>
        <v/>
      </c>
      <c r="AR86" t="str">
        <f t="shared" si="44"/>
        <v/>
      </c>
      <c r="AS86" t="str">
        <f t="shared" si="45"/>
        <v/>
      </c>
      <c r="AT86" t="str">
        <f t="shared" si="46"/>
        <v/>
      </c>
      <c r="AU86" s="25" t="str">
        <f t="shared" si="47"/>
        <v/>
      </c>
      <c r="BA86">
        <f>'REGISTER SK'!F89</f>
        <v>0</v>
      </c>
    </row>
    <row r="87" spans="1:53" x14ac:dyDescent="0.35">
      <c r="A87" s="18">
        <v>86</v>
      </c>
      <c r="B87" s="36" t="s">
        <v>379</v>
      </c>
      <c r="C87" s="18" t="str">
        <f>IF(G87="","",IF(G87="Umum",G87,VLOOKUP(F87,'Data Induk Pegawai'!B:AE,4,FALSE)))</f>
        <v/>
      </c>
      <c r="D87" s="19" t="str">
        <f>IF('REGISTER SK'!A90="","",IF('REGISTER SK'!B90=0,D86,'REGISTER SK'!B90))</f>
        <v/>
      </c>
      <c r="E87" s="19" t="str">
        <f t="shared" si="27"/>
        <v/>
      </c>
      <c r="F87" s="29"/>
      <c r="G87" s="29"/>
      <c r="H87" s="31" t="str">
        <f>IF(F87="","",VLOOKUP(F87,'Data Induk Pegawai'!B:U,2,FALSE))</f>
        <v/>
      </c>
      <c r="I87" s="19" t="str">
        <f>IF('REGISTER SK'!C90="","",'REGISTER SK'!C90)</f>
        <v/>
      </c>
      <c r="J87" s="125"/>
      <c r="K87" s="125"/>
      <c r="L87" s="26" t="str">
        <f>IF('REGISTER SK'!D90="","",'REGISTER SK'!D90)</f>
        <v/>
      </c>
      <c r="M87" s="26" t="str">
        <f>IF('REGISTER SK'!E90="","",'REGISTER SK'!E90)</f>
        <v/>
      </c>
      <c r="N87" s="31" t="str">
        <f>IF(G87="","",IF(OR(G87="GTT",G87="PTT"),"--",VLOOKUP(F87,'Data Induk Pegawai'!B:AE,4,FALSE)))</f>
        <v/>
      </c>
      <c r="O87" s="18" t="s">
        <v>301</v>
      </c>
      <c r="P87" s="31" t="str">
        <f>IF(G87="","",VLOOKUP(F87,'Data Induk Pegawai'!B:AE,7,FALSE))</f>
        <v/>
      </c>
      <c r="Q87" s="30"/>
      <c r="R87" s="26" t="str">
        <f>IF(G87="","","Nomor "&amp;RIGHT(VLOOKUP(F87,'Data Induk Pegawai'!B:AE,12,FALSE),2)&amp;" Tahun "&amp;MID(VLOOKUP(F87,'Data Induk Pegawai'!B:AE,12,FALSE),5,4))</f>
        <v/>
      </c>
      <c r="S87" s="26" t="str">
        <f>IF(G87="","",VLOOKUP(F87,'Data Induk Pegawai'!B:AE,11,FALSE))</f>
        <v/>
      </c>
      <c r="T87" s="56"/>
      <c r="U87" s="18" t="str">
        <f t="shared" si="28"/>
        <v/>
      </c>
      <c r="V87" s="30"/>
      <c r="W87" s="18" t="str">
        <f t="shared" si="29"/>
        <v/>
      </c>
      <c r="X87" s="16"/>
      <c r="Y87" t="str">
        <f t="shared" si="30"/>
        <v/>
      </c>
      <c r="Z87" t="str">
        <f t="shared" si="31"/>
        <v/>
      </c>
      <c r="AA87" t="str">
        <f t="shared" si="32"/>
        <v/>
      </c>
      <c r="AB87" t="str">
        <f>COUNTIFS(AC87:AC$596,AC87)&amp;AC87</f>
        <v>510</v>
      </c>
      <c r="AC87" t="str">
        <f t="shared" si="33"/>
        <v/>
      </c>
      <c r="AD87" t="str">
        <f>COUNTIFS(AC$2:AC87,AC87)&amp;AC87</f>
        <v>86</v>
      </c>
      <c r="AE87" t="str">
        <f t="shared" si="34"/>
        <v/>
      </c>
      <c r="AF87" t="str">
        <f t="shared" si="35"/>
        <v>..</v>
      </c>
      <c r="AG87" s="28" t="str">
        <f t="shared" si="36"/>
        <v/>
      </c>
      <c r="AH87" s="28" t="str">
        <f t="shared" si="37"/>
        <v/>
      </c>
      <c r="AI87" t="str">
        <f t="shared" si="24"/>
        <v/>
      </c>
      <c r="AJ87" t="str">
        <f t="shared" si="38"/>
        <v/>
      </c>
      <c r="AK87" t="str">
        <f t="shared" si="39"/>
        <v/>
      </c>
      <c r="AL87" t="str">
        <f t="shared" si="40"/>
        <v/>
      </c>
      <c r="AM87" t="str">
        <f t="shared" si="25"/>
        <v/>
      </c>
      <c r="AN87" t="str">
        <f t="shared" si="41"/>
        <v/>
      </c>
      <c r="AO87" t="str">
        <f t="shared" si="42"/>
        <v/>
      </c>
      <c r="AP87" t="str">
        <f t="shared" si="43"/>
        <v/>
      </c>
      <c r="AQ87" t="str">
        <f t="shared" si="26"/>
        <v/>
      </c>
      <c r="AR87" t="str">
        <f t="shared" si="44"/>
        <v/>
      </c>
      <c r="AS87" t="str">
        <f t="shared" si="45"/>
        <v/>
      </c>
      <c r="AT87" t="str">
        <f t="shared" si="46"/>
        <v/>
      </c>
      <c r="AU87" s="25" t="str">
        <f t="shared" si="47"/>
        <v/>
      </c>
      <c r="BA87">
        <f>'REGISTER SK'!F90</f>
        <v>0</v>
      </c>
    </row>
    <row r="88" spans="1:53" x14ac:dyDescent="0.35">
      <c r="A88" s="18">
        <v>87</v>
      </c>
      <c r="B88" s="36" t="s">
        <v>379</v>
      </c>
      <c r="C88" s="18" t="str">
        <f>IF(G88="","",IF(G88="Umum",G88,VLOOKUP(F88,'Data Induk Pegawai'!B:AE,4,FALSE)))</f>
        <v/>
      </c>
      <c r="D88" s="19" t="str">
        <f>IF('REGISTER SK'!A91="","",IF('REGISTER SK'!B91=0,D87,'REGISTER SK'!B91))</f>
        <v/>
      </c>
      <c r="E88" s="19" t="str">
        <f t="shared" si="27"/>
        <v/>
      </c>
      <c r="F88" s="29"/>
      <c r="G88" s="29"/>
      <c r="H88" s="31" t="str">
        <f>IF(F88="","",VLOOKUP(F88,'Data Induk Pegawai'!B:U,2,FALSE))</f>
        <v/>
      </c>
      <c r="I88" s="19" t="str">
        <f>IF('REGISTER SK'!C91="","",'REGISTER SK'!C91)</f>
        <v/>
      </c>
      <c r="J88" s="125"/>
      <c r="K88" s="125"/>
      <c r="L88" s="26" t="str">
        <f>IF('REGISTER SK'!D91="","",'REGISTER SK'!D91)</f>
        <v/>
      </c>
      <c r="M88" s="26" t="str">
        <f>IF('REGISTER SK'!E91="","",'REGISTER SK'!E91)</f>
        <v/>
      </c>
      <c r="N88" s="31" t="str">
        <f>IF(G88="","",IF(OR(G88="GTT",G88="PTT"),"--",VLOOKUP(F88,'Data Induk Pegawai'!B:AE,4,FALSE)))</f>
        <v/>
      </c>
      <c r="O88" s="18" t="s">
        <v>295</v>
      </c>
      <c r="P88" s="31" t="str">
        <f>IF(G88="","",VLOOKUP(F88,'Data Induk Pegawai'!B:AE,7,FALSE))</f>
        <v/>
      </c>
      <c r="Q88" s="30"/>
      <c r="R88" s="26" t="str">
        <f>IF(G88="","","Nomor "&amp;RIGHT(VLOOKUP(F88,'Data Induk Pegawai'!B:AE,12,FALSE),2)&amp;" Tahun "&amp;MID(VLOOKUP(F88,'Data Induk Pegawai'!B:AE,12,FALSE),5,4))</f>
        <v/>
      </c>
      <c r="S88" s="26" t="str">
        <f>IF(G88="","",VLOOKUP(F88,'Data Induk Pegawai'!B:AE,11,FALSE))</f>
        <v/>
      </c>
      <c r="T88" s="56"/>
      <c r="U88" s="18" t="str">
        <f t="shared" si="28"/>
        <v/>
      </c>
      <c r="V88" s="30"/>
      <c r="W88" s="18" t="str">
        <f t="shared" si="29"/>
        <v/>
      </c>
      <c r="X88" s="16"/>
      <c r="Y88" t="str">
        <f t="shared" si="30"/>
        <v/>
      </c>
      <c r="Z88" t="str">
        <f t="shared" si="31"/>
        <v/>
      </c>
      <c r="AA88" t="str">
        <f t="shared" si="32"/>
        <v/>
      </c>
      <c r="AB88" t="str">
        <f>COUNTIFS(AC88:AC$596,AC88)&amp;AC88</f>
        <v>509</v>
      </c>
      <c r="AC88" t="str">
        <f t="shared" si="33"/>
        <v/>
      </c>
      <c r="AD88" t="str">
        <f>COUNTIFS(AC$2:AC88,AC88)&amp;AC88</f>
        <v>87</v>
      </c>
      <c r="AE88" t="str">
        <f t="shared" si="34"/>
        <v/>
      </c>
      <c r="AF88" t="str">
        <f t="shared" si="35"/>
        <v>..</v>
      </c>
      <c r="AG88" s="28" t="str">
        <f t="shared" si="36"/>
        <v/>
      </c>
      <c r="AH88" s="28" t="str">
        <f t="shared" si="37"/>
        <v/>
      </c>
      <c r="AI88" t="str">
        <f t="shared" si="24"/>
        <v/>
      </c>
      <c r="AJ88" t="str">
        <f t="shared" si="38"/>
        <v/>
      </c>
      <c r="AK88" t="str">
        <f t="shared" si="39"/>
        <v/>
      </c>
      <c r="AL88" t="str">
        <f t="shared" si="40"/>
        <v/>
      </c>
      <c r="AM88" t="str">
        <f t="shared" si="25"/>
        <v/>
      </c>
      <c r="AN88" t="str">
        <f t="shared" si="41"/>
        <v/>
      </c>
      <c r="AO88" t="str">
        <f t="shared" si="42"/>
        <v/>
      </c>
      <c r="AP88" t="str">
        <f t="shared" si="43"/>
        <v/>
      </c>
      <c r="AQ88" t="str">
        <f t="shared" si="26"/>
        <v/>
      </c>
      <c r="AR88" t="str">
        <f t="shared" si="44"/>
        <v/>
      </c>
      <c r="AS88" t="str">
        <f t="shared" si="45"/>
        <v/>
      </c>
      <c r="AT88" t="str">
        <f t="shared" si="46"/>
        <v/>
      </c>
      <c r="AU88" s="25" t="str">
        <f t="shared" si="47"/>
        <v/>
      </c>
      <c r="BA88">
        <f>'REGISTER SK'!F91</f>
        <v>0</v>
      </c>
    </row>
    <row r="89" spans="1:53" x14ac:dyDescent="0.35">
      <c r="A89" s="18">
        <v>88</v>
      </c>
      <c r="B89" s="36" t="s">
        <v>379</v>
      </c>
      <c r="C89" s="18" t="str">
        <f>IF(G89="","",IF(G89="Umum",G89,VLOOKUP(F89,'Data Induk Pegawai'!B:AE,4,FALSE)))</f>
        <v/>
      </c>
      <c r="D89" s="19" t="str">
        <f>IF('REGISTER SK'!A92="","",IF('REGISTER SK'!B92=0,D88,'REGISTER SK'!B92))</f>
        <v/>
      </c>
      <c r="E89" s="19" t="str">
        <f t="shared" si="27"/>
        <v/>
      </c>
      <c r="F89" s="29"/>
      <c r="G89" s="29"/>
      <c r="H89" s="31" t="str">
        <f>IF(F89="","",VLOOKUP(F89,'Data Induk Pegawai'!B:U,2,FALSE))</f>
        <v/>
      </c>
      <c r="I89" s="19" t="str">
        <f>IF('REGISTER SK'!C92="","",'REGISTER SK'!C92)</f>
        <v/>
      </c>
      <c r="J89" s="125"/>
      <c r="K89" s="125"/>
      <c r="L89" s="26" t="str">
        <f>IF('REGISTER SK'!D92="","",'REGISTER SK'!D92)</f>
        <v/>
      </c>
      <c r="M89" s="26" t="str">
        <f>IF('REGISTER SK'!E92="","",'REGISTER SK'!E92)</f>
        <v/>
      </c>
      <c r="N89" s="31" t="str">
        <f>IF(G89="","",IF(OR(G89="GTT",G89="PTT"),"--",VLOOKUP(F89,'Data Induk Pegawai'!B:AE,4,FALSE)))</f>
        <v/>
      </c>
      <c r="O89" s="18" t="s">
        <v>296</v>
      </c>
      <c r="P89" s="31" t="str">
        <f>IF(G89="","",VLOOKUP(F89,'Data Induk Pegawai'!B:AE,7,FALSE))</f>
        <v/>
      </c>
      <c r="Q89" s="30"/>
      <c r="R89" s="26" t="str">
        <f>IF(G89="","","Nomor "&amp;RIGHT(VLOOKUP(F89,'Data Induk Pegawai'!B:AE,12,FALSE),2)&amp;" Tahun "&amp;MID(VLOOKUP(F89,'Data Induk Pegawai'!B:AE,12,FALSE),5,4))</f>
        <v/>
      </c>
      <c r="S89" s="26" t="str">
        <f>IF(G89="","",VLOOKUP(F89,'Data Induk Pegawai'!B:AE,11,FALSE))</f>
        <v/>
      </c>
      <c r="T89" s="56"/>
      <c r="U89" s="18" t="str">
        <f t="shared" si="28"/>
        <v/>
      </c>
      <c r="V89" s="30"/>
      <c r="W89" s="18" t="str">
        <f t="shared" si="29"/>
        <v/>
      </c>
      <c r="X89" s="16"/>
      <c r="Y89" t="str">
        <f t="shared" si="30"/>
        <v/>
      </c>
      <c r="Z89" t="str">
        <f t="shared" si="31"/>
        <v/>
      </c>
      <c r="AA89" t="str">
        <f t="shared" si="32"/>
        <v/>
      </c>
      <c r="AB89" t="str">
        <f>COUNTIFS(AC89:AC$596,AC89)&amp;AC89</f>
        <v>508</v>
      </c>
      <c r="AC89" t="str">
        <f t="shared" si="33"/>
        <v/>
      </c>
      <c r="AD89" t="str">
        <f>COUNTIFS(AC$2:AC89,AC89)&amp;AC89</f>
        <v>88</v>
      </c>
      <c r="AE89" t="str">
        <f t="shared" si="34"/>
        <v/>
      </c>
      <c r="AF89" t="str">
        <f t="shared" si="35"/>
        <v>..</v>
      </c>
      <c r="AG89" s="28" t="str">
        <f t="shared" si="36"/>
        <v/>
      </c>
      <c r="AH89" s="28" t="str">
        <f t="shared" si="37"/>
        <v/>
      </c>
      <c r="AI89" t="str">
        <f t="shared" si="24"/>
        <v/>
      </c>
      <c r="AJ89" t="str">
        <f t="shared" si="38"/>
        <v/>
      </c>
      <c r="AK89" t="str">
        <f t="shared" si="39"/>
        <v/>
      </c>
      <c r="AL89" t="str">
        <f t="shared" si="40"/>
        <v/>
      </c>
      <c r="AM89" t="str">
        <f t="shared" si="25"/>
        <v/>
      </c>
      <c r="AN89" t="str">
        <f t="shared" si="41"/>
        <v/>
      </c>
      <c r="AO89" t="str">
        <f t="shared" si="42"/>
        <v/>
      </c>
      <c r="AP89" t="str">
        <f t="shared" si="43"/>
        <v/>
      </c>
      <c r="AQ89" t="str">
        <f t="shared" si="26"/>
        <v/>
      </c>
      <c r="AR89" t="str">
        <f t="shared" si="44"/>
        <v/>
      </c>
      <c r="AS89" t="str">
        <f t="shared" si="45"/>
        <v/>
      </c>
      <c r="AT89" t="str">
        <f t="shared" si="46"/>
        <v/>
      </c>
      <c r="AU89" s="25" t="str">
        <f t="shared" si="47"/>
        <v/>
      </c>
      <c r="BA89">
        <f>'REGISTER SK'!F92</f>
        <v>0</v>
      </c>
    </row>
    <row r="90" spans="1:53" x14ac:dyDescent="0.35">
      <c r="A90" s="18">
        <v>89</v>
      </c>
      <c r="B90" s="36" t="s">
        <v>379</v>
      </c>
      <c r="C90" s="18" t="str">
        <f>IF(G90="","",IF(G90="Umum",G90,VLOOKUP(F90,'Data Induk Pegawai'!B:AE,4,FALSE)))</f>
        <v/>
      </c>
      <c r="D90" s="19" t="str">
        <f>IF('REGISTER SK'!A93="","",IF('REGISTER SK'!B93=0,D89,'REGISTER SK'!B93))</f>
        <v/>
      </c>
      <c r="E90" s="19" t="str">
        <f t="shared" si="27"/>
        <v/>
      </c>
      <c r="F90" s="29"/>
      <c r="G90" s="29"/>
      <c r="H90" s="31" t="str">
        <f>IF(F90="","",VLOOKUP(F90,'Data Induk Pegawai'!B:U,2,FALSE))</f>
        <v/>
      </c>
      <c r="I90" s="19" t="str">
        <f>IF('REGISTER SK'!C93="","",'REGISTER SK'!C93)</f>
        <v/>
      </c>
      <c r="J90" s="125"/>
      <c r="K90" s="125"/>
      <c r="L90" s="26" t="str">
        <f>IF('REGISTER SK'!D93="","",'REGISTER SK'!D93)</f>
        <v/>
      </c>
      <c r="M90" s="26" t="str">
        <f>IF('REGISTER SK'!E93="","",'REGISTER SK'!E93)</f>
        <v/>
      </c>
      <c r="N90" s="31" t="str">
        <f>IF(G90="","",IF(OR(G90="GTT",G90="PTT"),"--",VLOOKUP(F90,'Data Induk Pegawai'!B:AE,4,FALSE)))</f>
        <v/>
      </c>
      <c r="O90" s="18" t="s">
        <v>297</v>
      </c>
      <c r="P90" s="31" t="str">
        <f>IF(G90="","",VLOOKUP(F90,'Data Induk Pegawai'!B:AE,7,FALSE))</f>
        <v/>
      </c>
      <c r="Q90" s="30"/>
      <c r="R90" s="26" t="str">
        <f>IF(G90="","","Nomor "&amp;RIGHT(VLOOKUP(F90,'Data Induk Pegawai'!B:AE,12,FALSE),2)&amp;" Tahun "&amp;MID(VLOOKUP(F90,'Data Induk Pegawai'!B:AE,12,FALSE),5,4))</f>
        <v/>
      </c>
      <c r="S90" s="26" t="str">
        <f>IF(G90="","",VLOOKUP(F90,'Data Induk Pegawai'!B:AE,11,FALSE))</f>
        <v/>
      </c>
      <c r="T90" s="56"/>
      <c r="U90" s="18" t="str">
        <f t="shared" si="28"/>
        <v/>
      </c>
      <c r="V90" s="30"/>
      <c r="W90" s="18" t="str">
        <f t="shared" si="29"/>
        <v/>
      </c>
      <c r="X90" s="16"/>
      <c r="Y90" t="str">
        <f t="shared" si="30"/>
        <v/>
      </c>
      <c r="Z90" t="str">
        <f t="shared" si="31"/>
        <v/>
      </c>
      <c r="AA90" t="str">
        <f t="shared" si="32"/>
        <v/>
      </c>
      <c r="AB90" t="str">
        <f>COUNTIFS(AC90:AC$596,AC90)&amp;AC90</f>
        <v>507</v>
      </c>
      <c r="AC90" t="str">
        <f t="shared" si="33"/>
        <v/>
      </c>
      <c r="AD90" t="str">
        <f>COUNTIFS(AC$2:AC90,AC90)&amp;AC90</f>
        <v>89</v>
      </c>
      <c r="AE90" t="str">
        <f t="shared" si="34"/>
        <v/>
      </c>
      <c r="AF90" t="str">
        <f t="shared" si="35"/>
        <v>..</v>
      </c>
      <c r="AG90" s="28" t="str">
        <f t="shared" si="36"/>
        <v/>
      </c>
      <c r="AH90" s="28" t="str">
        <f t="shared" si="37"/>
        <v/>
      </c>
      <c r="AI90" t="str">
        <f t="shared" si="24"/>
        <v/>
      </c>
      <c r="AJ90" t="str">
        <f t="shared" si="38"/>
        <v/>
      </c>
      <c r="AK90" t="str">
        <f t="shared" si="39"/>
        <v/>
      </c>
      <c r="AL90" t="str">
        <f t="shared" si="40"/>
        <v/>
      </c>
      <c r="AM90" t="str">
        <f t="shared" si="25"/>
        <v/>
      </c>
      <c r="AN90" t="str">
        <f t="shared" si="41"/>
        <v/>
      </c>
      <c r="AO90" t="str">
        <f t="shared" si="42"/>
        <v/>
      </c>
      <c r="AP90" t="str">
        <f t="shared" si="43"/>
        <v/>
      </c>
      <c r="AQ90" t="str">
        <f t="shared" si="26"/>
        <v/>
      </c>
      <c r="AR90" t="str">
        <f t="shared" si="44"/>
        <v/>
      </c>
      <c r="AS90" t="str">
        <f t="shared" si="45"/>
        <v/>
      </c>
      <c r="AT90" t="str">
        <f t="shared" si="46"/>
        <v/>
      </c>
      <c r="AU90" s="25" t="str">
        <f t="shared" si="47"/>
        <v/>
      </c>
      <c r="BA90">
        <f>'REGISTER SK'!F93</f>
        <v>0</v>
      </c>
    </row>
    <row r="91" spans="1:53" x14ac:dyDescent="0.35">
      <c r="A91" s="18">
        <v>90</v>
      </c>
      <c r="B91" s="36" t="s">
        <v>379</v>
      </c>
      <c r="C91" s="18" t="str">
        <f>IF(G91="","",IF(G91="Umum",G91,VLOOKUP(F91,'Data Induk Pegawai'!B:AE,4,FALSE)))</f>
        <v/>
      </c>
      <c r="D91" s="19" t="str">
        <f>IF('REGISTER SK'!A94="","",IF('REGISTER SK'!B94=0,D90,'REGISTER SK'!B94))</f>
        <v/>
      </c>
      <c r="E91" s="19" t="str">
        <f t="shared" si="27"/>
        <v/>
      </c>
      <c r="F91" s="29"/>
      <c r="G91" s="29"/>
      <c r="H91" s="31" t="str">
        <f>IF(F91="","",VLOOKUP(F91,'Data Induk Pegawai'!B:U,2,FALSE))</f>
        <v/>
      </c>
      <c r="I91" s="19" t="str">
        <f>IF('REGISTER SK'!C94="","",'REGISTER SK'!C94)</f>
        <v/>
      </c>
      <c r="J91" s="125"/>
      <c r="K91" s="125"/>
      <c r="L91" s="26" t="str">
        <f>IF('REGISTER SK'!D94="","",'REGISTER SK'!D94)</f>
        <v/>
      </c>
      <c r="M91" s="26" t="str">
        <f>IF('REGISTER SK'!E94="","",'REGISTER SK'!E94)</f>
        <v/>
      </c>
      <c r="N91" s="31" t="str">
        <f>IF(G91="","",IF(OR(G91="GTT",G91="PTT"),"--",VLOOKUP(F91,'Data Induk Pegawai'!B:AE,4,FALSE)))</f>
        <v/>
      </c>
      <c r="O91" s="18" t="s">
        <v>298</v>
      </c>
      <c r="P91" s="31" t="str">
        <f>IF(G91="","",VLOOKUP(F91,'Data Induk Pegawai'!B:AE,7,FALSE))</f>
        <v/>
      </c>
      <c r="Q91" s="30"/>
      <c r="R91" s="26" t="str">
        <f>IF(G91="","","Nomor "&amp;RIGHT(VLOOKUP(F91,'Data Induk Pegawai'!B:AE,12,FALSE),2)&amp;" Tahun "&amp;MID(VLOOKUP(F91,'Data Induk Pegawai'!B:AE,12,FALSE),5,4))</f>
        <v/>
      </c>
      <c r="S91" s="26" t="str">
        <f>IF(G91="","",VLOOKUP(F91,'Data Induk Pegawai'!B:AE,11,FALSE))</f>
        <v/>
      </c>
      <c r="T91" s="56"/>
      <c r="U91" s="18" t="str">
        <f t="shared" si="28"/>
        <v/>
      </c>
      <c r="V91" s="30"/>
      <c r="W91" s="18" t="str">
        <f t="shared" si="29"/>
        <v/>
      </c>
      <c r="X91" s="16"/>
      <c r="Y91" t="str">
        <f t="shared" si="30"/>
        <v/>
      </c>
      <c r="Z91" t="str">
        <f t="shared" si="31"/>
        <v/>
      </c>
      <c r="AA91" t="str">
        <f t="shared" si="32"/>
        <v/>
      </c>
      <c r="AB91" t="str">
        <f>COUNTIFS(AC91:AC$596,AC91)&amp;AC91</f>
        <v>506</v>
      </c>
      <c r="AC91" t="str">
        <f t="shared" si="33"/>
        <v/>
      </c>
      <c r="AD91" t="str">
        <f>COUNTIFS(AC$2:AC91,AC91)&amp;AC91</f>
        <v>90</v>
      </c>
      <c r="AE91" t="str">
        <f t="shared" si="34"/>
        <v/>
      </c>
      <c r="AF91" t="str">
        <f t="shared" si="35"/>
        <v>..</v>
      </c>
      <c r="AG91" s="28" t="str">
        <f t="shared" si="36"/>
        <v/>
      </c>
      <c r="AH91" s="28" t="str">
        <f t="shared" si="37"/>
        <v/>
      </c>
      <c r="AI91" t="str">
        <f t="shared" si="24"/>
        <v/>
      </c>
      <c r="AJ91" t="str">
        <f t="shared" si="38"/>
        <v/>
      </c>
      <c r="AK91" t="str">
        <f t="shared" si="39"/>
        <v/>
      </c>
      <c r="AL91" t="str">
        <f t="shared" si="40"/>
        <v/>
      </c>
      <c r="AM91" t="str">
        <f t="shared" si="25"/>
        <v/>
      </c>
      <c r="AN91" t="str">
        <f t="shared" si="41"/>
        <v/>
      </c>
      <c r="AO91" t="str">
        <f t="shared" si="42"/>
        <v/>
      </c>
      <c r="AP91" t="str">
        <f t="shared" si="43"/>
        <v/>
      </c>
      <c r="AQ91" t="str">
        <f t="shared" si="26"/>
        <v/>
      </c>
      <c r="AR91" t="str">
        <f t="shared" si="44"/>
        <v/>
      </c>
      <c r="AS91" t="str">
        <f t="shared" si="45"/>
        <v/>
      </c>
      <c r="AT91" t="str">
        <f t="shared" si="46"/>
        <v/>
      </c>
      <c r="AU91" s="25" t="str">
        <f t="shared" si="47"/>
        <v/>
      </c>
      <c r="BA91">
        <f>'REGISTER SK'!F94</f>
        <v>0</v>
      </c>
    </row>
    <row r="92" spans="1:53" x14ac:dyDescent="0.35">
      <c r="A92" s="18">
        <v>91</v>
      </c>
      <c r="B92" s="36" t="s">
        <v>379</v>
      </c>
      <c r="C92" s="18" t="str">
        <f>IF(G92="","",IF(G92="Umum",G92,VLOOKUP(F92,'Data Induk Pegawai'!B:AE,4,FALSE)))</f>
        <v/>
      </c>
      <c r="D92" s="19" t="str">
        <f>IF('REGISTER SK'!A95="","",IF('REGISTER SK'!B95=0,D91,'REGISTER SK'!B95))</f>
        <v/>
      </c>
      <c r="E92" s="19" t="str">
        <f t="shared" si="27"/>
        <v/>
      </c>
      <c r="F92" s="29"/>
      <c r="G92" s="29"/>
      <c r="H92" s="31" t="str">
        <f>IF(F92="","",VLOOKUP(F92,'Data Induk Pegawai'!B:U,2,FALSE))</f>
        <v/>
      </c>
      <c r="I92" s="19" t="str">
        <f>IF('REGISTER SK'!C95="","",'REGISTER SK'!C95)</f>
        <v/>
      </c>
      <c r="J92" s="125"/>
      <c r="K92" s="125"/>
      <c r="L92" s="26" t="str">
        <f>IF('REGISTER SK'!D95="","",'REGISTER SK'!D95)</f>
        <v/>
      </c>
      <c r="M92" s="26" t="str">
        <f>IF('REGISTER SK'!E95="","",'REGISTER SK'!E95)</f>
        <v/>
      </c>
      <c r="N92" s="31" t="str">
        <f>IF(G92="","",IF(OR(G92="GTT",G92="PTT"),"--",VLOOKUP(F92,'Data Induk Pegawai'!B:AE,4,FALSE)))</f>
        <v/>
      </c>
      <c r="O92" s="18" t="s">
        <v>304</v>
      </c>
      <c r="P92" s="31" t="str">
        <f>IF(G92="","",VLOOKUP(F92,'Data Induk Pegawai'!B:AE,7,FALSE))</f>
        <v/>
      </c>
      <c r="Q92" s="30"/>
      <c r="R92" s="26" t="str">
        <f>IF(G92="","","Nomor "&amp;RIGHT(VLOOKUP(F92,'Data Induk Pegawai'!B:AE,12,FALSE),2)&amp;" Tahun "&amp;MID(VLOOKUP(F92,'Data Induk Pegawai'!B:AE,12,FALSE),5,4))</f>
        <v/>
      </c>
      <c r="S92" s="26" t="str">
        <f>IF(G92="","",VLOOKUP(F92,'Data Induk Pegawai'!B:AE,11,FALSE))</f>
        <v/>
      </c>
      <c r="T92" s="56"/>
      <c r="U92" s="18" t="str">
        <f t="shared" si="28"/>
        <v/>
      </c>
      <c r="V92" s="30"/>
      <c r="W92" s="18" t="str">
        <f t="shared" si="29"/>
        <v/>
      </c>
      <c r="X92" s="16"/>
      <c r="Y92" t="str">
        <f t="shared" si="30"/>
        <v/>
      </c>
      <c r="Z92" t="str">
        <f t="shared" si="31"/>
        <v/>
      </c>
      <c r="AA92" t="str">
        <f t="shared" si="32"/>
        <v/>
      </c>
      <c r="AB92" t="str">
        <f>COUNTIFS(AC92:AC$596,AC92)&amp;AC92</f>
        <v>505</v>
      </c>
      <c r="AC92" t="str">
        <f t="shared" si="33"/>
        <v/>
      </c>
      <c r="AD92" t="str">
        <f>COUNTIFS(AC$2:AC92,AC92)&amp;AC92</f>
        <v>91</v>
      </c>
      <c r="AE92" t="str">
        <f t="shared" si="34"/>
        <v/>
      </c>
      <c r="AF92" t="str">
        <f t="shared" si="35"/>
        <v>..</v>
      </c>
      <c r="AG92" s="28" t="str">
        <f t="shared" si="36"/>
        <v/>
      </c>
      <c r="AH92" s="28" t="str">
        <f t="shared" si="37"/>
        <v/>
      </c>
      <c r="AI92" t="str">
        <f t="shared" si="24"/>
        <v/>
      </c>
      <c r="AJ92" t="str">
        <f t="shared" si="38"/>
        <v/>
      </c>
      <c r="AK92" t="str">
        <f t="shared" si="39"/>
        <v/>
      </c>
      <c r="AL92" t="str">
        <f t="shared" si="40"/>
        <v/>
      </c>
      <c r="AM92" t="str">
        <f t="shared" si="25"/>
        <v/>
      </c>
      <c r="AN92" t="str">
        <f t="shared" si="41"/>
        <v/>
      </c>
      <c r="AO92" t="str">
        <f t="shared" si="42"/>
        <v/>
      </c>
      <c r="AP92" t="str">
        <f t="shared" si="43"/>
        <v/>
      </c>
      <c r="AQ92" t="str">
        <f t="shared" si="26"/>
        <v/>
      </c>
      <c r="AR92" t="str">
        <f t="shared" si="44"/>
        <v/>
      </c>
      <c r="AS92" t="str">
        <f t="shared" si="45"/>
        <v/>
      </c>
      <c r="AT92" t="str">
        <f t="shared" si="46"/>
        <v/>
      </c>
      <c r="AU92" s="25" t="str">
        <f t="shared" si="47"/>
        <v/>
      </c>
      <c r="BA92">
        <f>'REGISTER SK'!F95</f>
        <v>0</v>
      </c>
    </row>
    <row r="93" spans="1:53" x14ac:dyDescent="0.35">
      <c r="A93" s="18">
        <v>92</v>
      </c>
      <c r="B93" s="36" t="s">
        <v>379</v>
      </c>
      <c r="C93" s="18" t="str">
        <f>IF(G93="","",IF(G93="Umum",G93,VLOOKUP(F93,'Data Induk Pegawai'!B:AE,4,FALSE)))</f>
        <v/>
      </c>
      <c r="D93" s="19" t="str">
        <f>IF('REGISTER SK'!A96="","",IF('REGISTER SK'!B96=0,D92,'REGISTER SK'!B96))</f>
        <v/>
      </c>
      <c r="E93" s="19" t="str">
        <f t="shared" si="27"/>
        <v/>
      </c>
      <c r="F93" s="29"/>
      <c r="G93" s="29"/>
      <c r="H93" s="31" t="str">
        <f>IF(F93="","",VLOOKUP(F93,'Data Induk Pegawai'!B:U,2,FALSE))</f>
        <v/>
      </c>
      <c r="I93" s="19" t="str">
        <f>IF('REGISTER SK'!C96="","",'REGISTER SK'!C96)</f>
        <v/>
      </c>
      <c r="J93" s="125"/>
      <c r="K93" s="125"/>
      <c r="L93" s="26" t="str">
        <f>IF('REGISTER SK'!D96="","",'REGISTER SK'!D96)</f>
        <v/>
      </c>
      <c r="M93" s="26" t="str">
        <f>IF('REGISTER SK'!E96="","",'REGISTER SK'!E96)</f>
        <v/>
      </c>
      <c r="N93" s="31" t="str">
        <f>IF(G93="","",IF(OR(G93="GTT",G93="PTT"),"--",VLOOKUP(F93,'Data Induk Pegawai'!B:AE,4,FALSE)))</f>
        <v/>
      </c>
      <c r="O93" s="18" t="s">
        <v>303</v>
      </c>
      <c r="P93" s="31" t="str">
        <f>IF(G93="","",VLOOKUP(F93,'Data Induk Pegawai'!B:AE,7,FALSE))</f>
        <v/>
      </c>
      <c r="Q93" s="30"/>
      <c r="R93" s="26" t="str">
        <f>IF(G93="","","Nomor "&amp;RIGHT(VLOOKUP(F93,'Data Induk Pegawai'!B:AE,12,FALSE),2)&amp;" Tahun "&amp;MID(VLOOKUP(F93,'Data Induk Pegawai'!B:AE,12,FALSE),5,4))</f>
        <v/>
      </c>
      <c r="S93" s="26" t="str">
        <f>IF(G93="","",VLOOKUP(F93,'Data Induk Pegawai'!B:AE,11,FALSE))</f>
        <v/>
      </c>
      <c r="T93" s="56"/>
      <c r="U93" s="18" t="str">
        <f t="shared" si="28"/>
        <v/>
      </c>
      <c r="V93" s="30"/>
      <c r="W93" s="18" t="str">
        <f t="shared" si="29"/>
        <v/>
      </c>
      <c r="X93" s="16"/>
      <c r="Y93" t="str">
        <f t="shared" si="30"/>
        <v/>
      </c>
      <c r="Z93" t="str">
        <f t="shared" si="31"/>
        <v/>
      </c>
      <c r="AA93" t="str">
        <f t="shared" si="32"/>
        <v/>
      </c>
      <c r="AB93" t="str">
        <f>COUNTIFS(AC93:AC$596,AC93)&amp;AC93</f>
        <v>504</v>
      </c>
      <c r="AC93" t="str">
        <f t="shared" si="33"/>
        <v/>
      </c>
      <c r="AD93" t="str">
        <f>COUNTIFS(AC$2:AC93,AC93)&amp;AC93</f>
        <v>92</v>
      </c>
      <c r="AE93" t="str">
        <f t="shared" si="34"/>
        <v/>
      </c>
      <c r="AF93" t="str">
        <f t="shared" si="35"/>
        <v>..</v>
      </c>
      <c r="AG93" s="28" t="str">
        <f t="shared" si="36"/>
        <v/>
      </c>
      <c r="AH93" s="28" t="str">
        <f t="shared" si="37"/>
        <v/>
      </c>
      <c r="AI93" t="str">
        <f t="shared" si="24"/>
        <v/>
      </c>
      <c r="AJ93" t="str">
        <f t="shared" si="38"/>
        <v/>
      </c>
      <c r="AK93" t="str">
        <f t="shared" si="39"/>
        <v/>
      </c>
      <c r="AL93" t="str">
        <f t="shared" si="40"/>
        <v/>
      </c>
      <c r="AM93" t="str">
        <f t="shared" si="25"/>
        <v/>
      </c>
      <c r="AN93" t="str">
        <f t="shared" si="41"/>
        <v/>
      </c>
      <c r="AO93" t="str">
        <f t="shared" si="42"/>
        <v/>
      </c>
      <c r="AP93" t="str">
        <f t="shared" si="43"/>
        <v/>
      </c>
      <c r="AQ93" t="str">
        <f t="shared" si="26"/>
        <v/>
      </c>
      <c r="AR93" t="str">
        <f t="shared" si="44"/>
        <v/>
      </c>
      <c r="AS93" t="str">
        <f t="shared" si="45"/>
        <v/>
      </c>
      <c r="AT93" t="str">
        <f t="shared" si="46"/>
        <v/>
      </c>
      <c r="AU93" s="25" t="str">
        <f t="shared" si="47"/>
        <v/>
      </c>
      <c r="BA93">
        <f>'REGISTER SK'!F96</f>
        <v>0</v>
      </c>
    </row>
    <row r="94" spans="1:53" x14ac:dyDescent="0.35">
      <c r="A94" s="18">
        <v>93</v>
      </c>
      <c r="B94" s="36" t="s">
        <v>379</v>
      </c>
      <c r="C94" s="18" t="str">
        <f>IF(G94="","",IF(G94="Umum",G94,VLOOKUP(F94,'Data Induk Pegawai'!B:AE,4,FALSE)))</f>
        <v/>
      </c>
      <c r="D94" s="19" t="str">
        <f>IF('REGISTER SK'!A97="","",IF('REGISTER SK'!B97=0,D93,'REGISTER SK'!B97))</f>
        <v/>
      </c>
      <c r="E94" s="19" t="str">
        <f t="shared" si="27"/>
        <v/>
      </c>
      <c r="F94" s="29"/>
      <c r="G94" s="29"/>
      <c r="H94" s="31" t="str">
        <f>IF(F94="","",VLOOKUP(F94,'Data Induk Pegawai'!B:U,2,FALSE))</f>
        <v/>
      </c>
      <c r="I94" s="19" t="str">
        <f>IF('REGISTER SK'!C97="","",'REGISTER SK'!C97)</f>
        <v/>
      </c>
      <c r="J94" s="125"/>
      <c r="K94" s="125"/>
      <c r="L94" s="26" t="str">
        <f>IF('REGISTER SK'!D97="","",'REGISTER SK'!D97)</f>
        <v/>
      </c>
      <c r="M94" s="26" t="str">
        <f>IF('REGISTER SK'!E97="","",'REGISTER SK'!E97)</f>
        <v/>
      </c>
      <c r="N94" s="31" t="str">
        <f>IF(G94="","",IF(OR(G94="GTT",G94="PTT"),"--",VLOOKUP(F94,'Data Induk Pegawai'!B:AE,4,FALSE)))</f>
        <v/>
      </c>
      <c r="O94" s="18" t="s">
        <v>305</v>
      </c>
      <c r="P94" s="31" t="str">
        <f>IF(G94="","",VLOOKUP(F94,'Data Induk Pegawai'!B:AE,7,FALSE))</f>
        <v/>
      </c>
      <c r="Q94" s="30"/>
      <c r="R94" s="26" t="str">
        <f>IF(G94="","","Nomor "&amp;RIGHT(VLOOKUP(F94,'Data Induk Pegawai'!B:AE,12,FALSE),2)&amp;" Tahun "&amp;MID(VLOOKUP(F94,'Data Induk Pegawai'!B:AE,12,FALSE),5,4))</f>
        <v/>
      </c>
      <c r="S94" s="26" t="str">
        <f>IF(G94="","",VLOOKUP(F94,'Data Induk Pegawai'!B:AE,11,FALSE))</f>
        <v/>
      </c>
      <c r="T94" s="56"/>
      <c r="U94" s="18" t="str">
        <f t="shared" si="28"/>
        <v/>
      </c>
      <c r="V94" s="30"/>
      <c r="W94" s="18" t="str">
        <f t="shared" si="29"/>
        <v/>
      </c>
      <c r="X94" s="16"/>
      <c r="Y94" t="str">
        <f t="shared" si="30"/>
        <v/>
      </c>
      <c r="Z94" t="str">
        <f t="shared" si="31"/>
        <v/>
      </c>
      <c r="AA94" t="str">
        <f t="shared" si="32"/>
        <v/>
      </c>
      <c r="AB94" t="str">
        <f>COUNTIFS(AC94:AC$596,AC94)&amp;AC94</f>
        <v>503</v>
      </c>
      <c r="AC94" t="str">
        <f t="shared" si="33"/>
        <v/>
      </c>
      <c r="AD94" t="str">
        <f>COUNTIFS(AC$2:AC94,AC94)&amp;AC94</f>
        <v>93</v>
      </c>
      <c r="AE94" t="str">
        <f t="shared" si="34"/>
        <v/>
      </c>
      <c r="AF94" t="str">
        <f t="shared" si="35"/>
        <v>..</v>
      </c>
      <c r="AG94" s="28" t="str">
        <f t="shared" si="36"/>
        <v/>
      </c>
      <c r="AH94" s="28" t="str">
        <f t="shared" si="37"/>
        <v/>
      </c>
      <c r="AI94" t="str">
        <f t="shared" si="24"/>
        <v/>
      </c>
      <c r="AJ94" t="str">
        <f t="shared" si="38"/>
        <v/>
      </c>
      <c r="AK94" t="str">
        <f t="shared" si="39"/>
        <v/>
      </c>
      <c r="AL94" t="str">
        <f t="shared" si="40"/>
        <v/>
      </c>
      <c r="AM94" t="str">
        <f t="shared" si="25"/>
        <v/>
      </c>
      <c r="AN94" t="str">
        <f t="shared" si="41"/>
        <v/>
      </c>
      <c r="AO94" t="str">
        <f t="shared" si="42"/>
        <v/>
      </c>
      <c r="AP94" t="str">
        <f t="shared" si="43"/>
        <v/>
      </c>
      <c r="AQ94" t="str">
        <f t="shared" si="26"/>
        <v/>
      </c>
      <c r="AR94" t="str">
        <f t="shared" si="44"/>
        <v/>
      </c>
      <c r="AS94" t="str">
        <f t="shared" si="45"/>
        <v/>
      </c>
      <c r="AT94" t="str">
        <f t="shared" si="46"/>
        <v/>
      </c>
      <c r="AU94" s="25" t="str">
        <f t="shared" si="47"/>
        <v/>
      </c>
      <c r="BA94">
        <f>'REGISTER SK'!F97</f>
        <v>0</v>
      </c>
    </row>
    <row r="95" spans="1:53" x14ac:dyDescent="0.35">
      <c r="A95" s="18">
        <v>94</v>
      </c>
      <c r="B95" s="36" t="s">
        <v>379</v>
      </c>
      <c r="C95" s="18" t="str">
        <f>IF(G95="","",IF(G95="Umum",G95,VLOOKUP(F95,'Data Induk Pegawai'!B:AE,4,FALSE)))</f>
        <v/>
      </c>
      <c r="D95" s="19" t="str">
        <f>IF('REGISTER SK'!A98="","",IF('REGISTER SK'!B98=0,D94,'REGISTER SK'!B98))</f>
        <v/>
      </c>
      <c r="E95" s="19" t="str">
        <f t="shared" si="27"/>
        <v/>
      </c>
      <c r="F95" s="29"/>
      <c r="G95" s="29"/>
      <c r="H95" s="31" t="str">
        <f>IF(F95="","",VLOOKUP(F95,'Data Induk Pegawai'!B:U,2,FALSE))</f>
        <v/>
      </c>
      <c r="I95" s="19" t="str">
        <f>IF('REGISTER SK'!C98="","",'REGISTER SK'!C98)</f>
        <v/>
      </c>
      <c r="J95" s="125"/>
      <c r="K95" s="125"/>
      <c r="L95" s="26" t="str">
        <f>IF('REGISTER SK'!D98="","",'REGISTER SK'!D98)</f>
        <v/>
      </c>
      <c r="M95" s="26" t="str">
        <f>IF('REGISTER SK'!E98="","",'REGISTER SK'!E98)</f>
        <v/>
      </c>
      <c r="N95" s="31" t="str">
        <f>IF(G95="","",IF(OR(G95="GTT",G95="PTT"),"--",VLOOKUP(F95,'Data Induk Pegawai'!B:AE,4,FALSE)))</f>
        <v/>
      </c>
      <c r="O95" s="18" t="s">
        <v>299</v>
      </c>
      <c r="P95" s="31" t="str">
        <f>IF(G95="","",VLOOKUP(F95,'Data Induk Pegawai'!B:AE,7,FALSE))</f>
        <v/>
      </c>
      <c r="Q95" s="30"/>
      <c r="R95" s="26" t="str">
        <f>IF(G95="","","Nomor "&amp;RIGHT(VLOOKUP(F95,'Data Induk Pegawai'!B:AE,12,FALSE),2)&amp;" Tahun "&amp;MID(VLOOKUP(F95,'Data Induk Pegawai'!B:AE,12,FALSE),5,4))</f>
        <v/>
      </c>
      <c r="S95" s="26" t="str">
        <f>IF(G95="","",VLOOKUP(F95,'Data Induk Pegawai'!B:AE,11,FALSE))</f>
        <v/>
      </c>
      <c r="T95" s="56"/>
      <c r="U95" s="18" t="str">
        <f t="shared" si="28"/>
        <v/>
      </c>
      <c r="V95" s="30"/>
      <c r="W95" s="18" t="str">
        <f t="shared" si="29"/>
        <v/>
      </c>
      <c r="X95" s="16"/>
      <c r="Y95" t="str">
        <f t="shared" si="30"/>
        <v/>
      </c>
      <c r="Z95" t="str">
        <f t="shared" si="31"/>
        <v/>
      </c>
      <c r="AA95" t="str">
        <f t="shared" si="32"/>
        <v/>
      </c>
      <c r="AB95" t="str">
        <f>COUNTIFS(AC95:AC$596,AC95)&amp;AC95</f>
        <v>502</v>
      </c>
      <c r="AC95" t="str">
        <f t="shared" si="33"/>
        <v/>
      </c>
      <c r="AD95" t="str">
        <f>COUNTIFS(AC$2:AC95,AC95)&amp;AC95</f>
        <v>94</v>
      </c>
      <c r="AE95" t="str">
        <f t="shared" si="34"/>
        <v/>
      </c>
      <c r="AF95" t="str">
        <f t="shared" si="35"/>
        <v>..</v>
      </c>
      <c r="AG95" s="28" t="str">
        <f t="shared" si="36"/>
        <v/>
      </c>
      <c r="AH95" s="28" t="str">
        <f t="shared" si="37"/>
        <v/>
      </c>
      <c r="AI95" t="str">
        <f t="shared" si="24"/>
        <v/>
      </c>
      <c r="AJ95" t="str">
        <f t="shared" si="38"/>
        <v/>
      </c>
      <c r="AK95" t="str">
        <f t="shared" si="39"/>
        <v/>
      </c>
      <c r="AL95" t="str">
        <f t="shared" si="40"/>
        <v/>
      </c>
      <c r="AM95" t="str">
        <f t="shared" si="25"/>
        <v/>
      </c>
      <c r="AN95" t="str">
        <f t="shared" si="41"/>
        <v/>
      </c>
      <c r="AO95" t="str">
        <f t="shared" si="42"/>
        <v/>
      </c>
      <c r="AP95" t="str">
        <f t="shared" si="43"/>
        <v/>
      </c>
      <c r="AQ95" t="str">
        <f t="shared" si="26"/>
        <v/>
      </c>
      <c r="AR95" t="str">
        <f t="shared" si="44"/>
        <v/>
      </c>
      <c r="AS95" t="str">
        <f t="shared" si="45"/>
        <v/>
      </c>
      <c r="AT95" t="str">
        <f t="shared" si="46"/>
        <v/>
      </c>
      <c r="AU95" s="25" t="str">
        <f t="shared" si="47"/>
        <v/>
      </c>
      <c r="BA95">
        <f>'REGISTER SK'!F98</f>
        <v>0</v>
      </c>
    </row>
    <row r="96" spans="1:53" x14ac:dyDescent="0.35">
      <c r="A96" s="18">
        <v>95</v>
      </c>
      <c r="B96" s="36" t="s">
        <v>379</v>
      </c>
      <c r="C96" s="18" t="str">
        <f>IF(G96="","",IF(G96="Umum",G96,VLOOKUP(F96,'Data Induk Pegawai'!B:AE,4,FALSE)))</f>
        <v/>
      </c>
      <c r="D96" s="19" t="str">
        <f>IF('REGISTER SK'!A99="","",IF('REGISTER SK'!B99=0,D95,'REGISTER SK'!B99))</f>
        <v/>
      </c>
      <c r="E96" s="19" t="str">
        <f t="shared" si="27"/>
        <v/>
      </c>
      <c r="F96" s="29"/>
      <c r="G96" s="29"/>
      <c r="H96" s="31" t="str">
        <f>IF(F96="","",VLOOKUP(F96,'Data Induk Pegawai'!B:U,2,FALSE))</f>
        <v/>
      </c>
      <c r="I96" s="19" t="str">
        <f>IF('REGISTER SK'!C99="","",'REGISTER SK'!C99)</f>
        <v/>
      </c>
      <c r="J96" s="125"/>
      <c r="K96" s="125"/>
      <c r="L96" s="26" t="str">
        <f>IF('REGISTER SK'!D99="","",'REGISTER SK'!D99)</f>
        <v/>
      </c>
      <c r="M96" s="26" t="str">
        <f>IF('REGISTER SK'!E99="","",'REGISTER SK'!E99)</f>
        <v/>
      </c>
      <c r="N96" s="31" t="str">
        <f>IF(G96="","",IF(OR(G96="GTT",G96="PTT"),"--",VLOOKUP(F96,'Data Induk Pegawai'!B:AE,4,FALSE)))</f>
        <v/>
      </c>
      <c r="O96" s="18" t="s">
        <v>300</v>
      </c>
      <c r="P96" s="31" t="str">
        <f>IF(G96="","",VLOOKUP(F96,'Data Induk Pegawai'!B:AE,7,FALSE))</f>
        <v/>
      </c>
      <c r="Q96" s="30"/>
      <c r="R96" s="26" t="str">
        <f>IF(G96="","","Nomor "&amp;RIGHT(VLOOKUP(F96,'Data Induk Pegawai'!B:AE,12,FALSE),2)&amp;" Tahun "&amp;MID(VLOOKUP(F96,'Data Induk Pegawai'!B:AE,12,FALSE),5,4))</f>
        <v/>
      </c>
      <c r="S96" s="26" t="str">
        <f>IF(G96="","",VLOOKUP(F96,'Data Induk Pegawai'!B:AE,11,FALSE))</f>
        <v/>
      </c>
      <c r="T96" s="56"/>
      <c r="U96" s="18" t="str">
        <f t="shared" si="28"/>
        <v/>
      </c>
      <c r="V96" s="30"/>
      <c r="W96" s="18" t="str">
        <f t="shared" si="29"/>
        <v/>
      </c>
      <c r="X96" s="16"/>
      <c r="Y96" t="str">
        <f t="shared" si="30"/>
        <v/>
      </c>
      <c r="Z96" t="str">
        <f t="shared" si="31"/>
        <v/>
      </c>
      <c r="AA96" t="str">
        <f t="shared" si="32"/>
        <v/>
      </c>
      <c r="AB96" t="str">
        <f>COUNTIFS(AC96:AC$596,AC96)&amp;AC96</f>
        <v>501</v>
      </c>
      <c r="AC96" t="str">
        <f t="shared" si="33"/>
        <v/>
      </c>
      <c r="AD96" t="str">
        <f>COUNTIFS(AC$2:AC96,AC96)&amp;AC96</f>
        <v>95</v>
      </c>
      <c r="AE96" t="str">
        <f t="shared" si="34"/>
        <v/>
      </c>
      <c r="AF96" t="str">
        <f t="shared" si="35"/>
        <v>..</v>
      </c>
      <c r="AG96" s="28" t="str">
        <f t="shared" si="36"/>
        <v/>
      </c>
      <c r="AH96" s="28" t="str">
        <f t="shared" si="37"/>
        <v/>
      </c>
      <c r="AI96" t="str">
        <f t="shared" si="24"/>
        <v/>
      </c>
      <c r="AJ96" t="str">
        <f t="shared" si="38"/>
        <v/>
      </c>
      <c r="AK96" t="str">
        <f t="shared" si="39"/>
        <v/>
      </c>
      <c r="AL96" t="str">
        <f t="shared" si="40"/>
        <v/>
      </c>
      <c r="AM96" t="str">
        <f t="shared" si="25"/>
        <v/>
      </c>
      <c r="AN96" t="str">
        <f t="shared" si="41"/>
        <v/>
      </c>
      <c r="AO96" t="str">
        <f t="shared" si="42"/>
        <v/>
      </c>
      <c r="AP96" t="str">
        <f t="shared" si="43"/>
        <v/>
      </c>
      <c r="AQ96" t="str">
        <f t="shared" si="26"/>
        <v/>
      </c>
      <c r="AR96" t="str">
        <f t="shared" si="44"/>
        <v/>
      </c>
      <c r="AS96" t="str">
        <f t="shared" si="45"/>
        <v/>
      </c>
      <c r="AT96" t="str">
        <f t="shared" si="46"/>
        <v/>
      </c>
      <c r="AU96" s="25" t="str">
        <f t="shared" si="47"/>
        <v/>
      </c>
      <c r="BA96">
        <f>'REGISTER SK'!F99</f>
        <v>0</v>
      </c>
    </row>
    <row r="97" spans="1:53" x14ac:dyDescent="0.35">
      <c r="A97" s="18">
        <v>96</v>
      </c>
      <c r="B97" s="36" t="s">
        <v>379</v>
      </c>
      <c r="C97" s="18" t="str">
        <f>IF(G97="","",IF(G97="Umum",G97,VLOOKUP(F97,'Data Induk Pegawai'!B:AE,4,FALSE)))</f>
        <v/>
      </c>
      <c r="D97" s="19" t="str">
        <f>IF('REGISTER SK'!A100="","",IF('REGISTER SK'!B100=0,D96,'REGISTER SK'!B100))</f>
        <v/>
      </c>
      <c r="E97" s="19" t="str">
        <f t="shared" si="27"/>
        <v/>
      </c>
      <c r="F97" s="29"/>
      <c r="G97" s="29"/>
      <c r="H97" s="31" t="str">
        <f>IF(F97="","",VLOOKUP(F97,'Data Induk Pegawai'!B:U,2,FALSE))</f>
        <v/>
      </c>
      <c r="I97" s="19" t="str">
        <f>IF('REGISTER SK'!C100="","",'REGISTER SK'!C100)</f>
        <v/>
      </c>
      <c r="J97" s="125"/>
      <c r="K97" s="125"/>
      <c r="L97" s="26" t="str">
        <f>IF('REGISTER SK'!D100="","",'REGISTER SK'!D100)</f>
        <v/>
      </c>
      <c r="M97" s="26" t="str">
        <f>IF('REGISTER SK'!E100="","",'REGISTER SK'!E100)</f>
        <v/>
      </c>
      <c r="N97" s="31" t="str">
        <f>IF(G97="","",IF(OR(G97="GTT",G97="PTT"),"--",VLOOKUP(F97,'Data Induk Pegawai'!B:AE,4,FALSE)))</f>
        <v/>
      </c>
      <c r="O97" s="18" t="s">
        <v>288</v>
      </c>
      <c r="P97" s="31" t="str">
        <f>IF(G97="","",VLOOKUP(F97,'Data Induk Pegawai'!B:AE,7,FALSE))</f>
        <v/>
      </c>
      <c r="Q97" s="30"/>
      <c r="R97" s="26" t="str">
        <f>IF(G97="","","Nomor "&amp;RIGHT(VLOOKUP(F97,'Data Induk Pegawai'!B:AE,12,FALSE),2)&amp;" Tahun "&amp;MID(VLOOKUP(F97,'Data Induk Pegawai'!B:AE,12,FALSE),5,4))</f>
        <v/>
      </c>
      <c r="S97" s="26" t="str">
        <f>IF(G97="","",VLOOKUP(F97,'Data Induk Pegawai'!B:AE,11,FALSE))</f>
        <v/>
      </c>
      <c r="T97" s="56"/>
      <c r="U97" s="18" t="str">
        <f t="shared" si="28"/>
        <v/>
      </c>
      <c r="V97" s="30"/>
      <c r="W97" s="27" t="str">
        <f t="shared" si="29"/>
        <v/>
      </c>
      <c r="X97" s="16"/>
      <c r="Y97" t="str">
        <f t="shared" si="30"/>
        <v/>
      </c>
      <c r="Z97" t="str">
        <f t="shared" si="31"/>
        <v/>
      </c>
      <c r="AA97" t="str">
        <f t="shared" si="32"/>
        <v/>
      </c>
      <c r="AB97" t="str">
        <f>COUNTIFS(AC97:AC$596,AC97)&amp;AC97</f>
        <v>500</v>
      </c>
      <c r="AC97" t="str">
        <f t="shared" si="33"/>
        <v/>
      </c>
      <c r="AD97" t="str">
        <f>COUNTIFS(AC$2:AC97,AC97)&amp;AC97</f>
        <v>96</v>
      </c>
      <c r="AE97" t="str">
        <f t="shared" si="34"/>
        <v/>
      </c>
      <c r="AF97" t="str">
        <f t="shared" si="35"/>
        <v>..</v>
      </c>
      <c r="AG97" s="28" t="str">
        <f t="shared" si="36"/>
        <v/>
      </c>
      <c r="AH97" s="28" t="str">
        <f t="shared" si="37"/>
        <v/>
      </c>
      <c r="AI97" t="str">
        <f t="shared" si="24"/>
        <v/>
      </c>
      <c r="AJ97" t="str">
        <f t="shared" si="38"/>
        <v/>
      </c>
      <c r="AK97" t="str">
        <f t="shared" si="39"/>
        <v/>
      </c>
      <c r="AL97" t="str">
        <f t="shared" si="40"/>
        <v/>
      </c>
      <c r="AM97" t="str">
        <f t="shared" si="25"/>
        <v/>
      </c>
      <c r="AN97" t="str">
        <f t="shared" si="41"/>
        <v/>
      </c>
      <c r="AO97" t="str">
        <f t="shared" si="42"/>
        <v/>
      </c>
      <c r="AP97" t="str">
        <f t="shared" si="43"/>
        <v/>
      </c>
      <c r="AQ97" t="str">
        <f t="shared" si="26"/>
        <v/>
      </c>
      <c r="AR97" t="str">
        <f t="shared" si="44"/>
        <v/>
      </c>
      <c r="AS97" t="str">
        <f t="shared" si="45"/>
        <v/>
      </c>
      <c r="AT97" t="str">
        <f t="shared" si="46"/>
        <v/>
      </c>
      <c r="AU97" s="25" t="str">
        <f t="shared" si="47"/>
        <v/>
      </c>
      <c r="BA97">
        <f>'REGISTER SK'!F100</f>
        <v>0</v>
      </c>
    </row>
    <row r="98" spans="1:53" x14ac:dyDescent="0.35">
      <c r="A98" s="18">
        <v>97</v>
      </c>
      <c r="B98" s="36" t="s">
        <v>379</v>
      </c>
      <c r="C98" s="18" t="str">
        <f>IF(G98="","",IF(G98="Umum",G98,VLOOKUP(F98,'Data Induk Pegawai'!B:AE,4,FALSE)))</f>
        <v/>
      </c>
      <c r="D98" s="19" t="str">
        <f>IF('REGISTER SK'!A101="","",IF('REGISTER SK'!B101=0,D97,'REGISTER SK'!B101))</f>
        <v/>
      </c>
      <c r="E98" s="19" t="str">
        <f t="shared" si="27"/>
        <v/>
      </c>
      <c r="F98" s="29"/>
      <c r="G98" s="29"/>
      <c r="H98" s="31" t="str">
        <f>IF(F98="","",VLOOKUP(F98,'Data Induk Pegawai'!B:U,2,FALSE))</f>
        <v/>
      </c>
      <c r="I98" s="19" t="str">
        <f>IF('REGISTER SK'!C101="","",'REGISTER SK'!C101)</f>
        <v/>
      </c>
      <c r="J98" s="125"/>
      <c r="K98" s="125"/>
      <c r="L98" s="26" t="str">
        <f>IF('REGISTER SK'!D101="","",'REGISTER SK'!D101)</f>
        <v/>
      </c>
      <c r="M98" s="26" t="str">
        <f>IF('REGISTER SK'!E101="","",'REGISTER SK'!E101)</f>
        <v/>
      </c>
      <c r="N98" s="31" t="str">
        <f>IF(G98="","",IF(OR(G98="GTT",G98="PTT"),"--",VLOOKUP(F98,'Data Induk Pegawai'!B:AE,4,FALSE)))</f>
        <v/>
      </c>
      <c r="O98" s="18" t="s">
        <v>257</v>
      </c>
      <c r="P98" s="31" t="str">
        <f>IF(G98="","",VLOOKUP(F98,'Data Induk Pegawai'!B:AE,7,FALSE))</f>
        <v/>
      </c>
      <c r="Q98" s="30"/>
      <c r="R98" s="26" t="str">
        <f>IF(G98="","","Nomor "&amp;RIGHT(VLOOKUP(F98,'Data Induk Pegawai'!B:AE,12,FALSE),2)&amp;" Tahun "&amp;MID(VLOOKUP(F98,'Data Induk Pegawai'!B:AE,12,FALSE),5,4))</f>
        <v/>
      </c>
      <c r="S98" s="26" t="str">
        <f>IF(G98="","",VLOOKUP(F98,'Data Induk Pegawai'!B:AE,11,FALSE))</f>
        <v/>
      </c>
      <c r="T98" s="56"/>
      <c r="U98" s="18" t="str">
        <f t="shared" si="28"/>
        <v/>
      </c>
      <c r="V98" s="30"/>
      <c r="W98" s="18" t="str">
        <f t="shared" si="29"/>
        <v/>
      </c>
      <c r="X98" s="16"/>
      <c r="Y98" t="str">
        <f t="shared" si="30"/>
        <v/>
      </c>
      <c r="Z98" t="str">
        <f t="shared" si="31"/>
        <v/>
      </c>
      <c r="AA98" t="str">
        <f t="shared" si="32"/>
        <v/>
      </c>
      <c r="AB98" t="str">
        <f>COUNTIFS(AC98:AC$596,AC98)&amp;AC98</f>
        <v>499</v>
      </c>
      <c r="AC98" t="str">
        <f t="shared" si="33"/>
        <v/>
      </c>
      <c r="AD98" t="str">
        <f>COUNTIFS(AC$2:AC98,AC98)&amp;AC98</f>
        <v>97</v>
      </c>
      <c r="AE98" t="str">
        <f t="shared" si="34"/>
        <v/>
      </c>
      <c r="AF98" t="str">
        <f t="shared" si="35"/>
        <v>..</v>
      </c>
      <c r="AG98" s="28" t="str">
        <f t="shared" si="36"/>
        <v/>
      </c>
      <c r="AH98" s="28" t="str">
        <f t="shared" si="37"/>
        <v/>
      </c>
      <c r="AI98" t="str">
        <f t="shared" si="24"/>
        <v/>
      </c>
      <c r="AJ98" t="str">
        <f t="shared" si="38"/>
        <v/>
      </c>
      <c r="AK98" t="str">
        <f t="shared" si="39"/>
        <v/>
      </c>
      <c r="AL98" t="str">
        <f t="shared" si="40"/>
        <v/>
      </c>
      <c r="AM98" t="str">
        <f t="shared" si="25"/>
        <v/>
      </c>
      <c r="AN98" t="str">
        <f t="shared" si="41"/>
        <v/>
      </c>
      <c r="AO98" t="str">
        <f t="shared" si="42"/>
        <v/>
      </c>
      <c r="AP98" t="str">
        <f t="shared" si="43"/>
        <v/>
      </c>
      <c r="AQ98" t="str">
        <f t="shared" si="26"/>
        <v/>
      </c>
      <c r="AR98" t="str">
        <f t="shared" si="44"/>
        <v/>
      </c>
      <c r="AS98" t="str">
        <f t="shared" si="45"/>
        <v/>
      </c>
      <c r="AT98" t="str">
        <f t="shared" si="46"/>
        <v/>
      </c>
      <c r="AU98" s="25" t="str">
        <f t="shared" si="47"/>
        <v/>
      </c>
      <c r="BA98">
        <f>'REGISTER SK'!F101</f>
        <v>0</v>
      </c>
    </row>
    <row r="99" spans="1:53" x14ac:dyDescent="0.35">
      <c r="A99" s="18">
        <v>98</v>
      </c>
      <c r="B99" s="36" t="s">
        <v>379</v>
      </c>
      <c r="C99" s="18" t="str">
        <f>IF(G99="","",IF(G99="Umum",G99,VLOOKUP(F99,'Data Induk Pegawai'!B:AE,4,FALSE)))</f>
        <v/>
      </c>
      <c r="D99" s="19" t="str">
        <f>IF('REGISTER SK'!A102="","",IF('REGISTER SK'!B102=0,D98,'REGISTER SK'!B102))</f>
        <v/>
      </c>
      <c r="E99" s="19" t="str">
        <f t="shared" si="27"/>
        <v/>
      </c>
      <c r="F99" s="29"/>
      <c r="G99" s="29"/>
      <c r="H99" s="31" t="str">
        <f>IF(F99="","",VLOOKUP(F99,'Data Induk Pegawai'!B:U,2,FALSE))</f>
        <v/>
      </c>
      <c r="I99" s="19" t="str">
        <f>IF('REGISTER SK'!C102="","",'REGISTER SK'!C102)</f>
        <v/>
      </c>
      <c r="J99" s="125"/>
      <c r="K99" s="125"/>
      <c r="L99" s="26" t="str">
        <f>IF('REGISTER SK'!D102="","",'REGISTER SK'!D102)</f>
        <v/>
      </c>
      <c r="M99" s="26" t="str">
        <f>IF('REGISTER SK'!E102="","",'REGISTER SK'!E102)</f>
        <v/>
      </c>
      <c r="N99" s="31" t="str">
        <f>IF(G99="","",IF(OR(G99="GTT",G99="PTT"),"--",VLOOKUP(F99,'Data Induk Pegawai'!B:AE,4,FALSE)))</f>
        <v/>
      </c>
      <c r="O99" s="18" t="s">
        <v>264</v>
      </c>
      <c r="P99" s="31" t="str">
        <f>IF(G99="","",VLOOKUP(F99,'Data Induk Pegawai'!B:AE,7,FALSE))</f>
        <v/>
      </c>
      <c r="Q99" s="30"/>
      <c r="R99" s="26" t="str">
        <f>IF(G99="","","Nomor "&amp;RIGHT(VLOOKUP(F99,'Data Induk Pegawai'!B:AE,12,FALSE),2)&amp;" Tahun "&amp;MID(VLOOKUP(F99,'Data Induk Pegawai'!B:AE,12,FALSE),5,4))</f>
        <v/>
      </c>
      <c r="S99" s="26" t="str">
        <f>IF(G99="","",VLOOKUP(F99,'Data Induk Pegawai'!B:AE,11,FALSE))</f>
        <v/>
      </c>
      <c r="T99" s="56"/>
      <c r="U99" s="18" t="str">
        <f t="shared" si="28"/>
        <v/>
      </c>
      <c r="V99" s="30"/>
      <c r="W99" s="18" t="str">
        <f t="shared" si="29"/>
        <v/>
      </c>
      <c r="X99" s="16"/>
      <c r="Y99" t="str">
        <f t="shared" si="30"/>
        <v/>
      </c>
      <c r="Z99" t="str">
        <f t="shared" si="31"/>
        <v/>
      </c>
      <c r="AA99" t="str">
        <f t="shared" si="32"/>
        <v/>
      </c>
      <c r="AB99" t="str">
        <f>COUNTIFS(AC99:AC$596,AC99)&amp;AC99</f>
        <v>498</v>
      </c>
      <c r="AC99" t="str">
        <f t="shared" si="33"/>
        <v/>
      </c>
      <c r="AD99" t="str">
        <f>COUNTIFS(AC$2:AC99,AC99)&amp;AC99</f>
        <v>98</v>
      </c>
      <c r="AE99" t="str">
        <f t="shared" si="34"/>
        <v/>
      </c>
      <c r="AF99" t="str">
        <f t="shared" si="35"/>
        <v>..</v>
      </c>
      <c r="AG99" s="28" t="str">
        <f t="shared" si="36"/>
        <v/>
      </c>
      <c r="AH99" s="28" t="str">
        <f t="shared" si="37"/>
        <v/>
      </c>
      <c r="AI99" t="str">
        <f t="shared" si="24"/>
        <v/>
      </c>
      <c r="AJ99" t="str">
        <f t="shared" si="38"/>
        <v/>
      </c>
      <c r="AK99" t="str">
        <f t="shared" si="39"/>
        <v/>
      </c>
      <c r="AL99" t="str">
        <f t="shared" si="40"/>
        <v/>
      </c>
      <c r="AM99" t="str">
        <f t="shared" si="25"/>
        <v/>
      </c>
      <c r="AN99" t="str">
        <f t="shared" si="41"/>
        <v/>
      </c>
      <c r="AO99" t="str">
        <f t="shared" si="42"/>
        <v/>
      </c>
      <c r="AP99" t="str">
        <f t="shared" si="43"/>
        <v/>
      </c>
      <c r="AQ99" t="str">
        <f t="shared" si="26"/>
        <v/>
      </c>
      <c r="AR99" t="str">
        <f t="shared" si="44"/>
        <v/>
      </c>
      <c r="AS99" t="str">
        <f t="shared" si="45"/>
        <v/>
      </c>
      <c r="AT99" t="str">
        <f t="shared" si="46"/>
        <v/>
      </c>
      <c r="AU99" s="25" t="str">
        <f t="shared" si="47"/>
        <v/>
      </c>
      <c r="BA99">
        <f>'REGISTER SK'!F102</f>
        <v>0</v>
      </c>
    </row>
    <row r="100" spans="1:53" x14ac:dyDescent="0.35">
      <c r="A100" s="18">
        <v>99</v>
      </c>
      <c r="B100" s="36" t="s">
        <v>379</v>
      </c>
      <c r="C100" s="18" t="str">
        <f>IF(G100="","",IF(G100="Umum",G100,VLOOKUP(F100,'Data Induk Pegawai'!B:AE,4,FALSE)))</f>
        <v/>
      </c>
      <c r="D100" s="19" t="str">
        <f>IF('REGISTER SK'!A103="","",IF('REGISTER SK'!B103=0,D99,'REGISTER SK'!B103))</f>
        <v/>
      </c>
      <c r="E100" s="19" t="str">
        <f t="shared" si="27"/>
        <v/>
      </c>
      <c r="F100" s="29"/>
      <c r="G100" s="29"/>
      <c r="H100" s="31" t="str">
        <f>IF(F100="","",VLOOKUP(F100,'Data Induk Pegawai'!B:U,2,FALSE))</f>
        <v/>
      </c>
      <c r="I100" s="19" t="str">
        <f>IF('REGISTER SK'!C103="","",'REGISTER SK'!C103)</f>
        <v/>
      </c>
      <c r="J100" s="125"/>
      <c r="K100" s="125"/>
      <c r="L100" s="26" t="str">
        <f>IF('REGISTER SK'!D103="","",'REGISTER SK'!D103)</f>
        <v/>
      </c>
      <c r="M100" s="26" t="str">
        <f>IF('REGISTER SK'!E103="","",'REGISTER SK'!E103)</f>
        <v/>
      </c>
      <c r="N100" s="31" t="str">
        <f>IF(G100="","",IF(OR(G100="GTT",G100="PTT"),"--",VLOOKUP(F100,'Data Induk Pegawai'!B:AE,4,FALSE)))</f>
        <v/>
      </c>
      <c r="O100" s="18" t="s">
        <v>267</v>
      </c>
      <c r="P100" s="31" t="str">
        <f>IF(G100="","",VLOOKUP(F100,'Data Induk Pegawai'!B:AE,7,FALSE))</f>
        <v/>
      </c>
      <c r="Q100" s="30"/>
      <c r="R100" s="26" t="str">
        <f>IF(G100="","","Nomor "&amp;RIGHT(VLOOKUP(F100,'Data Induk Pegawai'!B:AE,12,FALSE),2)&amp;" Tahun "&amp;MID(VLOOKUP(F100,'Data Induk Pegawai'!B:AE,12,FALSE),5,4))</f>
        <v/>
      </c>
      <c r="S100" s="26" t="str">
        <f>IF(G100="","",VLOOKUP(F100,'Data Induk Pegawai'!B:AE,11,FALSE))</f>
        <v/>
      </c>
      <c r="T100" s="56"/>
      <c r="U100" s="18" t="str">
        <f t="shared" si="28"/>
        <v/>
      </c>
      <c r="V100" s="30"/>
      <c r="W100" s="18" t="str">
        <f t="shared" si="29"/>
        <v/>
      </c>
      <c r="X100" s="16"/>
      <c r="Y100" t="str">
        <f t="shared" si="30"/>
        <v/>
      </c>
      <c r="Z100" t="str">
        <f t="shared" si="31"/>
        <v/>
      </c>
      <c r="AA100" t="str">
        <f t="shared" si="32"/>
        <v/>
      </c>
      <c r="AB100" t="str">
        <f>COUNTIFS(AC100:AC$596,AC100)&amp;AC100</f>
        <v>497</v>
      </c>
      <c r="AC100" t="str">
        <f t="shared" si="33"/>
        <v/>
      </c>
      <c r="AD100" t="str">
        <f>COUNTIFS(AC$2:AC100,AC100)&amp;AC100</f>
        <v>99</v>
      </c>
      <c r="AE100" t="str">
        <f t="shared" si="34"/>
        <v/>
      </c>
      <c r="AF100" t="str">
        <f t="shared" si="35"/>
        <v>..</v>
      </c>
      <c r="AG100" s="28" t="str">
        <f t="shared" si="36"/>
        <v/>
      </c>
      <c r="AH100" s="28" t="str">
        <f t="shared" si="37"/>
        <v/>
      </c>
      <c r="AI100" t="str">
        <f t="shared" si="24"/>
        <v/>
      </c>
      <c r="AJ100" t="str">
        <f t="shared" si="38"/>
        <v/>
      </c>
      <c r="AK100" t="str">
        <f t="shared" si="39"/>
        <v/>
      </c>
      <c r="AL100" t="str">
        <f t="shared" si="40"/>
        <v/>
      </c>
      <c r="AM100" t="str">
        <f t="shared" si="25"/>
        <v/>
      </c>
      <c r="AN100" t="str">
        <f t="shared" si="41"/>
        <v/>
      </c>
      <c r="AO100" t="str">
        <f t="shared" si="42"/>
        <v/>
      </c>
      <c r="AP100" t="str">
        <f t="shared" si="43"/>
        <v/>
      </c>
      <c r="AQ100" t="str">
        <f t="shared" si="26"/>
        <v/>
      </c>
      <c r="AR100" t="str">
        <f t="shared" si="44"/>
        <v/>
      </c>
      <c r="AS100" t="str">
        <f t="shared" si="45"/>
        <v/>
      </c>
      <c r="AT100" t="str">
        <f t="shared" si="46"/>
        <v/>
      </c>
      <c r="AU100" s="25" t="str">
        <f t="shared" si="47"/>
        <v/>
      </c>
      <c r="BA100">
        <f>'REGISTER SK'!F103</f>
        <v>0</v>
      </c>
    </row>
    <row r="101" spans="1:53" x14ac:dyDescent="0.35">
      <c r="A101" s="18">
        <v>100</v>
      </c>
      <c r="B101" s="36" t="s">
        <v>379</v>
      </c>
      <c r="C101" s="18" t="str">
        <f>IF(G101="","",IF(G101="Umum",G101,VLOOKUP(F101,'Data Induk Pegawai'!B:AE,4,FALSE)))</f>
        <v/>
      </c>
      <c r="D101" s="19" t="str">
        <f>IF('REGISTER SK'!A104="","",IF('REGISTER SK'!B104=0,D100,'REGISTER SK'!B104))</f>
        <v/>
      </c>
      <c r="E101" s="19" t="str">
        <f t="shared" si="27"/>
        <v/>
      </c>
      <c r="F101" s="29"/>
      <c r="G101" s="29"/>
      <c r="H101" s="31" t="str">
        <f>IF(F101="","",VLOOKUP(F101,'Data Induk Pegawai'!B:U,2,FALSE))</f>
        <v/>
      </c>
      <c r="I101" s="19" t="str">
        <f>IF('REGISTER SK'!C104="","",'REGISTER SK'!C104)</f>
        <v/>
      </c>
      <c r="J101" s="125"/>
      <c r="K101" s="125"/>
      <c r="L101" s="26" t="str">
        <f>IF('REGISTER SK'!D104="","",'REGISTER SK'!D104)</f>
        <v/>
      </c>
      <c r="M101" s="26" t="str">
        <f>IF('REGISTER SK'!E104="","",'REGISTER SK'!E104)</f>
        <v/>
      </c>
      <c r="N101" s="31" t="str">
        <f>IF(G101="","",IF(OR(G101="GTT",G101="PTT"),"--",VLOOKUP(F101,'Data Induk Pegawai'!B:AE,4,FALSE)))</f>
        <v/>
      </c>
      <c r="O101" s="18" t="s">
        <v>271</v>
      </c>
      <c r="P101" s="31" t="str">
        <f>IF(G101="","",VLOOKUP(F101,'Data Induk Pegawai'!B:AE,7,FALSE))</f>
        <v/>
      </c>
      <c r="Q101" s="30"/>
      <c r="R101" s="26" t="str">
        <f>IF(G101="","","Nomor "&amp;RIGHT(VLOOKUP(F101,'Data Induk Pegawai'!B:AE,12,FALSE),2)&amp;" Tahun "&amp;MID(VLOOKUP(F101,'Data Induk Pegawai'!B:AE,12,FALSE),5,4))</f>
        <v/>
      </c>
      <c r="S101" s="26" t="str">
        <f>IF(G101="","",VLOOKUP(F101,'Data Induk Pegawai'!B:AE,11,FALSE))</f>
        <v/>
      </c>
      <c r="T101" s="56"/>
      <c r="U101" s="18" t="str">
        <f t="shared" si="28"/>
        <v/>
      </c>
      <c r="V101" s="30"/>
      <c r="W101" s="18" t="str">
        <f t="shared" si="29"/>
        <v/>
      </c>
      <c r="X101" s="16"/>
      <c r="Y101" t="str">
        <f t="shared" si="30"/>
        <v/>
      </c>
      <c r="Z101" t="str">
        <f t="shared" si="31"/>
        <v/>
      </c>
      <c r="AA101" t="str">
        <f t="shared" si="32"/>
        <v/>
      </c>
      <c r="AB101" t="str">
        <f>COUNTIFS(AC101:AC$596,AC101)&amp;AC101</f>
        <v>496</v>
      </c>
      <c r="AC101" t="str">
        <f t="shared" si="33"/>
        <v/>
      </c>
      <c r="AD101" t="str">
        <f>COUNTIFS(AC$2:AC101,AC101)&amp;AC101</f>
        <v>100</v>
      </c>
      <c r="AE101" t="str">
        <f t="shared" si="34"/>
        <v/>
      </c>
      <c r="AF101" t="str">
        <f t="shared" si="35"/>
        <v>..</v>
      </c>
      <c r="AG101" s="28" t="str">
        <f t="shared" si="36"/>
        <v/>
      </c>
      <c r="AH101" s="28" t="str">
        <f t="shared" si="37"/>
        <v/>
      </c>
      <c r="AI101" t="str">
        <f t="shared" si="24"/>
        <v/>
      </c>
      <c r="AJ101" t="str">
        <f t="shared" si="38"/>
        <v/>
      </c>
      <c r="AK101" t="str">
        <f t="shared" si="39"/>
        <v/>
      </c>
      <c r="AL101" t="str">
        <f t="shared" si="40"/>
        <v/>
      </c>
      <c r="AM101" t="str">
        <f t="shared" si="25"/>
        <v/>
      </c>
      <c r="AN101" t="str">
        <f t="shared" si="41"/>
        <v/>
      </c>
      <c r="AO101" t="str">
        <f t="shared" si="42"/>
        <v/>
      </c>
      <c r="AP101" t="str">
        <f t="shared" si="43"/>
        <v/>
      </c>
      <c r="AQ101" t="str">
        <f t="shared" si="26"/>
        <v/>
      </c>
      <c r="AR101" t="str">
        <f t="shared" si="44"/>
        <v/>
      </c>
      <c r="AS101" t="str">
        <f t="shared" si="45"/>
        <v/>
      </c>
      <c r="AT101" t="str">
        <f t="shared" si="46"/>
        <v/>
      </c>
      <c r="AU101" s="25" t="str">
        <f t="shared" si="47"/>
        <v/>
      </c>
      <c r="BA101">
        <f>'REGISTER SK'!F104</f>
        <v>0</v>
      </c>
    </row>
    <row r="102" spans="1:53" x14ac:dyDescent="0.35">
      <c r="A102" s="18">
        <v>101</v>
      </c>
      <c r="B102" s="36" t="s">
        <v>379</v>
      </c>
      <c r="C102" s="18" t="str">
        <f>IF(G102="","",IF(G102="Umum",G102,VLOOKUP(F102,'Data Induk Pegawai'!B:AE,4,FALSE)))</f>
        <v/>
      </c>
      <c r="D102" s="19" t="str">
        <f>IF('REGISTER SK'!A105="","",IF('REGISTER SK'!B105=0,D101,'REGISTER SK'!B105))</f>
        <v/>
      </c>
      <c r="E102" s="19" t="str">
        <f t="shared" si="27"/>
        <v/>
      </c>
      <c r="F102" s="29"/>
      <c r="G102" s="29"/>
      <c r="H102" s="31" t="str">
        <f>IF(F102="","",VLOOKUP(F102,'Data Induk Pegawai'!B:U,2,FALSE))</f>
        <v/>
      </c>
      <c r="I102" s="19" t="str">
        <f>IF('REGISTER SK'!C105="","",'REGISTER SK'!C105)</f>
        <v/>
      </c>
      <c r="J102" s="125"/>
      <c r="K102" s="125"/>
      <c r="L102" s="26" t="str">
        <f>IF('REGISTER SK'!D105="","",'REGISTER SK'!D105)</f>
        <v/>
      </c>
      <c r="M102" s="26" t="str">
        <f>IF('REGISTER SK'!E105="","",'REGISTER SK'!E105)</f>
        <v/>
      </c>
      <c r="N102" s="31" t="str">
        <f>IF(G102="","",IF(OR(G102="GTT",G102="PTT"),"--",VLOOKUP(F102,'Data Induk Pegawai'!B:AE,4,FALSE)))</f>
        <v/>
      </c>
      <c r="O102" s="18" t="s">
        <v>273</v>
      </c>
      <c r="P102" s="31" t="str">
        <f>IF(G102="","",VLOOKUP(F102,'Data Induk Pegawai'!B:AE,7,FALSE))</f>
        <v/>
      </c>
      <c r="Q102" s="30"/>
      <c r="R102" s="26" t="str">
        <f>IF(G102="","","Nomor "&amp;RIGHT(VLOOKUP(F102,'Data Induk Pegawai'!B:AE,12,FALSE),2)&amp;" Tahun "&amp;MID(VLOOKUP(F102,'Data Induk Pegawai'!B:AE,12,FALSE),5,4))</f>
        <v/>
      </c>
      <c r="S102" s="26" t="str">
        <f>IF(G102="","",VLOOKUP(F102,'Data Induk Pegawai'!B:AE,11,FALSE))</f>
        <v/>
      </c>
      <c r="T102" s="56"/>
      <c r="U102" s="18" t="str">
        <f t="shared" si="28"/>
        <v/>
      </c>
      <c r="V102" s="30"/>
      <c r="W102" s="18" t="str">
        <f t="shared" si="29"/>
        <v/>
      </c>
      <c r="X102" s="16"/>
      <c r="Y102" t="str">
        <f t="shared" si="30"/>
        <v/>
      </c>
      <c r="Z102" t="str">
        <f t="shared" si="31"/>
        <v/>
      </c>
      <c r="AA102" t="str">
        <f t="shared" si="32"/>
        <v/>
      </c>
      <c r="AB102" t="str">
        <f>COUNTIFS(AC102:AC$596,AC102)&amp;AC102</f>
        <v>495</v>
      </c>
      <c r="AC102" t="str">
        <f t="shared" si="33"/>
        <v/>
      </c>
      <c r="AD102" t="str">
        <f>COUNTIFS(AC$2:AC102,AC102)&amp;AC102</f>
        <v>101</v>
      </c>
      <c r="AE102" t="str">
        <f t="shared" si="34"/>
        <v/>
      </c>
      <c r="AF102" t="str">
        <f t="shared" si="35"/>
        <v>..</v>
      </c>
      <c r="AG102" s="28" t="str">
        <f t="shared" si="36"/>
        <v/>
      </c>
      <c r="AH102" s="28" t="str">
        <f t="shared" si="37"/>
        <v/>
      </c>
      <c r="AI102" t="str">
        <f t="shared" si="24"/>
        <v/>
      </c>
      <c r="AJ102" t="str">
        <f t="shared" si="38"/>
        <v/>
      </c>
      <c r="AK102" t="str">
        <f t="shared" si="39"/>
        <v/>
      </c>
      <c r="AL102" t="str">
        <f t="shared" si="40"/>
        <v/>
      </c>
      <c r="AM102" t="str">
        <f t="shared" si="25"/>
        <v/>
      </c>
      <c r="AN102" t="str">
        <f t="shared" si="41"/>
        <v/>
      </c>
      <c r="AO102" t="str">
        <f t="shared" si="42"/>
        <v/>
      </c>
      <c r="AP102" t="str">
        <f t="shared" si="43"/>
        <v/>
      </c>
      <c r="AQ102" t="str">
        <f t="shared" si="26"/>
        <v/>
      </c>
      <c r="AR102" t="str">
        <f t="shared" si="44"/>
        <v/>
      </c>
      <c r="AS102" t="str">
        <f t="shared" si="45"/>
        <v/>
      </c>
      <c r="AT102" t="str">
        <f t="shared" si="46"/>
        <v/>
      </c>
      <c r="AU102" s="25" t="str">
        <f t="shared" si="47"/>
        <v/>
      </c>
      <c r="BA102">
        <f>'REGISTER SK'!F105</f>
        <v>0</v>
      </c>
    </row>
    <row r="103" spans="1:53" x14ac:dyDescent="0.35">
      <c r="A103" s="18">
        <v>102</v>
      </c>
      <c r="B103" s="36" t="s">
        <v>379</v>
      </c>
      <c r="C103" s="18" t="str">
        <f>IF(G103="","",IF(G103="Umum",G103,VLOOKUP(F103,'Data Induk Pegawai'!B:AE,4,FALSE)))</f>
        <v/>
      </c>
      <c r="D103" s="19" t="str">
        <f>IF('REGISTER SK'!A106="","",IF('REGISTER SK'!B106=0,D102,'REGISTER SK'!B106))</f>
        <v/>
      </c>
      <c r="E103" s="19" t="str">
        <f t="shared" si="27"/>
        <v/>
      </c>
      <c r="F103" s="29"/>
      <c r="G103" s="29"/>
      <c r="H103" s="31" t="str">
        <f>IF(F103="","",VLOOKUP(F103,'Data Induk Pegawai'!B:U,2,FALSE))</f>
        <v/>
      </c>
      <c r="I103" s="19" t="str">
        <f>IF('REGISTER SK'!C106="","",'REGISTER SK'!C106)</f>
        <v/>
      </c>
      <c r="J103" s="125"/>
      <c r="K103" s="125"/>
      <c r="L103" s="26" t="str">
        <f>IF('REGISTER SK'!D106="","",'REGISTER SK'!D106)</f>
        <v/>
      </c>
      <c r="M103" s="26" t="str">
        <f>IF('REGISTER SK'!E106="","",'REGISTER SK'!E106)</f>
        <v/>
      </c>
      <c r="N103" s="31" t="str">
        <f>IF(G103="","",IF(OR(G103="GTT",G103="PTT"),"--",VLOOKUP(F103,'Data Induk Pegawai'!B:AE,4,FALSE)))</f>
        <v/>
      </c>
      <c r="O103" s="18" t="s">
        <v>274</v>
      </c>
      <c r="P103" s="31" t="str">
        <f>IF(G103="","",VLOOKUP(F103,'Data Induk Pegawai'!B:AE,7,FALSE))</f>
        <v/>
      </c>
      <c r="Q103" s="30"/>
      <c r="R103" s="26" t="str">
        <f>IF(G103="","","Nomor "&amp;RIGHT(VLOOKUP(F103,'Data Induk Pegawai'!B:AE,12,FALSE),2)&amp;" Tahun "&amp;MID(VLOOKUP(F103,'Data Induk Pegawai'!B:AE,12,FALSE),5,4))</f>
        <v/>
      </c>
      <c r="S103" s="26" t="str">
        <f>IF(G103="","",VLOOKUP(F103,'Data Induk Pegawai'!B:AE,11,FALSE))</f>
        <v/>
      </c>
      <c r="T103" s="56"/>
      <c r="U103" s="18" t="str">
        <f t="shared" si="28"/>
        <v/>
      </c>
      <c r="V103" s="30"/>
      <c r="W103" s="18" t="str">
        <f t="shared" si="29"/>
        <v/>
      </c>
      <c r="X103" s="16"/>
      <c r="Y103" t="str">
        <f t="shared" si="30"/>
        <v/>
      </c>
      <c r="Z103" t="str">
        <f t="shared" si="31"/>
        <v/>
      </c>
      <c r="AA103" t="str">
        <f t="shared" si="32"/>
        <v/>
      </c>
      <c r="AB103" t="str">
        <f>COUNTIFS(AC103:AC$596,AC103)&amp;AC103</f>
        <v>494</v>
      </c>
      <c r="AC103" t="str">
        <f t="shared" si="33"/>
        <v/>
      </c>
      <c r="AD103" t="str">
        <f>COUNTIFS(AC$2:AC103,AC103)&amp;AC103</f>
        <v>102</v>
      </c>
      <c r="AE103" t="str">
        <f t="shared" si="34"/>
        <v/>
      </c>
      <c r="AF103" t="str">
        <f t="shared" si="35"/>
        <v>..</v>
      </c>
      <c r="AG103" s="28" t="str">
        <f t="shared" si="36"/>
        <v/>
      </c>
      <c r="AH103" s="28" t="str">
        <f t="shared" si="37"/>
        <v/>
      </c>
      <c r="AI103" t="str">
        <f t="shared" si="24"/>
        <v/>
      </c>
      <c r="AJ103" t="str">
        <f t="shared" si="38"/>
        <v/>
      </c>
      <c r="AK103" t="str">
        <f t="shared" si="39"/>
        <v/>
      </c>
      <c r="AL103" t="str">
        <f t="shared" si="40"/>
        <v/>
      </c>
      <c r="AM103" t="str">
        <f t="shared" si="25"/>
        <v/>
      </c>
      <c r="AN103" t="str">
        <f t="shared" si="41"/>
        <v/>
      </c>
      <c r="AO103" t="str">
        <f t="shared" si="42"/>
        <v/>
      </c>
      <c r="AP103" t="str">
        <f t="shared" si="43"/>
        <v/>
      </c>
      <c r="AQ103" t="str">
        <f t="shared" si="26"/>
        <v/>
      </c>
      <c r="AR103" t="str">
        <f t="shared" si="44"/>
        <v/>
      </c>
      <c r="AS103" t="str">
        <f t="shared" si="45"/>
        <v/>
      </c>
      <c r="AT103" t="str">
        <f t="shared" si="46"/>
        <v/>
      </c>
      <c r="AU103" s="25" t="str">
        <f t="shared" si="47"/>
        <v/>
      </c>
      <c r="BA103">
        <f>'REGISTER SK'!F106</f>
        <v>0</v>
      </c>
    </row>
    <row r="104" spans="1:53" x14ac:dyDescent="0.35">
      <c r="A104" s="18">
        <v>103</v>
      </c>
      <c r="B104" s="36" t="s">
        <v>379</v>
      </c>
      <c r="C104" s="18" t="str">
        <f>IF(G104="","",IF(G104="Umum",G104,VLOOKUP(F104,'Data Induk Pegawai'!B:AE,4,FALSE)))</f>
        <v/>
      </c>
      <c r="D104" s="19" t="str">
        <f>IF('REGISTER SK'!A107="","",IF('REGISTER SK'!B107=0,D103,'REGISTER SK'!B107))</f>
        <v/>
      </c>
      <c r="E104" s="19" t="str">
        <f t="shared" si="27"/>
        <v/>
      </c>
      <c r="F104" s="29"/>
      <c r="G104" s="29"/>
      <c r="H104" s="31" t="str">
        <f>IF(F104="","",VLOOKUP(F104,'Data Induk Pegawai'!B:U,2,FALSE))</f>
        <v/>
      </c>
      <c r="I104" s="19" t="str">
        <f>IF('REGISTER SK'!C107="","",'REGISTER SK'!C107)</f>
        <v/>
      </c>
      <c r="J104" s="125"/>
      <c r="K104" s="125"/>
      <c r="L104" s="26" t="str">
        <f>IF('REGISTER SK'!D107="","",'REGISTER SK'!D107)</f>
        <v/>
      </c>
      <c r="M104" s="26" t="str">
        <f>IF('REGISTER SK'!E107="","",'REGISTER SK'!E107)</f>
        <v/>
      </c>
      <c r="N104" s="31" t="str">
        <f>IF(G104="","",IF(OR(G104="GTT",G104="PTT"),"--",VLOOKUP(F104,'Data Induk Pegawai'!B:AE,4,FALSE)))</f>
        <v/>
      </c>
      <c r="O104" s="18" t="s">
        <v>275</v>
      </c>
      <c r="P104" s="31" t="str">
        <f>IF(G104="","",VLOOKUP(F104,'Data Induk Pegawai'!B:AE,7,FALSE))</f>
        <v/>
      </c>
      <c r="Q104" s="30"/>
      <c r="R104" s="26" t="str">
        <f>IF(G104="","","Nomor "&amp;RIGHT(VLOOKUP(F104,'Data Induk Pegawai'!B:AE,12,FALSE),2)&amp;" Tahun "&amp;MID(VLOOKUP(F104,'Data Induk Pegawai'!B:AE,12,FALSE),5,4))</f>
        <v/>
      </c>
      <c r="S104" s="26" t="str">
        <f>IF(G104="","",VLOOKUP(F104,'Data Induk Pegawai'!B:AE,11,FALSE))</f>
        <v/>
      </c>
      <c r="T104" s="56"/>
      <c r="U104" s="18" t="str">
        <f t="shared" si="28"/>
        <v/>
      </c>
      <c r="V104" s="30"/>
      <c r="W104" s="18" t="str">
        <f t="shared" si="29"/>
        <v/>
      </c>
      <c r="X104" s="16"/>
      <c r="Y104" t="str">
        <f t="shared" si="30"/>
        <v/>
      </c>
      <c r="Z104" t="str">
        <f t="shared" si="31"/>
        <v/>
      </c>
      <c r="AA104" t="str">
        <f t="shared" si="32"/>
        <v/>
      </c>
      <c r="AB104" t="str">
        <f>COUNTIFS(AC104:AC$596,AC104)&amp;AC104</f>
        <v>493</v>
      </c>
      <c r="AC104" t="str">
        <f t="shared" si="33"/>
        <v/>
      </c>
      <c r="AD104" t="str">
        <f>COUNTIFS(AC$2:AC104,AC104)&amp;AC104</f>
        <v>103</v>
      </c>
      <c r="AE104" t="str">
        <f t="shared" si="34"/>
        <v/>
      </c>
      <c r="AF104" t="str">
        <f t="shared" si="35"/>
        <v>..</v>
      </c>
      <c r="AG104" s="28" t="str">
        <f t="shared" si="36"/>
        <v/>
      </c>
      <c r="AH104" s="28" t="str">
        <f t="shared" si="37"/>
        <v/>
      </c>
      <c r="AI104" t="str">
        <f t="shared" si="24"/>
        <v/>
      </c>
      <c r="AJ104" t="str">
        <f t="shared" si="38"/>
        <v/>
      </c>
      <c r="AK104" t="str">
        <f t="shared" si="39"/>
        <v/>
      </c>
      <c r="AL104" t="str">
        <f t="shared" si="40"/>
        <v/>
      </c>
      <c r="AM104" t="str">
        <f t="shared" si="25"/>
        <v/>
      </c>
      <c r="AN104" t="str">
        <f t="shared" si="41"/>
        <v/>
      </c>
      <c r="AO104" t="str">
        <f t="shared" si="42"/>
        <v/>
      </c>
      <c r="AP104" t="str">
        <f t="shared" si="43"/>
        <v/>
      </c>
      <c r="AQ104" t="str">
        <f t="shared" si="26"/>
        <v/>
      </c>
      <c r="AR104" t="str">
        <f t="shared" si="44"/>
        <v/>
      </c>
      <c r="AS104" t="str">
        <f t="shared" si="45"/>
        <v/>
      </c>
      <c r="AT104" t="str">
        <f t="shared" si="46"/>
        <v/>
      </c>
      <c r="AU104" s="25" t="str">
        <f t="shared" si="47"/>
        <v/>
      </c>
      <c r="BA104">
        <f>'REGISTER SK'!F107</f>
        <v>0</v>
      </c>
    </row>
    <row r="105" spans="1:53" x14ac:dyDescent="0.35">
      <c r="A105" s="18">
        <v>104</v>
      </c>
      <c r="B105" s="36" t="s">
        <v>379</v>
      </c>
      <c r="C105" s="18" t="str">
        <f>IF(G105="","",IF(G105="Umum",G105,VLOOKUP(F105,'Data Induk Pegawai'!B:AE,4,FALSE)))</f>
        <v/>
      </c>
      <c r="D105" s="19" t="str">
        <f>IF('REGISTER SK'!A108="","",IF('REGISTER SK'!B108=0,D104,'REGISTER SK'!B108))</f>
        <v/>
      </c>
      <c r="E105" s="19" t="str">
        <f t="shared" si="27"/>
        <v/>
      </c>
      <c r="F105" s="29"/>
      <c r="G105" s="29"/>
      <c r="H105" s="31" t="str">
        <f>IF(F105="","",VLOOKUP(F105,'Data Induk Pegawai'!B:U,2,FALSE))</f>
        <v/>
      </c>
      <c r="I105" s="19" t="str">
        <f>IF('REGISTER SK'!C108="","",'REGISTER SK'!C108)</f>
        <v/>
      </c>
      <c r="J105" s="125"/>
      <c r="K105" s="125"/>
      <c r="L105" s="26" t="str">
        <f>IF('REGISTER SK'!D108="","",'REGISTER SK'!D108)</f>
        <v/>
      </c>
      <c r="M105" s="26" t="str">
        <f>IF('REGISTER SK'!E108="","",'REGISTER SK'!E108)</f>
        <v/>
      </c>
      <c r="N105" s="31" t="str">
        <f>IF(G105="","",IF(OR(G105="GTT",G105="PTT"),"--",VLOOKUP(F105,'Data Induk Pegawai'!B:AE,4,FALSE)))</f>
        <v/>
      </c>
      <c r="O105" s="18" t="s">
        <v>500</v>
      </c>
      <c r="P105" s="31" t="str">
        <f>IF(G105="","",VLOOKUP(F105,'Data Induk Pegawai'!B:AE,7,FALSE))</f>
        <v/>
      </c>
      <c r="Q105" s="30"/>
      <c r="R105" s="26" t="str">
        <f>IF(G105="","","Nomor "&amp;RIGHT(VLOOKUP(F105,'Data Induk Pegawai'!B:AE,12,FALSE),2)&amp;" Tahun "&amp;MID(VLOOKUP(F105,'Data Induk Pegawai'!B:AE,12,FALSE),5,4))</f>
        <v/>
      </c>
      <c r="S105" s="26" t="str">
        <f>IF(G105="","",VLOOKUP(F105,'Data Induk Pegawai'!B:AE,11,FALSE))</f>
        <v/>
      </c>
      <c r="T105" s="56"/>
      <c r="U105" s="18" t="str">
        <f t="shared" si="28"/>
        <v/>
      </c>
      <c r="V105" s="30"/>
      <c r="W105" s="18" t="str">
        <f t="shared" si="29"/>
        <v/>
      </c>
      <c r="X105" s="16"/>
      <c r="Y105" t="str">
        <f t="shared" si="30"/>
        <v/>
      </c>
      <c r="Z105" t="str">
        <f t="shared" si="31"/>
        <v/>
      </c>
      <c r="AA105" t="str">
        <f t="shared" si="32"/>
        <v/>
      </c>
      <c r="AB105" t="str">
        <f>COUNTIFS(AC105:AC$596,AC105)&amp;AC105</f>
        <v>492</v>
      </c>
      <c r="AC105" t="str">
        <f t="shared" si="33"/>
        <v/>
      </c>
      <c r="AD105" t="str">
        <f>COUNTIFS(AC$2:AC105,AC105)&amp;AC105</f>
        <v>104</v>
      </c>
      <c r="AE105" t="str">
        <f t="shared" si="34"/>
        <v/>
      </c>
      <c r="AF105" t="str">
        <f t="shared" si="35"/>
        <v>..</v>
      </c>
      <c r="AG105" s="28" t="str">
        <f t="shared" si="36"/>
        <v/>
      </c>
      <c r="AH105" s="28" t="str">
        <f t="shared" si="37"/>
        <v/>
      </c>
      <c r="AI105" t="str">
        <f t="shared" si="24"/>
        <v/>
      </c>
      <c r="AJ105" t="str">
        <f t="shared" si="38"/>
        <v/>
      </c>
      <c r="AK105" t="str">
        <f t="shared" si="39"/>
        <v/>
      </c>
      <c r="AL105" t="str">
        <f t="shared" si="40"/>
        <v/>
      </c>
      <c r="AM105" t="str">
        <f t="shared" si="25"/>
        <v/>
      </c>
      <c r="AN105" t="str">
        <f t="shared" si="41"/>
        <v/>
      </c>
      <c r="AO105" t="str">
        <f t="shared" si="42"/>
        <v/>
      </c>
      <c r="AP105" t="str">
        <f t="shared" si="43"/>
        <v/>
      </c>
      <c r="AQ105" t="str">
        <f t="shared" si="26"/>
        <v/>
      </c>
      <c r="AR105" t="str">
        <f t="shared" si="44"/>
        <v/>
      </c>
      <c r="AS105" t="str">
        <f t="shared" si="45"/>
        <v/>
      </c>
      <c r="AT105" t="str">
        <f t="shared" si="46"/>
        <v/>
      </c>
      <c r="AU105" s="25" t="str">
        <f t="shared" si="47"/>
        <v/>
      </c>
      <c r="BA105">
        <f>'REGISTER SK'!F108</f>
        <v>0</v>
      </c>
    </row>
    <row r="106" spans="1:53" x14ac:dyDescent="0.35">
      <c r="A106" s="18">
        <v>105</v>
      </c>
      <c r="B106" s="36" t="s">
        <v>379</v>
      </c>
      <c r="C106" s="18" t="str">
        <f>IF(G106="","",IF(G106="Umum",G106,VLOOKUP(F106,'Data Induk Pegawai'!B:AE,4,FALSE)))</f>
        <v/>
      </c>
      <c r="D106" s="19" t="str">
        <f>IF('REGISTER SK'!A109="","",IF('REGISTER SK'!B109=0,D105,'REGISTER SK'!B109))</f>
        <v/>
      </c>
      <c r="E106" s="19" t="str">
        <f t="shared" si="27"/>
        <v/>
      </c>
      <c r="F106" s="29"/>
      <c r="G106" s="29"/>
      <c r="H106" s="31" t="str">
        <f>IF(F106="","",VLOOKUP(F106,'Data Induk Pegawai'!B:U,2,FALSE))</f>
        <v/>
      </c>
      <c r="I106" s="19" t="str">
        <f>IF('REGISTER SK'!C109="","",'REGISTER SK'!C109)</f>
        <v/>
      </c>
      <c r="J106" s="125"/>
      <c r="K106" s="125"/>
      <c r="L106" s="26" t="str">
        <f>IF('REGISTER SK'!D109="","",'REGISTER SK'!D109)</f>
        <v/>
      </c>
      <c r="M106" s="26" t="str">
        <f>IF('REGISTER SK'!E109="","",'REGISTER SK'!E109)</f>
        <v/>
      </c>
      <c r="N106" s="31" t="str">
        <f>IF(G106="","",IF(OR(G106="GTT",G106="PTT"),"--",VLOOKUP(F106,'Data Induk Pegawai'!B:AE,4,FALSE)))</f>
        <v/>
      </c>
      <c r="O106" s="18" t="s">
        <v>277</v>
      </c>
      <c r="P106" s="31" t="str">
        <f>IF(G106="","",VLOOKUP(F106,'Data Induk Pegawai'!B:AE,7,FALSE))</f>
        <v/>
      </c>
      <c r="Q106" s="30"/>
      <c r="R106" s="26" t="str">
        <f>IF(G106="","","Nomor "&amp;RIGHT(VLOOKUP(F106,'Data Induk Pegawai'!B:AE,12,FALSE),2)&amp;" Tahun "&amp;MID(VLOOKUP(F106,'Data Induk Pegawai'!B:AE,12,FALSE),5,4))</f>
        <v/>
      </c>
      <c r="S106" s="26" t="str">
        <f>IF(G106="","",VLOOKUP(F106,'Data Induk Pegawai'!B:AE,11,FALSE))</f>
        <v/>
      </c>
      <c r="T106" s="56"/>
      <c r="U106" s="18" t="str">
        <f t="shared" si="28"/>
        <v/>
      </c>
      <c r="V106" s="30"/>
      <c r="W106" s="18" t="str">
        <f t="shared" si="29"/>
        <v/>
      </c>
      <c r="X106" s="16"/>
      <c r="Y106" t="str">
        <f t="shared" si="30"/>
        <v/>
      </c>
      <c r="Z106" t="str">
        <f t="shared" si="31"/>
        <v/>
      </c>
      <c r="AA106" t="str">
        <f t="shared" si="32"/>
        <v/>
      </c>
      <c r="AB106" t="str">
        <f>COUNTIFS(AC106:AC$596,AC106)&amp;AC106</f>
        <v>491</v>
      </c>
      <c r="AC106" t="str">
        <f t="shared" si="33"/>
        <v/>
      </c>
      <c r="AD106" t="str">
        <f>COUNTIFS(AC$2:AC106,AC106)&amp;AC106</f>
        <v>105</v>
      </c>
      <c r="AE106" t="str">
        <f t="shared" si="34"/>
        <v/>
      </c>
      <c r="AF106" t="str">
        <f t="shared" si="35"/>
        <v>..</v>
      </c>
      <c r="AG106" s="28" t="str">
        <f t="shared" si="36"/>
        <v/>
      </c>
      <c r="AH106" s="28" t="str">
        <f t="shared" si="37"/>
        <v/>
      </c>
      <c r="AI106" t="str">
        <f t="shared" si="24"/>
        <v/>
      </c>
      <c r="AJ106" t="str">
        <f t="shared" si="38"/>
        <v/>
      </c>
      <c r="AK106" t="str">
        <f t="shared" si="39"/>
        <v/>
      </c>
      <c r="AL106" t="str">
        <f t="shared" si="40"/>
        <v/>
      </c>
      <c r="AM106" t="str">
        <f t="shared" si="25"/>
        <v/>
      </c>
      <c r="AN106" t="str">
        <f t="shared" si="41"/>
        <v/>
      </c>
      <c r="AO106" t="str">
        <f t="shared" si="42"/>
        <v/>
      </c>
      <c r="AP106" t="str">
        <f t="shared" si="43"/>
        <v/>
      </c>
      <c r="AQ106" t="str">
        <f t="shared" si="26"/>
        <v/>
      </c>
      <c r="AR106" t="str">
        <f t="shared" si="44"/>
        <v/>
      </c>
      <c r="AS106" t="str">
        <f t="shared" si="45"/>
        <v/>
      </c>
      <c r="AT106" t="str">
        <f t="shared" si="46"/>
        <v/>
      </c>
      <c r="AU106" s="25" t="str">
        <f t="shared" si="47"/>
        <v/>
      </c>
      <c r="BA106">
        <f>'REGISTER SK'!F109</f>
        <v>0</v>
      </c>
    </row>
    <row r="107" spans="1:53" x14ac:dyDescent="0.35">
      <c r="A107" s="18">
        <v>106</v>
      </c>
      <c r="B107" s="36" t="s">
        <v>379</v>
      </c>
      <c r="C107" s="18" t="str">
        <f>IF(G107="","",IF(G107="Umum",G107,VLOOKUP(F107,'Data Induk Pegawai'!B:AE,4,FALSE)))</f>
        <v/>
      </c>
      <c r="D107" s="19" t="str">
        <f>IF('REGISTER SK'!A110="","",IF('REGISTER SK'!B110=0,D106,'REGISTER SK'!B110))</f>
        <v/>
      </c>
      <c r="E107" s="19" t="str">
        <f t="shared" si="27"/>
        <v/>
      </c>
      <c r="F107" s="29"/>
      <c r="G107" s="29"/>
      <c r="H107" s="31" t="str">
        <f>IF(F107="","",VLOOKUP(F107,'Data Induk Pegawai'!B:U,2,FALSE))</f>
        <v/>
      </c>
      <c r="I107" s="19" t="str">
        <f>IF('REGISTER SK'!C110="","",'REGISTER SK'!C110)</f>
        <v/>
      </c>
      <c r="J107" s="125"/>
      <c r="K107" s="125"/>
      <c r="L107" s="26" t="str">
        <f>IF('REGISTER SK'!D110="","",'REGISTER SK'!D110)</f>
        <v/>
      </c>
      <c r="M107" s="26" t="str">
        <f>IF('REGISTER SK'!E110="","",'REGISTER SK'!E110)</f>
        <v/>
      </c>
      <c r="N107" s="31" t="str">
        <f>IF(G107="","",IF(OR(G107="GTT",G107="PTT"),"--",VLOOKUP(F107,'Data Induk Pegawai'!B:AE,4,FALSE)))</f>
        <v/>
      </c>
      <c r="O107" s="18" t="s">
        <v>283</v>
      </c>
      <c r="P107" s="31" t="str">
        <f>IF(G107="","",VLOOKUP(F107,'Data Induk Pegawai'!B:AE,7,FALSE))</f>
        <v/>
      </c>
      <c r="Q107" s="30"/>
      <c r="R107" s="26" t="str">
        <f>IF(G107="","","Nomor "&amp;RIGHT(VLOOKUP(F107,'Data Induk Pegawai'!B:AE,12,FALSE),2)&amp;" Tahun "&amp;MID(VLOOKUP(F107,'Data Induk Pegawai'!B:AE,12,FALSE),5,4))</f>
        <v/>
      </c>
      <c r="S107" s="26" t="str">
        <f>IF(G107="","",VLOOKUP(F107,'Data Induk Pegawai'!B:AE,11,FALSE))</f>
        <v/>
      </c>
      <c r="T107" s="56"/>
      <c r="U107" s="18" t="str">
        <f t="shared" si="28"/>
        <v/>
      </c>
      <c r="V107" s="30"/>
      <c r="W107" s="18" t="str">
        <f t="shared" si="29"/>
        <v/>
      </c>
      <c r="X107" s="16"/>
      <c r="Y107" t="str">
        <f t="shared" si="30"/>
        <v/>
      </c>
      <c r="Z107" t="str">
        <f t="shared" si="31"/>
        <v/>
      </c>
      <c r="AA107" t="str">
        <f t="shared" si="32"/>
        <v/>
      </c>
      <c r="AB107" t="str">
        <f>COUNTIFS(AC107:AC$596,AC107)&amp;AC107</f>
        <v>490</v>
      </c>
      <c r="AC107" t="str">
        <f t="shared" si="33"/>
        <v/>
      </c>
      <c r="AD107" t="str">
        <f>COUNTIFS(AC$2:AC107,AC107)&amp;AC107</f>
        <v>106</v>
      </c>
      <c r="AE107" t="str">
        <f t="shared" si="34"/>
        <v/>
      </c>
      <c r="AF107" t="str">
        <f t="shared" si="35"/>
        <v>..</v>
      </c>
      <c r="AG107" s="28" t="str">
        <f t="shared" si="36"/>
        <v/>
      </c>
      <c r="AH107" s="28" t="str">
        <f t="shared" si="37"/>
        <v/>
      </c>
      <c r="AI107" t="str">
        <f t="shared" si="24"/>
        <v/>
      </c>
      <c r="AJ107" t="str">
        <f t="shared" si="38"/>
        <v/>
      </c>
      <c r="AK107" t="str">
        <f t="shared" si="39"/>
        <v/>
      </c>
      <c r="AL107" t="str">
        <f t="shared" si="40"/>
        <v/>
      </c>
      <c r="AM107" t="str">
        <f t="shared" si="25"/>
        <v/>
      </c>
      <c r="AN107" t="str">
        <f t="shared" si="41"/>
        <v/>
      </c>
      <c r="AO107" t="str">
        <f t="shared" si="42"/>
        <v/>
      </c>
      <c r="AP107" t="str">
        <f t="shared" si="43"/>
        <v/>
      </c>
      <c r="AQ107" t="str">
        <f t="shared" si="26"/>
        <v/>
      </c>
      <c r="AR107" t="str">
        <f t="shared" si="44"/>
        <v/>
      </c>
      <c r="AS107" t="str">
        <f t="shared" si="45"/>
        <v/>
      </c>
      <c r="AT107" t="str">
        <f t="shared" si="46"/>
        <v/>
      </c>
      <c r="AU107" s="25" t="str">
        <f t="shared" si="47"/>
        <v/>
      </c>
      <c r="BA107">
        <f>'REGISTER SK'!F110</f>
        <v>0</v>
      </c>
    </row>
    <row r="108" spans="1:53" x14ac:dyDescent="0.35">
      <c r="A108" s="18">
        <v>107</v>
      </c>
      <c r="B108" s="36" t="s">
        <v>379</v>
      </c>
      <c r="C108" s="18" t="str">
        <f>IF(G108="","",IF(G108="Umum",G108,VLOOKUP(F108,'Data Induk Pegawai'!B:AE,4,FALSE)))</f>
        <v/>
      </c>
      <c r="D108" s="19" t="str">
        <f>IF('REGISTER SK'!A111="","",IF('REGISTER SK'!B111=0,D107,'REGISTER SK'!B111))</f>
        <v/>
      </c>
      <c r="E108" s="19" t="str">
        <f t="shared" si="27"/>
        <v/>
      </c>
      <c r="F108" s="29"/>
      <c r="G108" s="29"/>
      <c r="H108" s="31" t="str">
        <f>IF(F108="","",VLOOKUP(F108,'Data Induk Pegawai'!B:U,2,FALSE))</f>
        <v/>
      </c>
      <c r="I108" s="19" t="str">
        <f>IF('REGISTER SK'!C111="","",'REGISTER SK'!C111)</f>
        <v/>
      </c>
      <c r="J108" s="125"/>
      <c r="K108" s="125"/>
      <c r="L108" s="26" t="str">
        <f>IF('REGISTER SK'!D111="","",'REGISTER SK'!D111)</f>
        <v/>
      </c>
      <c r="M108" s="26" t="str">
        <f>IF('REGISTER SK'!E111="","",'REGISTER SK'!E111)</f>
        <v/>
      </c>
      <c r="N108" s="31" t="str">
        <f>IF(G108="","",IF(OR(G108="GTT",G108="PTT"),"--",VLOOKUP(F108,'Data Induk Pegawai'!B:AE,4,FALSE)))</f>
        <v/>
      </c>
      <c r="O108" s="18" t="s">
        <v>284</v>
      </c>
      <c r="P108" s="31" t="str">
        <f>IF(G108="","",VLOOKUP(F108,'Data Induk Pegawai'!B:AE,7,FALSE))</f>
        <v/>
      </c>
      <c r="Q108" s="30"/>
      <c r="R108" s="26" t="str">
        <f>IF(G108="","","Nomor "&amp;RIGHT(VLOOKUP(F108,'Data Induk Pegawai'!B:AE,12,FALSE),2)&amp;" Tahun "&amp;MID(VLOOKUP(F108,'Data Induk Pegawai'!B:AE,12,FALSE),5,4))</f>
        <v/>
      </c>
      <c r="S108" s="26" t="str">
        <f>IF(G108="","",VLOOKUP(F108,'Data Induk Pegawai'!B:AE,11,FALSE))</f>
        <v/>
      </c>
      <c r="T108" s="56"/>
      <c r="U108" s="18" t="str">
        <f t="shared" si="28"/>
        <v/>
      </c>
      <c r="V108" s="30"/>
      <c r="W108" s="18" t="str">
        <f t="shared" si="29"/>
        <v/>
      </c>
      <c r="X108" s="16"/>
      <c r="Y108" t="str">
        <f t="shared" si="30"/>
        <v/>
      </c>
      <c r="Z108" t="str">
        <f t="shared" si="31"/>
        <v/>
      </c>
      <c r="AA108" t="str">
        <f t="shared" si="32"/>
        <v/>
      </c>
      <c r="AB108" t="str">
        <f>COUNTIFS(AC108:AC$596,AC108)&amp;AC108</f>
        <v>489</v>
      </c>
      <c r="AC108" t="str">
        <f t="shared" si="33"/>
        <v/>
      </c>
      <c r="AD108" t="str">
        <f>COUNTIFS(AC$2:AC108,AC108)&amp;AC108</f>
        <v>107</v>
      </c>
      <c r="AE108" t="str">
        <f t="shared" si="34"/>
        <v/>
      </c>
      <c r="AF108" t="str">
        <f t="shared" si="35"/>
        <v>..</v>
      </c>
      <c r="AG108" s="28" t="str">
        <f t="shared" si="36"/>
        <v/>
      </c>
      <c r="AH108" s="28" t="str">
        <f t="shared" si="37"/>
        <v/>
      </c>
      <c r="AI108" t="str">
        <f t="shared" si="24"/>
        <v/>
      </c>
      <c r="AJ108" t="str">
        <f t="shared" si="38"/>
        <v/>
      </c>
      <c r="AK108" t="str">
        <f t="shared" si="39"/>
        <v/>
      </c>
      <c r="AL108" t="str">
        <f t="shared" si="40"/>
        <v/>
      </c>
      <c r="AM108" t="str">
        <f t="shared" si="25"/>
        <v/>
      </c>
      <c r="AN108" t="str">
        <f t="shared" si="41"/>
        <v/>
      </c>
      <c r="AO108" t="str">
        <f t="shared" si="42"/>
        <v/>
      </c>
      <c r="AP108" t="str">
        <f t="shared" si="43"/>
        <v/>
      </c>
      <c r="AQ108" t="str">
        <f t="shared" si="26"/>
        <v/>
      </c>
      <c r="AR108" t="str">
        <f t="shared" si="44"/>
        <v/>
      </c>
      <c r="AS108" t="str">
        <f t="shared" si="45"/>
        <v/>
      </c>
      <c r="AT108" t="str">
        <f t="shared" si="46"/>
        <v/>
      </c>
      <c r="AU108" s="25" t="str">
        <f t="shared" si="47"/>
        <v/>
      </c>
      <c r="BA108">
        <f>'REGISTER SK'!F111</f>
        <v>0</v>
      </c>
    </row>
    <row r="109" spans="1:53" x14ac:dyDescent="0.35">
      <c r="A109" s="18">
        <v>108</v>
      </c>
      <c r="B109" s="36" t="s">
        <v>379</v>
      </c>
      <c r="C109" s="18" t="str">
        <f>IF(G109="","",IF(G109="Umum",G109,VLOOKUP(F109,'Data Induk Pegawai'!B:AE,4,FALSE)))</f>
        <v/>
      </c>
      <c r="D109" s="19" t="str">
        <f>IF('REGISTER SK'!A112="","",IF('REGISTER SK'!B112=0,D108,'REGISTER SK'!B112))</f>
        <v/>
      </c>
      <c r="E109" s="19" t="str">
        <f t="shared" si="27"/>
        <v/>
      </c>
      <c r="F109" s="29"/>
      <c r="G109" s="29"/>
      <c r="H109" s="31" t="str">
        <f>IF(F109="","",VLOOKUP(F109,'Data Induk Pegawai'!B:U,2,FALSE))</f>
        <v/>
      </c>
      <c r="I109" s="19" t="str">
        <f>IF('REGISTER SK'!C112="","",'REGISTER SK'!C112)</f>
        <v/>
      </c>
      <c r="J109" s="125"/>
      <c r="K109" s="125"/>
      <c r="L109" s="26" t="str">
        <f>IF('REGISTER SK'!D112="","",'REGISTER SK'!D112)</f>
        <v/>
      </c>
      <c r="M109" s="26" t="str">
        <f>IF('REGISTER SK'!E112="","",'REGISTER SK'!E112)</f>
        <v/>
      </c>
      <c r="N109" s="31" t="str">
        <f>IF(G109="","",IF(OR(G109="GTT",G109="PTT"),"--",VLOOKUP(F109,'Data Induk Pegawai'!B:AE,4,FALSE)))</f>
        <v/>
      </c>
      <c r="O109" s="18" t="s">
        <v>285</v>
      </c>
      <c r="P109" s="31" t="str">
        <f>IF(G109="","",VLOOKUP(F109,'Data Induk Pegawai'!B:AE,7,FALSE))</f>
        <v/>
      </c>
      <c r="Q109" s="30"/>
      <c r="R109" s="26" t="str">
        <f>IF(G109="","","Nomor "&amp;RIGHT(VLOOKUP(F109,'Data Induk Pegawai'!B:AE,12,FALSE),2)&amp;" Tahun "&amp;MID(VLOOKUP(F109,'Data Induk Pegawai'!B:AE,12,FALSE),5,4))</f>
        <v/>
      </c>
      <c r="S109" s="26" t="str">
        <f>IF(G109="","",VLOOKUP(F109,'Data Induk Pegawai'!B:AE,11,FALSE))</f>
        <v/>
      </c>
      <c r="T109" s="56"/>
      <c r="U109" s="18" t="str">
        <f t="shared" si="28"/>
        <v/>
      </c>
      <c r="V109" s="30"/>
      <c r="W109" s="18" t="str">
        <f t="shared" si="29"/>
        <v/>
      </c>
      <c r="X109" s="16"/>
      <c r="Y109" t="str">
        <f t="shared" si="30"/>
        <v/>
      </c>
      <c r="Z109" t="str">
        <f t="shared" si="31"/>
        <v/>
      </c>
      <c r="AA109" t="str">
        <f t="shared" si="32"/>
        <v/>
      </c>
      <c r="AB109" t="str">
        <f>COUNTIFS(AC109:AC$596,AC109)&amp;AC109</f>
        <v>488</v>
      </c>
      <c r="AC109" t="str">
        <f t="shared" si="33"/>
        <v/>
      </c>
      <c r="AD109" t="str">
        <f>COUNTIFS(AC$2:AC109,AC109)&amp;AC109</f>
        <v>108</v>
      </c>
      <c r="AE109" t="str">
        <f t="shared" si="34"/>
        <v/>
      </c>
      <c r="AF109" t="str">
        <f t="shared" si="35"/>
        <v>..</v>
      </c>
      <c r="AG109" s="28" t="str">
        <f t="shared" si="36"/>
        <v/>
      </c>
      <c r="AH109" s="28" t="str">
        <f t="shared" si="37"/>
        <v/>
      </c>
      <c r="AI109" t="str">
        <f t="shared" si="24"/>
        <v/>
      </c>
      <c r="AJ109" t="str">
        <f t="shared" si="38"/>
        <v/>
      </c>
      <c r="AK109" t="str">
        <f t="shared" si="39"/>
        <v/>
      </c>
      <c r="AL109" t="str">
        <f t="shared" si="40"/>
        <v/>
      </c>
      <c r="AM109" t="str">
        <f t="shared" si="25"/>
        <v/>
      </c>
      <c r="AN109" t="str">
        <f t="shared" si="41"/>
        <v/>
      </c>
      <c r="AO109" t="str">
        <f t="shared" si="42"/>
        <v/>
      </c>
      <c r="AP109" t="str">
        <f t="shared" si="43"/>
        <v/>
      </c>
      <c r="AQ109" t="str">
        <f t="shared" si="26"/>
        <v/>
      </c>
      <c r="AR109" t="str">
        <f t="shared" si="44"/>
        <v/>
      </c>
      <c r="AS109" t="str">
        <f t="shared" si="45"/>
        <v/>
      </c>
      <c r="AT109" t="str">
        <f t="shared" si="46"/>
        <v/>
      </c>
      <c r="AU109" s="25" t="str">
        <f t="shared" si="47"/>
        <v/>
      </c>
      <c r="BA109">
        <f>'REGISTER SK'!F112</f>
        <v>0</v>
      </c>
    </row>
    <row r="110" spans="1:53" x14ac:dyDescent="0.35">
      <c r="A110" s="18">
        <v>109</v>
      </c>
      <c r="B110" s="36" t="s">
        <v>379</v>
      </c>
      <c r="C110" s="18" t="str">
        <f>IF(G110="","",IF(G110="Umum",G110,VLOOKUP(F110,'Data Induk Pegawai'!B:AE,4,FALSE)))</f>
        <v/>
      </c>
      <c r="D110" s="19" t="str">
        <f>IF('REGISTER SK'!A113="","",IF('REGISTER SK'!B113=0,D109,'REGISTER SK'!B113))</f>
        <v/>
      </c>
      <c r="E110" s="19" t="str">
        <f t="shared" si="27"/>
        <v/>
      </c>
      <c r="F110" s="29"/>
      <c r="G110" s="29"/>
      <c r="H110" s="31" t="str">
        <f>IF(F110="","",VLOOKUP(F110,'Data Induk Pegawai'!B:U,2,FALSE))</f>
        <v/>
      </c>
      <c r="I110" s="19" t="str">
        <f>IF('REGISTER SK'!C113="","",'REGISTER SK'!C113)</f>
        <v/>
      </c>
      <c r="J110" s="125"/>
      <c r="K110" s="125"/>
      <c r="L110" s="26" t="str">
        <f>IF('REGISTER SK'!D113="","",'REGISTER SK'!D113)</f>
        <v/>
      </c>
      <c r="M110" s="26" t="str">
        <f>IF('REGISTER SK'!E113="","",'REGISTER SK'!E113)</f>
        <v/>
      </c>
      <c r="N110" s="31" t="str">
        <f>IF(G110="","",IF(OR(G110="GTT",G110="PTT"),"--",VLOOKUP(F110,'Data Induk Pegawai'!B:AE,4,FALSE)))</f>
        <v/>
      </c>
      <c r="O110" s="18" t="s">
        <v>286</v>
      </c>
      <c r="P110" s="31" t="str">
        <f>IF(G110="","",VLOOKUP(F110,'Data Induk Pegawai'!B:AE,7,FALSE))</f>
        <v/>
      </c>
      <c r="Q110" s="30"/>
      <c r="R110" s="26" t="str">
        <f>IF(G110="","","Nomor "&amp;RIGHT(VLOOKUP(F110,'Data Induk Pegawai'!B:AE,12,FALSE),2)&amp;" Tahun "&amp;MID(VLOOKUP(F110,'Data Induk Pegawai'!B:AE,12,FALSE),5,4))</f>
        <v/>
      </c>
      <c r="S110" s="26" t="str">
        <f>IF(G110="","",VLOOKUP(F110,'Data Induk Pegawai'!B:AE,11,FALSE))</f>
        <v/>
      </c>
      <c r="T110" s="56"/>
      <c r="U110" s="18" t="str">
        <f t="shared" si="28"/>
        <v/>
      </c>
      <c r="V110" s="30"/>
      <c r="W110" s="18" t="str">
        <f t="shared" si="29"/>
        <v/>
      </c>
      <c r="X110" s="16"/>
      <c r="Y110" t="str">
        <f t="shared" si="30"/>
        <v/>
      </c>
      <c r="Z110" t="str">
        <f t="shared" si="31"/>
        <v/>
      </c>
      <c r="AA110" t="str">
        <f t="shared" si="32"/>
        <v/>
      </c>
      <c r="AB110" t="str">
        <f>COUNTIFS(AC110:AC$596,AC110)&amp;AC110</f>
        <v>487</v>
      </c>
      <c r="AC110" t="str">
        <f t="shared" si="33"/>
        <v/>
      </c>
      <c r="AD110" t="str">
        <f>COUNTIFS(AC$2:AC110,AC110)&amp;AC110</f>
        <v>109</v>
      </c>
      <c r="AE110" t="str">
        <f t="shared" si="34"/>
        <v/>
      </c>
      <c r="AF110" t="str">
        <f t="shared" si="35"/>
        <v>..</v>
      </c>
      <c r="AG110" s="28" t="str">
        <f t="shared" si="36"/>
        <v/>
      </c>
      <c r="AH110" s="28" t="str">
        <f t="shared" si="37"/>
        <v/>
      </c>
      <c r="AI110" t="str">
        <f t="shared" si="24"/>
        <v/>
      </c>
      <c r="AJ110" t="str">
        <f t="shared" si="38"/>
        <v/>
      </c>
      <c r="AK110" t="str">
        <f t="shared" si="39"/>
        <v/>
      </c>
      <c r="AL110" t="str">
        <f t="shared" si="40"/>
        <v/>
      </c>
      <c r="AM110" t="str">
        <f t="shared" si="25"/>
        <v/>
      </c>
      <c r="AN110" t="str">
        <f t="shared" si="41"/>
        <v/>
      </c>
      <c r="AO110" t="str">
        <f t="shared" si="42"/>
        <v/>
      </c>
      <c r="AP110" t="str">
        <f t="shared" si="43"/>
        <v/>
      </c>
      <c r="AQ110" t="str">
        <f t="shared" si="26"/>
        <v/>
      </c>
      <c r="AR110" t="str">
        <f t="shared" si="44"/>
        <v/>
      </c>
      <c r="AS110" t="str">
        <f t="shared" si="45"/>
        <v/>
      </c>
      <c r="AT110" t="str">
        <f t="shared" si="46"/>
        <v/>
      </c>
      <c r="AU110" s="25" t="str">
        <f t="shared" si="47"/>
        <v/>
      </c>
      <c r="BA110">
        <f>'REGISTER SK'!F113</f>
        <v>0</v>
      </c>
    </row>
    <row r="111" spans="1:53" x14ac:dyDescent="0.35">
      <c r="A111" s="18">
        <v>110</v>
      </c>
      <c r="B111" s="36" t="s">
        <v>379</v>
      </c>
      <c r="C111" s="18" t="str">
        <f>IF(G111="","",IF(G111="Umum",G111,VLOOKUP(F111,'Data Induk Pegawai'!B:AE,4,FALSE)))</f>
        <v/>
      </c>
      <c r="D111" s="19" t="str">
        <f>IF('REGISTER SK'!A114="","",IF('REGISTER SK'!B114=0,D110,'REGISTER SK'!B114))</f>
        <v/>
      </c>
      <c r="E111" s="19" t="str">
        <f t="shared" si="27"/>
        <v/>
      </c>
      <c r="F111" s="29"/>
      <c r="G111" s="29"/>
      <c r="H111" s="31" t="str">
        <f>IF(F111="","",VLOOKUP(F111,'Data Induk Pegawai'!B:U,2,FALSE))</f>
        <v/>
      </c>
      <c r="I111" s="19" t="str">
        <f>IF('REGISTER SK'!C114="","",'REGISTER SK'!C114)</f>
        <v/>
      </c>
      <c r="J111" s="125"/>
      <c r="K111" s="125"/>
      <c r="L111" s="26" t="str">
        <f>IF('REGISTER SK'!D114="","",'REGISTER SK'!D114)</f>
        <v/>
      </c>
      <c r="M111" s="26" t="str">
        <f>IF('REGISTER SK'!E114="","",'REGISTER SK'!E114)</f>
        <v/>
      </c>
      <c r="N111" s="31" t="str">
        <f>IF(G111="","",IF(OR(G111="GTT",G111="PTT"),"--",VLOOKUP(F111,'Data Induk Pegawai'!B:AE,4,FALSE)))</f>
        <v/>
      </c>
      <c r="O111" s="18" t="s">
        <v>287</v>
      </c>
      <c r="P111" s="31" t="str">
        <f>IF(G111="","",VLOOKUP(F111,'Data Induk Pegawai'!B:AE,7,FALSE))</f>
        <v/>
      </c>
      <c r="Q111" s="30"/>
      <c r="R111" s="26" t="str">
        <f>IF(G111="","","Nomor "&amp;RIGHT(VLOOKUP(F111,'Data Induk Pegawai'!B:AE,12,FALSE),2)&amp;" Tahun "&amp;MID(VLOOKUP(F111,'Data Induk Pegawai'!B:AE,12,FALSE),5,4))</f>
        <v/>
      </c>
      <c r="S111" s="26" t="str">
        <f>IF(G111="","",VLOOKUP(F111,'Data Induk Pegawai'!B:AE,11,FALSE))</f>
        <v/>
      </c>
      <c r="T111" s="56"/>
      <c r="U111" s="18" t="str">
        <f t="shared" si="28"/>
        <v/>
      </c>
      <c r="V111" s="30"/>
      <c r="W111" s="18" t="str">
        <f t="shared" si="29"/>
        <v/>
      </c>
      <c r="X111" s="16"/>
      <c r="Y111" t="str">
        <f t="shared" si="30"/>
        <v/>
      </c>
      <c r="Z111" t="str">
        <f t="shared" si="31"/>
        <v/>
      </c>
      <c r="AA111" t="str">
        <f t="shared" si="32"/>
        <v/>
      </c>
      <c r="AB111" t="str">
        <f>COUNTIFS(AC111:AC$596,AC111)&amp;AC111</f>
        <v>486</v>
      </c>
      <c r="AC111" t="str">
        <f t="shared" si="33"/>
        <v/>
      </c>
      <c r="AD111" t="str">
        <f>COUNTIFS(AC$2:AC111,AC111)&amp;AC111</f>
        <v>110</v>
      </c>
      <c r="AE111" t="str">
        <f t="shared" si="34"/>
        <v/>
      </c>
      <c r="AF111" t="str">
        <f t="shared" si="35"/>
        <v>..</v>
      </c>
      <c r="AG111" s="28" t="str">
        <f t="shared" si="36"/>
        <v/>
      </c>
      <c r="AH111" s="28" t="str">
        <f t="shared" si="37"/>
        <v/>
      </c>
      <c r="AI111" t="str">
        <f t="shared" si="24"/>
        <v/>
      </c>
      <c r="AJ111" t="str">
        <f t="shared" si="38"/>
        <v/>
      </c>
      <c r="AK111" t="str">
        <f t="shared" si="39"/>
        <v/>
      </c>
      <c r="AL111" t="str">
        <f t="shared" si="40"/>
        <v/>
      </c>
      <c r="AM111" t="str">
        <f t="shared" si="25"/>
        <v/>
      </c>
      <c r="AN111" t="str">
        <f t="shared" si="41"/>
        <v/>
      </c>
      <c r="AO111" t="str">
        <f t="shared" si="42"/>
        <v/>
      </c>
      <c r="AP111" t="str">
        <f t="shared" si="43"/>
        <v/>
      </c>
      <c r="AQ111" t="str">
        <f t="shared" si="26"/>
        <v/>
      </c>
      <c r="AR111" t="str">
        <f t="shared" si="44"/>
        <v/>
      </c>
      <c r="AS111" t="str">
        <f t="shared" si="45"/>
        <v/>
      </c>
      <c r="AT111" t="str">
        <f t="shared" si="46"/>
        <v/>
      </c>
      <c r="AU111" s="25" t="str">
        <f t="shared" si="47"/>
        <v/>
      </c>
      <c r="BA111">
        <f>'REGISTER SK'!F114</f>
        <v>0</v>
      </c>
    </row>
    <row r="112" spans="1:53" x14ac:dyDescent="0.35">
      <c r="A112" s="18">
        <v>111</v>
      </c>
      <c r="B112" s="36"/>
      <c r="C112" s="18" t="str">
        <f>IF(G112="","",IF(G112="Umum",G112,VLOOKUP(F112,'Data Induk Pegawai'!B:AE,4,FALSE)))</f>
        <v/>
      </c>
      <c r="D112" s="19" t="str">
        <f>IF('REGISTER SK'!A115="","",IF('REGISTER SK'!B115=0,#REF!,'REGISTER SK'!B115))</f>
        <v/>
      </c>
      <c r="E112" s="19" t="str">
        <f t="shared" si="27"/>
        <v/>
      </c>
      <c r="F112" s="29"/>
      <c r="G112" s="29"/>
      <c r="H112" s="31" t="str">
        <f>IF(F112="","",VLOOKUP(F112,'Data Induk Pegawai'!B:U,2,FALSE))</f>
        <v/>
      </c>
      <c r="I112" s="19" t="str">
        <f>IF('REGISTER SK'!C115="","",'REGISTER SK'!C115)</f>
        <v/>
      </c>
      <c r="J112" s="125"/>
      <c r="K112" s="125"/>
      <c r="L112" s="26" t="str">
        <f>IF('REGISTER SK'!D115="","",'REGISTER SK'!D115)</f>
        <v/>
      </c>
      <c r="M112" s="26" t="str">
        <f>IF('REGISTER SK'!E115="","",'REGISTER SK'!E115)</f>
        <v/>
      </c>
      <c r="N112" s="31" t="str">
        <f>IF(G112="","",IF(OR(G112="GTT",G112="PTT"),"--",VLOOKUP(F112,'Data Induk Pegawai'!B:AE,4,FALSE)))</f>
        <v/>
      </c>
      <c r="O112" s="18" t="s">
        <v>378</v>
      </c>
      <c r="P112" s="31" t="str">
        <f>IF(G112="","",VLOOKUP(F112,'Data Induk Pegawai'!B:AE,7,FALSE))</f>
        <v/>
      </c>
      <c r="Q112" s="30"/>
      <c r="R112" s="26" t="str">
        <f>IF(G112="","","Nomor "&amp;RIGHT(VLOOKUP(F112,'Data Induk Pegawai'!B:AE,12,FALSE),2)&amp;" Tahun "&amp;MID(VLOOKUP(F112,'Data Induk Pegawai'!B:AE,12,FALSE),5,4))</f>
        <v/>
      </c>
      <c r="S112" s="26" t="str">
        <f>IF(G112="","",VLOOKUP(F112,'Data Induk Pegawai'!B:AE,11,FALSE))</f>
        <v/>
      </c>
      <c r="T112" s="56"/>
      <c r="U112" s="18" t="str">
        <f t="shared" si="28"/>
        <v/>
      </c>
      <c r="V112" s="30"/>
      <c r="W112" s="18" t="str">
        <f t="shared" si="29"/>
        <v/>
      </c>
      <c r="X112" s="16"/>
      <c r="Y112" t="str">
        <f t="shared" si="30"/>
        <v/>
      </c>
      <c r="Z112" t="str">
        <f t="shared" si="31"/>
        <v/>
      </c>
      <c r="AA112" t="str">
        <f t="shared" si="32"/>
        <v/>
      </c>
      <c r="AB112" t="str">
        <f>COUNTIFS(AC112:AC$596,AC112)&amp;AC112</f>
        <v>485</v>
      </c>
      <c r="AC112" t="str">
        <f t="shared" si="33"/>
        <v/>
      </c>
      <c r="AD112" t="str">
        <f>COUNTIFS(AC$2:AC112,AC112)&amp;AC112</f>
        <v>111</v>
      </c>
      <c r="AE112" t="str">
        <f t="shared" si="34"/>
        <v/>
      </c>
      <c r="AF112" t="str">
        <f t="shared" si="35"/>
        <v>..</v>
      </c>
      <c r="AG112" s="28" t="str">
        <f t="shared" si="36"/>
        <v/>
      </c>
      <c r="AH112" s="28" t="str">
        <f t="shared" si="37"/>
        <v/>
      </c>
      <c r="AI112" t="str">
        <f t="shared" si="24"/>
        <v/>
      </c>
      <c r="AJ112" t="str">
        <f t="shared" si="38"/>
        <v/>
      </c>
      <c r="AK112" t="str">
        <f t="shared" si="39"/>
        <v/>
      </c>
      <c r="AL112" t="str">
        <f t="shared" si="40"/>
        <v/>
      </c>
      <c r="AM112" t="str">
        <f t="shared" si="25"/>
        <v/>
      </c>
      <c r="AN112" t="str">
        <f t="shared" si="41"/>
        <v/>
      </c>
      <c r="AO112" t="str">
        <f t="shared" si="42"/>
        <v/>
      </c>
      <c r="AP112" t="str">
        <f t="shared" si="43"/>
        <v/>
      </c>
      <c r="AQ112" t="str">
        <f t="shared" si="26"/>
        <v/>
      </c>
      <c r="AR112" t="str">
        <f t="shared" si="44"/>
        <v/>
      </c>
      <c r="AS112" t="str">
        <f t="shared" si="45"/>
        <v/>
      </c>
      <c r="AT112" t="str">
        <f t="shared" si="46"/>
        <v/>
      </c>
      <c r="AU112" s="25" t="str">
        <f t="shared" si="47"/>
        <v/>
      </c>
      <c r="BA112">
        <f>'REGISTER SK'!F115</f>
        <v>0</v>
      </c>
    </row>
    <row r="113" spans="1:53" x14ac:dyDescent="0.35">
      <c r="A113" s="18">
        <v>112</v>
      </c>
      <c r="B113" s="36" t="s">
        <v>379</v>
      </c>
      <c r="C113" s="18" t="str">
        <f>IF(G113="","",IF(G113="Umum",G113,VLOOKUP(F113,'Data Induk Pegawai'!B:AE,4,FALSE)))</f>
        <v/>
      </c>
      <c r="D113" s="19" t="str">
        <f>IF('REGISTER SK'!A116="","",IF('REGISTER SK'!B116=0,D112,'REGISTER SK'!B116))</f>
        <v/>
      </c>
      <c r="E113" s="19" t="str">
        <f t="shared" si="27"/>
        <v/>
      </c>
      <c r="F113" s="29"/>
      <c r="G113" s="29"/>
      <c r="H113" s="31" t="str">
        <f>IF(F113="","",VLOOKUP(F113,'Data Induk Pegawai'!B:U,2,FALSE))</f>
        <v/>
      </c>
      <c r="I113" s="19" t="str">
        <f>IF('REGISTER SK'!C116="","",'REGISTER SK'!C116)</f>
        <v/>
      </c>
      <c r="J113" s="125"/>
      <c r="K113" s="125"/>
      <c r="L113" s="26" t="str">
        <f>IF('REGISTER SK'!D116="","",'REGISTER SK'!D116)</f>
        <v/>
      </c>
      <c r="M113" s="26" t="str">
        <f>IF('REGISTER SK'!E116="","",'REGISTER SK'!E116)</f>
        <v/>
      </c>
      <c r="N113" s="31" t="str">
        <f>IF(G113="","",IF(OR(G113="GTT",G113="PTT"),"--",VLOOKUP(F113,'Data Induk Pegawai'!B:AE,4,FALSE)))</f>
        <v/>
      </c>
      <c r="O113" s="18" t="s">
        <v>267</v>
      </c>
      <c r="P113" s="31" t="str">
        <f>IF(G113="","",VLOOKUP(F113,'Data Induk Pegawai'!B:AE,7,FALSE))</f>
        <v/>
      </c>
      <c r="Q113" s="30"/>
      <c r="R113" s="26" t="str">
        <f>IF(G113="","","Nomor "&amp;RIGHT(VLOOKUP(F113,'Data Induk Pegawai'!B:AE,12,FALSE),2)&amp;" Tahun "&amp;MID(VLOOKUP(F113,'Data Induk Pegawai'!B:AE,12,FALSE),5,4))</f>
        <v/>
      </c>
      <c r="S113" s="26" t="str">
        <f>IF(G113="","",VLOOKUP(F113,'Data Induk Pegawai'!B:AE,11,FALSE))</f>
        <v/>
      </c>
      <c r="T113" s="56"/>
      <c r="U113" s="18" t="str">
        <f t="shared" si="28"/>
        <v/>
      </c>
      <c r="V113" s="30"/>
      <c r="W113" s="18" t="str">
        <f t="shared" si="29"/>
        <v/>
      </c>
      <c r="X113" s="16"/>
      <c r="Y113" s="97" t="str">
        <f t="shared" si="30"/>
        <v/>
      </c>
      <c r="Z113" s="97" t="str">
        <f t="shared" si="31"/>
        <v/>
      </c>
      <c r="AA113" s="97" t="str">
        <f t="shared" si="32"/>
        <v/>
      </c>
      <c r="AB113" s="25" t="str">
        <f>COUNTIFS(AC113:AC$596,AC113)&amp;AC113</f>
        <v>484</v>
      </c>
      <c r="AC113" t="str">
        <f t="shared" si="33"/>
        <v/>
      </c>
      <c r="AD113" t="str">
        <f>COUNTIFS(AC$2:AC113,AC113)&amp;AC113</f>
        <v>112</v>
      </c>
      <c r="AE113" t="str">
        <f t="shared" si="34"/>
        <v/>
      </c>
      <c r="AF113" t="str">
        <f t="shared" si="35"/>
        <v>..</v>
      </c>
      <c r="AG113" s="28" t="str">
        <f t="shared" si="36"/>
        <v/>
      </c>
      <c r="AH113" s="28" t="str">
        <f t="shared" si="37"/>
        <v/>
      </c>
      <c r="AI113" t="str">
        <f t="shared" si="24"/>
        <v/>
      </c>
      <c r="AJ113" t="str">
        <f t="shared" si="38"/>
        <v/>
      </c>
      <c r="AK113" t="str">
        <f t="shared" si="39"/>
        <v/>
      </c>
      <c r="AL113" t="str">
        <f t="shared" si="40"/>
        <v/>
      </c>
      <c r="AM113" t="str">
        <f t="shared" si="25"/>
        <v/>
      </c>
      <c r="AN113" t="str">
        <f t="shared" si="41"/>
        <v/>
      </c>
      <c r="AO113" t="str">
        <f t="shared" si="42"/>
        <v/>
      </c>
      <c r="AP113" t="str">
        <f t="shared" si="43"/>
        <v/>
      </c>
      <c r="AQ113" t="str">
        <f t="shared" si="26"/>
        <v/>
      </c>
      <c r="AR113" t="str">
        <f t="shared" si="44"/>
        <v/>
      </c>
      <c r="AS113" t="str">
        <f t="shared" si="45"/>
        <v/>
      </c>
      <c r="AT113" t="str">
        <f t="shared" si="46"/>
        <v/>
      </c>
      <c r="AU113" s="25" t="str">
        <f t="shared" si="47"/>
        <v/>
      </c>
      <c r="BA113">
        <f>'REGISTER SK'!F116</f>
        <v>0</v>
      </c>
    </row>
    <row r="114" spans="1:53" x14ac:dyDescent="0.35">
      <c r="A114" s="18">
        <v>113</v>
      </c>
      <c r="B114" s="36" t="s">
        <v>379</v>
      </c>
      <c r="C114" s="18" t="str">
        <f>IF(G114="","",IF(G114="Umum",G114,VLOOKUP(F114,'Data Induk Pegawai'!B:AE,4,FALSE)))</f>
        <v/>
      </c>
      <c r="D114" s="19" t="str">
        <f>IF('REGISTER SK'!A117="","",IF('REGISTER SK'!B117=0,D113,'REGISTER SK'!B117))</f>
        <v/>
      </c>
      <c r="E114" s="19" t="str">
        <f t="shared" si="27"/>
        <v/>
      </c>
      <c r="F114" s="29"/>
      <c r="G114" s="29"/>
      <c r="H114" s="31" t="str">
        <f>IF(F114="","",VLOOKUP(F114,'Data Induk Pegawai'!B:U,2,FALSE))</f>
        <v/>
      </c>
      <c r="I114" s="19" t="str">
        <f>IF('REGISTER SK'!C117="","",'REGISTER SK'!C117)</f>
        <v/>
      </c>
      <c r="J114" s="125"/>
      <c r="K114" s="125"/>
      <c r="L114" s="26" t="str">
        <f>IF('REGISTER SK'!D117="","",'REGISTER SK'!D117)</f>
        <v/>
      </c>
      <c r="M114" s="26" t="str">
        <f>IF('REGISTER SK'!E117="","",'REGISTER SK'!E117)</f>
        <v/>
      </c>
      <c r="N114" s="31" t="str">
        <f>IF(G114="","",IF(OR(G114="GTT",G114="PTT"),"--",VLOOKUP(F114,'Data Induk Pegawai'!B:AE,4,FALSE)))</f>
        <v/>
      </c>
      <c r="O114" s="18" t="s">
        <v>301</v>
      </c>
      <c r="P114" s="31" t="str">
        <f>IF(G114="","",VLOOKUP(F114,'Data Induk Pegawai'!B:AE,7,FALSE))</f>
        <v/>
      </c>
      <c r="Q114" s="30"/>
      <c r="R114" s="26" t="str">
        <f>IF(G114="","","Nomor "&amp;RIGHT(VLOOKUP(F114,'Data Induk Pegawai'!B:AE,12,FALSE),2)&amp;" Tahun "&amp;MID(VLOOKUP(F114,'Data Induk Pegawai'!B:AE,12,FALSE),5,4))</f>
        <v/>
      </c>
      <c r="S114" s="26" t="str">
        <f>IF(G114="","",VLOOKUP(F114,'Data Induk Pegawai'!B:AE,11,FALSE))</f>
        <v/>
      </c>
      <c r="T114" s="56"/>
      <c r="U114" s="18" t="str">
        <f t="shared" si="28"/>
        <v/>
      </c>
      <c r="V114" s="30"/>
      <c r="W114" s="18" t="str">
        <f t="shared" si="29"/>
        <v/>
      </c>
      <c r="X114" s="16"/>
      <c r="Y114" s="97" t="str">
        <f t="shared" si="30"/>
        <v/>
      </c>
      <c r="Z114" s="97" t="str">
        <f t="shared" si="31"/>
        <v/>
      </c>
      <c r="AA114" s="97" t="str">
        <f t="shared" si="32"/>
        <v/>
      </c>
      <c r="AB114" s="25" t="str">
        <f>COUNTIFS(AC114:AC$596,AC114)&amp;AC114</f>
        <v>483</v>
      </c>
      <c r="AC114" t="str">
        <f t="shared" si="33"/>
        <v/>
      </c>
      <c r="AD114" t="str">
        <f>COUNTIFS(AC$2:AC114,AC114)&amp;AC114</f>
        <v>113</v>
      </c>
      <c r="AE114" t="str">
        <f t="shared" si="34"/>
        <v/>
      </c>
      <c r="AF114" t="str">
        <f t="shared" si="35"/>
        <v>..</v>
      </c>
      <c r="AG114" s="28" t="str">
        <f t="shared" si="36"/>
        <v/>
      </c>
      <c r="AH114" s="28" t="str">
        <f t="shared" si="37"/>
        <v/>
      </c>
      <c r="AI114" t="str">
        <f t="shared" si="24"/>
        <v/>
      </c>
      <c r="AJ114" t="str">
        <f t="shared" si="38"/>
        <v/>
      </c>
      <c r="AK114" t="str">
        <f t="shared" si="39"/>
        <v/>
      </c>
      <c r="AL114" t="str">
        <f t="shared" si="40"/>
        <v/>
      </c>
      <c r="AM114" t="str">
        <f t="shared" si="25"/>
        <v/>
      </c>
      <c r="AN114" t="str">
        <f t="shared" si="41"/>
        <v/>
      </c>
      <c r="AO114" t="str">
        <f t="shared" si="42"/>
        <v/>
      </c>
      <c r="AP114" t="str">
        <f t="shared" si="43"/>
        <v/>
      </c>
      <c r="AQ114" t="str">
        <f t="shared" si="26"/>
        <v/>
      </c>
      <c r="AR114" t="str">
        <f t="shared" si="44"/>
        <v/>
      </c>
      <c r="AS114" t="str">
        <f t="shared" si="45"/>
        <v/>
      </c>
      <c r="AT114" t="str">
        <f t="shared" si="46"/>
        <v/>
      </c>
      <c r="AU114" s="25" t="str">
        <f t="shared" si="47"/>
        <v/>
      </c>
      <c r="BA114">
        <f>'REGISTER SK'!F117</f>
        <v>0</v>
      </c>
    </row>
    <row r="115" spans="1:53" x14ac:dyDescent="0.35">
      <c r="A115" s="18">
        <v>114</v>
      </c>
      <c r="B115" s="36" t="s">
        <v>379</v>
      </c>
      <c r="C115" s="18" t="str">
        <f>IF(G115="","",IF(G115="Umum",G115,VLOOKUP(F115,'Data Induk Pegawai'!B:AE,4,FALSE)))</f>
        <v/>
      </c>
      <c r="D115" s="19" t="str">
        <f>IF('REGISTER SK'!A118="","",IF('REGISTER SK'!B118=0,D114,'REGISTER SK'!B118))</f>
        <v/>
      </c>
      <c r="E115" s="19" t="str">
        <f t="shared" si="27"/>
        <v/>
      </c>
      <c r="F115" s="29"/>
      <c r="G115" s="29"/>
      <c r="H115" s="31" t="str">
        <f>IF(F115="","",VLOOKUP(F115,'Data Induk Pegawai'!B:U,2,FALSE))</f>
        <v/>
      </c>
      <c r="I115" s="19" t="str">
        <f>IF('REGISTER SK'!C118="","",'REGISTER SK'!C118)</f>
        <v/>
      </c>
      <c r="J115" s="125"/>
      <c r="K115" s="125"/>
      <c r="L115" s="26" t="str">
        <f>IF('REGISTER SK'!D118="","",'REGISTER SK'!D118)</f>
        <v/>
      </c>
      <c r="M115" s="26" t="str">
        <f>IF('REGISTER SK'!E118="","",'REGISTER SK'!E118)</f>
        <v/>
      </c>
      <c r="N115" s="31" t="str">
        <f>IF(G115="","",IF(OR(G115="GTT",G115="PTT"),"--",VLOOKUP(F115,'Data Induk Pegawai'!B:AE,4,FALSE)))</f>
        <v/>
      </c>
      <c r="O115" s="18" t="s">
        <v>282</v>
      </c>
      <c r="P115" s="31" t="str">
        <f>IF(G115="","",VLOOKUP(F115,'Data Induk Pegawai'!B:AE,7,FALSE))</f>
        <v/>
      </c>
      <c r="Q115" s="30"/>
      <c r="R115" s="26" t="str">
        <f>IF(G115="","","Nomor "&amp;RIGHT(VLOOKUP(F115,'Data Induk Pegawai'!B:AE,12,FALSE),2)&amp;" Tahun "&amp;MID(VLOOKUP(F115,'Data Induk Pegawai'!B:AE,12,FALSE),5,4))</f>
        <v/>
      </c>
      <c r="S115" s="26" t="str">
        <f>IF(G115="","",VLOOKUP(F115,'Data Induk Pegawai'!B:AE,11,FALSE))</f>
        <v/>
      </c>
      <c r="T115" s="56"/>
      <c r="U115" s="18" t="str">
        <f t="shared" si="28"/>
        <v/>
      </c>
      <c r="V115" s="30"/>
      <c r="W115" s="18" t="str">
        <f t="shared" si="29"/>
        <v/>
      </c>
      <c r="X115" s="16"/>
      <c r="Y115" s="97" t="str">
        <f t="shared" si="30"/>
        <v/>
      </c>
      <c r="Z115" s="97" t="str">
        <f t="shared" si="31"/>
        <v/>
      </c>
      <c r="AA115" s="97" t="str">
        <f t="shared" si="32"/>
        <v/>
      </c>
      <c r="AB115" s="25" t="str">
        <f>COUNTIFS(AC115:AC$596,AC115)&amp;AC115</f>
        <v>482</v>
      </c>
      <c r="AC115" t="str">
        <f t="shared" si="33"/>
        <v/>
      </c>
      <c r="AD115" t="str">
        <f>COUNTIFS(AC$2:AC115,AC115)&amp;AC115</f>
        <v>114</v>
      </c>
      <c r="AE115" t="str">
        <f t="shared" si="34"/>
        <v/>
      </c>
      <c r="AF115" t="str">
        <f t="shared" si="35"/>
        <v>..</v>
      </c>
      <c r="AG115" s="28" t="str">
        <f t="shared" si="36"/>
        <v/>
      </c>
      <c r="AH115" s="28" t="str">
        <f t="shared" si="37"/>
        <v/>
      </c>
      <c r="AI115" t="str">
        <f t="shared" si="24"/>
        <v/>
      </c>
      <c r="AJ115" t="str">
        <f t="shared" si="38"/>
        <v/>
      </c>
      <c r="AK115" t="str">
        <f t="shared" si="39"/>
        <v/>
      </c>
      <c r="AL115" t="str">
        <f t="shared" si="40"/>
        <v/>
      </c>
      <c r="AM115" t="str">
        <f t="shared" si="25"/>
        <v/>
      </c>
      <c r="AN115" t="str">
        <f t="shared" si="41"/>
        <v/>
      </c>
      <c r="AO115" t="str">
        <f t="shared" si="42"/>
        <v/>
      </c>
      <c r="AP115" t="str">
        <f t="shared" si="43"/>
        <v/>
      </c>
      <c r="AQ115" t="str">
        <f t="shared" si="26"/>
        <v/>
      </c>
      <c r="AR115" t="str">
        <f t="shared" si="44"/>
        <v/>
      </c>
      <c r="AS115" t="str">
        <f t="shared" si="45"/>
        <v/>
      </c>
      <c r="AT115" t="str">
        <f t="shared" si="46"/>
        <v/>
      </c>
      <c r="AU115" s="25" t="str">
        <f t="shared" si="47"/>
        <v/>
      </c>
      <c r="BA115">
        <f>'REGISTER SK'!F118</f>
        <v>0</v>
      </c>
    </row>
    <row r="116" spans="1:53" x14ac:dyDescent="0.35">
      <c r="A116" s="18">
        <v>115</v>
      </c>
      <c r="B116" s="36" t="s">
        <v>379</v>
      </c>
      <c r="C116" s="18" t="str">
        <f>IF(G116="","",IF(G116="Umum",G116,VLOOKUP(F116,'Data Induk Pegawai'!B:AE,4,FALSE)))</f>
        <v/>
      </c>
      <c r="D116" s="19" t="str">
        <f>IF('REGISTER SK'!A119="","",IF('REGISTER SK'!B119=0,D115,'REGISTER SK'!B119))</f>
        <v/>
      </c>
      <c r="E116" s="19" t="str">
        <f t="shared" si="27"/>
        <v/>
      </c>
      <c r="F116" s="29"/>
      <c r="G116" s="29"/>
      <c r="H116" s="31" t="str">
        <f>IF(F116="","",VLOOKUP(F116,'Data Induk Pegawai'!B:U,2,FALSE))</f>
        <v/>
      </c>
      <c r="I116" s="19" t="str">
        <f>IF('REGISTER SK'!C119="","",'REGISTER SK'!C119)</f>
        <v/>
      </c>
      <c r="J116" s="125"/>
      <c r="K116" s="125"/>
      <c r="L116" s="26" t="str">
        <f>IF('REGISTER SK'!D119="","",'REGISTER SK'!D119)</f>
        <v/>
      </c>
      <c r="M116" s="26" t="str">
        <f>IF('REGISTER SK'!E119="","",'REGISTER SK'!E119)</f>
        <v/>
      </c>
      <c r="N116" s="31" t="str">
        <f>IF(G116="","",IF(OR(G116="GTT",G116="PTT"),"--",VLOOKUP(F116,'Data Induk Pegawai'!B:AE,4,FALSE)))</f>
        <v/>
      </c>
      <c r="O116" s="18" t="s">
        <v>257</v>
      </c>
      <c r="P116" s="31" t="str">
        <f>IF(G116="","",VLOOKUP(F116,'Data Induk Pegawai'!B:AE,7,FALSE))</f>
        <v/>
      </c>
      <c r="Q116" s="30"/>
      <c r="R116" s="26" t="str">
        <f>IF(G116="","","Nomor "&amp;RIGHT(VLOOKUP(F116,'Data Induk Pegawai'!B:AE,12,FALSE),2)&amp;" Tahun "&amp;MID(VLOOKUP(F116,'Data Induk Pegawai'!B:AE,12,FALSE),5,4))</f>
        <v/>
      </c>
      <c r="S116" s="26" t="str">
        <f>IF(G116="","",VLOOKUP(F116,'Data Induk Pegawai'!B:AE,11,FALSE))</f>
        <v/>
      </c>
      <c r="T116" s="56"/>
      <c r="U116" s="18" t="str">
        <f t="shared" si="28"/>
        <v/>
      </c>
      <c r="V116" s="30"/>
      <c r="W116" s="18" t="str">
        <f t="shared" si="29"/>
        <v/>
      </c>
      <c r="X116" s="16"/>
      <c r="Y116" s="97" t="str">
        <f t="shared" si="30"/>
        <v/>
      </c>
      <c r="Z116" s="97" t="str">
        <f t="shared" si="31"/>
        <v/>
      </c>
      <c r="AA116" s="97" t="str">
        <f t="shared" si="32"/>
        <v/>
      </c>
      <c r="AB116" s="25" t="str">
        <f>COUNTIFS(AC116:AC$596,AC116)&amp;AC116</f>
        <v>481</v>
      </c>
      <c r="AC116" t="str">
        <f t="shared" si="33"/>
        <v/>
      </c>
      <c r="AD116" t="str">
        <f>COUNTIFS(AC$2:AC116,AC116)&amp;AC116</f>
        <v>115</v>
      </c>
      <c r="AE116" t="str">
        <f t="shared" si="34"/>
        <v/>
      </c>
      <c r="AF116" t="str">
        <f t="shared" si="35"/>
        <v>..</v>
      </c>
      <c r="AG116" s="28" t="str">
        <f t="shared" si="36"/>
        <v/>
      </c>
      <c r="AH116" s="28" t="str">
        <f t="shared" si="37"/>
        <v/>
      </c>
      <c r="AI116" t="str">
        <f t="shared" si="24"/>
        <v/>
      </c>
      <c r="AJ116" t="str">
        <f t="shared" si="38"/>
        <v/>
      </c>
      <c r="AK116" t="str">
        <f t="shared" si="39"/>
        <v/>
      </c>
      <c r="AL116" t="str">
        <f t="shared" si="40"/>
        <v/>
      </c>
      <c r="AM116" t="str">
        <f t="shared" si="25"/>
        <v/>
      </c>
      <c r="AN116" t="str">
        <f t="shared" si="41"/>
        <v/>
      </c>
      <c r="AO116" t="str">
        <f t="shared" si="42"/>
        <v/>
      </c>
      <c r="AP116" t="str">
        <f t="shared" si="43"/>
        <v/>
      </c>
      <c r="AQ116" t="str">
        <f t="shared" si="26"/>
        <v/>
      </c>
      <c r="AR116" t="str">
        <f t="shared" si="44"/>
        <v/>
      </c>
      <c r="AS116" t="str">
        <f t="shared" si="45"/>
        <v/>
      </c>
      <c r="AT116" t="str">
        <f t="shared" si="46"/>
        <v/>
      </c>
      <c r="AU116" s="25" t="str">
        <f t="shared" si="47"/>
        <v/>
      </c>
      <c r="BA116">
        <f>'REGISTER SK'!F119</f>
        <v>0</v>
      </c>
    </row>
    <row r="117" spans="1:53" x14ac:dyDescent="0.35">
      <c r="A117" s="18">
        <v>116</v>
      </c>
      <c r="B117" s="36" t="s">
        <v>379</v>
      </c>
      <c r="C117" s="18" t="str">
        <f>IF(G117="","",IF(G117="Umum",G117,VLOOKUP(F117,'Data Induk Pegawai'!B:AE,4,FALSE)))</f>
        <v/>
      </c>
      <c r="D117" s="19" t="str">
        <f>IF('REGISTER SK'!A120="","",IF('REGISTER SK'!B120=0,D116,'REGISTER SK'!B120))</f>
        <v/>
      </c>
      <c r="E117" s="19" t="str">
        <f t="shared" si="27"/>
        <v/>
      </c>
      <c r="F117" s="29"/>
      <c r="G117" s="29"/>
      <c r="H117" s="31" t="str">
        <f>IF(F117="","",VLOOKUP(F117,'Data Induk Pegawai'!B:U,2,FALSE))</f>
        <v/>
      </c>
      <c r="I117" s="19" t="str">
        <f>IF('REGISTER SK'!C120="","",'REGISTER SK'!C120)</f>
        <v/>
      </c>
      <c r="J117" s="125"/>
      <c r="K117" s="125"/>
      <c r="L117" s="26" t="str">
        <f>IF('REGISTER SK'!D120="","",'REGISTER SK'!D120)</f>
        <v/>
      </c>
      <c r="M117" s="26" t="str">
        <f>IF('REGISTER SK'!E120="","",'REGISTER SK'!E120)</f>
        <v/>
      </c>
      <c r="N117" s="31" t="str">
        <f>IF(G117="","",IF(OR(G117="GTT",G117="PTT"),"--",VLOOKUP(F117,'Data Induk Pegawai'!B:AE,4,FALSE)))</f>
        <v/>
      </c>
      <c r="O117" s="18" t="s">
        <v>264</v>
      </c>
      <c r="P117" s="31" t="str">
        <f>IF(G117="","",VLOOKUP(F117,'Data Induk Pegawai'!B:AE,7,FALSE))</f>
        <v/>
      </c>
      <c r="Q117" s="30"/>
      <c r="R117" s="26" t="str">
        <f>IF(G117="","","Nomor "&amp;RIGHT(VLOOKUP(F117,'Data Induk Pegawai'!B:AE,12,FALSE),2)&amp;" Tahun "&amp;MID(VLOOKUP(F117,'Data Induk Pegawai'!B:AE,12,FALSE),5,4))</f>
        <v/>
      </c>
      <c r="S117" s="26" t="str">
        <f>IF(G117="","",VLOOKUP(F117,'Data Induk Pegawai'!B:AE,11,FALSE))</f>
        <v/>
      </c>
      <c r="T117" s="56"/>
      <c r="U117" s="18" t="str">
        <f t="shared" si="28"/>
        <v/>
      </c>
      <c r="V117" s="30"/>
      <c r="W117" s="18" t="str">
        <f t="shared" si="29"/>
        <v/>
      </c>
      <c r="X117" s="16"/>
      <c r="Y117" s="97" t="str">
        <f t="shared" si="30"/>
        <v/>
      </c>
      <c r="Z117" s="97" t="str">
        <f t="shared" si="31"/>
        <v/>
      </c>
      <c r="AA117" s="97" t="str">
        <f t="shared" si="32"/>
        <v/>
      </c>
      <c r="AB117" s="25" t="str">
        <f>COUNTIFS(AC117:AC$596,AC117)&amp;AC117</f>
        <v>480</v>
      </c>
      <c r="AC117" t="str">
        <f t="shared" si="33"/>
        <v/>
      </c>
      <c r="AD117" t="str">
        <f>COUNTIFS(AC$2:AC117,AC117)&amp;AC117</f>
        <v>116</v>
      </c>
      <c r="AE117" t="str">
        <f t="shared" si="34"/>
        <v/>
      </c>
      <c r="AF117" t="str">
        <f t="shared" si="35"/>
        <v>..</v>
      </c>
      <c r="AG117" s="28" t="str">
        <f t="shared" si="36"/>
        <v/>
      </c>
      <c r="AH117" s="28" t="str">
        <f t="shared" si="37"/>
        <v/>
      </c>
      <c r="AI117" t="str">
        <f t="shared" si="24"/>
        <v/>
      </c>
      <c r="AJ117" t="str">
        <f t="shared" si="38"/>
        <v/>
      </c>
      <c r="AK117" t="str">
        <f t="shared" si="39"/>
        <v/>
      </c>
      <c r="AL117" t="str">
        <f t="shared" si="40"/>
        <v/>
      </c>
      <c r="AM117" t="str">
        <f t="shared" si="25"/>
        <v/>
      </c>
      <c r="AN117" t="str">
        <f t="shared" si="41"/>
        <v/>
      </c>
      <c r="AO117" t="str">
        <f t="shared" si="42"/>
        <v/>
      </c>
      <c r="AP117" t="str">
        <f t="shared" si="43"/>
        <v/>
      </c>
      <c r="AQ117" t="str">
        <f t="shared" si="26"/>
        <v/>
      </c>
      <c r="AR117" t="str">
        <f t="shared" si="44"/>
        <v/>
      </c>
      <c r="AS117" t="str">
        <f t="shared" si="45"/>
        <v/>
      </c>
      <c r="AT117" t="str">
        <f t="shared" si="46"/>
        <v/>
      </c>
      <c r="AU117" s="25" t="str">
        <f t="shared" si="47"/>
        <v/>
      </c>
      <c r="BA117">
        <f>'REGISTER SK'!F120</f>
        <v>0</v>
      </c>
    </row>
    <row r="118" spans="1:53" x14ac:dyDescent="0.35">
      <c r="A118" s="18">
        <v>117</v>
      </c>
      <c r="B118" s="36" t="s">
        <v>379</v>
      </c>
      <c r="C118" s="18" t="str">
        <f>IF(G118="","",IF(G118="Umum",G118,VLOOKUP(F118,'Data Induk Pegawai'!B:AE,4,FALSE)))</f>
        <v/>
      </c>
      <c r="D118" s="19" t="str">
        <f>IF('REGISTER SK'!A121="","",IF('REGISTER SK'!B121=0,D117,'REGISTER SK'!B121))</f>
        <v/>
      </c>
      <c r="E118" s="19" t="str">
        <f t="shared" si="27"/>
        <v/>
      </c>
      <c r="F118" s="29"/>
      <c r="G118" s="29"/>
      <c r="H118" s="31" t="str">
        <f>IF(F118="","",VLOOKUP(F118,'Data Induk Pegawai'!B:U,2,FALSE))</f>
        <v/>
      </c>
      <c r="I118" s="19" t="str">
        <f>IF('REGISTER SK'!C121="","",'REGISTER SK'!C121)</f>
        <v/>
      </c>
      <c r="J118" s="125"/>
      <c r="K118" s="125"/>
      <c r="L118" s="26" t="str">
        <f>IF('REGISTER SK'!D121="","",'REGISTER SK'!D121)</f>
        <v/>
      </c>
      <c r="M118" s="26" t="str">
        <f>IF('REGISTER SK'!E121="","",'REGISTER SK'!E121)</f>
        <v/>
      </c>
      <c r="N118" s="31" t="str">
        <f>IF(G118="","",IF(OR(G118="GTT",G118="PTT"),"--",VLOOKUP(F118,'Data Induk Pegawai'!B:AE,4,FALSE)))</f>
        <v/>
      </c>
      <c r="O118" s="18" t="s">
        <v>267</v>
      </c>
      <c r="P118" s="31" t="str">
        <f>IF(G118="","",VLOOKUP(F118,'Data Induk Pegawai'!B:AE,7,FALSE))</f>
        <v/>
      </c>
      <c r="Q118" s="30"/>
      <c r="R118" s="26" t="str">
        <f>IF(G118="","","Nomor "&amp;RIGHT(VLOOKUP(F118,'Data Induk Pegawai'!B:AE,12,FALSE),2)&amp;" Tahun "&amp;MID(VLOOKUP(F118,'Data Induk Pegawai'!B:AE,12,FALSE),5,4))</f>
        <v/>
      </c>
      <c r="S118" s="26" t="str">
        <f>IF(G118="","",VLOOKUP(F118,'Data Induk Pegawai'!B:AE,11,FALSE))</f>
        <v/>
      </c>
      <c r="T118" s="56"/>
      <c r="U118" s="18" t="str">
        <f t="shared" si="28"/>
        <v/>
      </c>
      <c r="V118" s="30"/>
      <c r="W118" s="18" t="str">
        <f t="shared" si="29"/>
        <v/>
      </c>
      <c r="X118" s="16"/>
      <c r="Y118" s="97" t="str">
        <f t="shared" si="30"/>
        <v/>
      </c>
      <c r="Z118" s="97" t="str">
        <f t="shared" si="31"/>
        <v/>
      </c>
      <c r="AA118" s="97" t="str">
        <f t="shared" si="32"/>
        <v/>
      </c>
      <c r="AB118" s="25" t="str">
        <f>COUNTIFS(AC118:AC$596,AC118)&amp;AC118</f>
        <v>479</v>
      </c>
      <c r="AC118" t="str">
        <f t="shared" si="33"/>
        <v/>
      </c>
      <c r="AD118" t="str">
        <f>COUNTIFS(AC$2:AC118,AC118)&amp;AC118</f>
        <v>117</v>
      </c>
      <c r="AE118" t="str">
        <f t="shared" si="34"/>
        <v/>
      </c>
      <c r="AF118" t="str">
        <f t="shared" si="35"/>
        <v>..</v>
      </c>
      <c r="AG118" s="28" t="str">
        <f t="shared" si="36"/>
        <v/>
      </c>
      <c r="AH118" s="28" t="str">
        <f t="shared" si="37"/>
        <v/>
      </c>
      <c r="AI118" t="str">
        <f t="shared" si="24"/>
        <v/>
      </c>
      <c r="AJ118" t="str">
        <f t="shared" si="38"/>
        <v/>
      </c>
      <c r="AK118" t="str">
        <f t="shared" si="39"/>
        <v/>
      </c>
      <c r="AL118" t="str">
        <f t="shared" si="40"/>
        <v/>
      </c>
      <c r="AM118" t="str">
        <f t="shared" si="25"/>
        <v/>
      </c>
      <c r="AN118" t="str">
        <f t="shared" si="41"/>
        <v/>
      </c>
      <c r="AO118" t="str">
        <f t="shared" si="42"/>
        <v/>
      </c>
      <c r="AP118" t="str">
        <f t="shared" si="43"/>
        <v/>
      </c>
      <c r="AQ118" t="str">
        <f t="shared" si="26"/>
        <v/>
      </c>
      <c r="AR118" t="str">
        <f t="shared" si="44"/>
        <v/>
      </c>
      <c r="AS118" t="str">
        <f t="shared" si="45"/>
        <v/>
      </c>
      <c r="AT118" t="str">
        <f t="shared" si="46"/>
        <v/>
      </c>
      <c r="AU118" s="25" t="str">
        <f t="shared" si="47"/>
        <v/>
      </c>
      <c r="BA118">
        <f>'REGISTER SK'!F121</f>
        <v>0</v>
      </c>
    </row>
    <row r="119" spans="1:53" x14ac:dyDescent="0.35">
      <c r="A119" s="18">
        <v>118</v>
      </c>
      <c r="B119" s="36" t="s">
        <v>379</v>
      </c>
      <c r="C119" s="18" t="str">
        <f>IF(G119="","",IF(G119="Umum",G119,VLOOKUP(F119,'Data Induk Pegawai'!B:AE,4,FALSE)))</f>
        <v/>
      </c>
      <c r="D119" s="19" t="str">
        <f>IF('REGISTER SK'!A122="","",IF('REGISTER SK'!B122=0,D118,'REGISTER SK'!B122))</f>
        <v/>
      </c>
      <c r="E119" s="19" t="str">
        <f t="shared" si="27"/>
        <v/>
      </c>
      <c r="F119" s="29"/>
      <c r="G119" s="29"/>
      <c r="H119" s="31" t="str">
        <f>IF(F119="","",VLOOKUP(F119,'Data Induk Pegawai'!B:U,2,FALSE))</f>
        <v/>
      </c>
      <c r="I119" s="19" t="str">
        <f>IF('REGISTER SK'!C122="","",'REGISTER SK'!C122)</f>
        <v/>
      </c>
      <c r="J119" s="125"/>
      <c r="K119" s="125"/>
      <c r="L119" s="26" t="str">
        <f>IF('REGISTER SK'!D122="","",'REGISTER SK'!D122)</f>
        <v/>
      </c>
      <c r="M119" s="26" t="str">
        <f>IF('REGISTER SK'!E122="","",'REGISTER SK'!E122)</f>
        <v/>
      </c>
      <c r="N119" s="31" t="str">
        <f>IF(G119="","",IF(OR(G119="GTT",G119="PTT"),"--",VLOOKUP(F119,'Data Induk Pegawai'!B:AE,4,FALSE)))</f>
        <v/>
      </c>
      <c r="O119" s="18" t="s">
        <v>271</v>
      </c>
      <c r="P119" s="31" t="str">
        <f>IF(G119="","",VLOOKUP(F119,'Data Induk Pegawai'!B:AE,7,FALSE))</f>
        <v/>
      </c>
      <c r="Q119" s="30"/>
      <c r="R119" s="26" t="str">
        <f>IF(G119="","","Nomor "&amp;RIGHT(VLOOKUP(F119,'Data Induk Pegawai'!B:AE,12,FALSE),2)&amp;" Tahun "&amp;MID(VLOOKUP(F119,'Data Induk Pegawai'!B:AE,12,FALSE),5,4))</f>
        <v/>
      </c>
      <c r="S119" s="26" t="str">
        <f>IF(G119="","",VLOOKUP(F119,'Data Induk Pegawai'!B:AE,11,FALSE))</f>
        <v/>
      </c>
      <c r="T119" s="56"/>
      <c r="U119" s="18" t="str">
        <f t="shared" si="28"/>
        <v/>
      </c>
      <c r="V119" s="30"/>
      <c r="W119" s="18" t="str">
        <f t="shared" si="29"/>
        <v/>
      </c>
      <c r="X119" s="16"/>
      <c r="Y119" s="97" t="str">
        <f t="shared" si="30"/>
        <v/>
      </c>
      <c r="Z119" s="97" t="str">
        <f t="shared" si="31"/>
        <v/>
      </c>
      <c r="AA119" s="97" t="str">
        <f t="shared" si="32"/>
        <v/>
      </c>
      <c r="AB119" s="25" t="str">
        <f>COUNTIFS(AC119:AC$596,AC119)&amp;AC119</f>
        <v>478</v>
      </c>
      <c r="AC119" t="str">
        <f t="shared" si="33"/>
        <v/>
      </c>
      <c r="AD119" t="str">
        <f>COUNTIFS(AC$2:AC119,AC119)&amp;AC119</f>
        <v>118</v>
      </c>
      <c r="AE119" t="str">
        <f t="shared" si="34"/>
        <v/>
      </c>
      <c r="AF119" t="str">
        <f t="shared" si="35"/>
        <v>..</v>
      </c>
      <c r="AG119" s="28" t="str">
        <f t="shared" si="36"/>
        <v/>
      </c>
      <c r="AH119" s="28" t="str">
        <f t="shared" si="37"/>
        <v/>
      </c>
      <c r="AI119" t="str">
        <f t="shared" si="24"/>
        <v/>
      </c>
      <c r="AJ119" t="str">
        <f t="shared" si="38"/>
        <v/>
      </c>
      <c r="AK119" t="str">
        <f t="shared" si="39"/>
        <v/>
      </c>
      <c r="AL119" t="str">
        <f t="shared" si="40"/>
        <v/>
      </c>
      <c r="AM119" t="str">
        <f t="shared" si="25"/>
        <v/>
      </c>
      <c r="AN119" t="str">
        <f t="shared" si="41"/>
        <v/>
      </c>
      <c r="AO119" t="str">
        <f t="shared" si="42"/>
        <v/>
      </c>
      <c r="AP119" t="str">
        <f t="shared" si="43"/>
        <v/>
      </c>
      <c r="AQ119" t="str">
        <f t="shared" si="26"/>
        <v/>
      </c>
      <c r="AR119" t="str">
        <f t="shared" si="44"/>
        <v/>
      </c>
      <c r="AS119" t="str">
        <f t="shared" si="45"/>
        <v/>
      </c>
      <c r="AT119" t="str">
        <f t="shared" si="46"/>
        <v/>
      </c>
      <c r="AU119" s="25" t="str">
        <f t="shared" si="47"/>
        <v/>
      </c>
      <c r="BA119">
        <f>'REGISTER SK'!F122</f>
        <v>0</v>
      </c>
    </row>
    <row r="120" spans="1:53" x14ac:dyDescent="0.35">
      <c r="A120" s="18">
        <v>119</v>
      </c>
      <c r="B120" s="36" t="s">
        <v>379</v>
      </c>
      <c r="C120" s="18" t="str">
        <f>IF(G120="","",IF(G120="Umum",G120,VLOOKUP(F120,'Data Induk Pegawai'!B:AE,4,FALSE)))</f>
        <v/>
      </c>
      <c r="D120" s="19" t="str">
        <f>IF('REGISTER SK'!A123="","",IF('REGISTER SK'!B123=0,D119,'REGISTER SK'!B123))</f>
        <v/>
      </c>
      <c r="E120" s="19" t="str">
        <f t="shared" si="27"/>
        <v/>
      </c>
      <c r="F120" s="29"/>
      <c r="G120" s="29"/>
      <c r="H120" s="31" t="str">
        <f>IF(F120="","",VLOOKUP(F120,'Data Induk Pegawai'!B:U,2,FALSE))</f>
        <v/>
      </c>
      <c r="I120" s="19" t="str">
        <f>IF('REGISTER SK'!C123="","",'REGISTER SK'!C123)</f>
        <v/>
      </c>
      <c r="J120" s="125"/>
      <c r="K120" s="125"/>
      <c r="L120" s="26" t="str">
        <f>IF('REGISTER SK'!D123="","",'REGISTER SK'!D123)</f>
        <v/>
      </c>
      <c r="M120" s="26" t="str">
        <f>IF('REGISTER SK'!E123="","",'REGISTER SK'!E123)</f>
        <v/>
      </c>
      <c r="N120" s="31" t="str">
        <f>IF(G120="","",IF(OR(G120="GTT",G120="PTT"),"--",VLOOKUP(F120,'Data Induk Pegawai'!B:AE,4,FALSE)))</f>
        <v/>
      </c>
      <c r="O120" s="18" t="s">
        <v>273</v>
      </c>
      <c r="P120" s="31" t="str">
        <f>IF(G120="","",VLOOKUP(F120,'Data Induk Pegawai'!B:AE,7,FALSE))</f>
        <v/>
      </c>
      <c r="Q120" s="30"/>
      <c r="R120" s="26" t="str">
        <f>IF(G120="","","Nomor "&amp;RIGHT(VLOOKUP(F120,'Data Induk Pegawai'!B:AE,12,FALSE),2)&amp;" Tahun "&amp;MID(VLOOKUP(F120,'Data Induk Pegawai'!B:AE,12,FALSE),5,4))</f>
        <v/>
      </c>
      <c r="S120" s="26" t="str">
        <f>IF(G120="","",VLOOKUP(F120,'Data Induk Pegawai'!B:AE,11,FALSE))</f>
        <v/>
      </c>
      <c r="T120" s="56"/>
      <c r="U120" s="18" t="str">
        <f t="shared" si="28"/>
        <v/>
      </c>
      <c r="V120" s="30"/>
      <c r="W120" s="18" t="str">
        <f t="shared" si="29"/>
        <v/>
      </c>
      <c r="X120" s="16"/>
      <c r="Y120" s="97" t="str">
        <f t="shared" si="30"/>
        <v/>
      </c>
      <c r="Z120" s="97" t="str">
        <f t="shared" si="31"/>
        <v/>
      </c>
      <c r="AA120" s="97" t="str">
        <f t="shared" si="32"/>
        <v/>
      </c>
      <c r="AB120" s="25" t="str">
        <f>COUNTIFS(AC120:AC$596,AC120)&amp;AC120</f>
        <v>477</v>
      </c>
      <c r="AC120" t="str">
        <f t="shared" si="33"/>
        <v/>
      </c>
      <c r="AD120" t="str">
        <f>COUNTIFS(AC$2:AC120,AC120)&amp;AC120</f>
        <v>119</v>
      </c>
      <c r="AE120" t="str">
        <f t="shared" si="34"/>
        <v/>
      </c>
      <c r="AF120" t="str">
        <f t="shared" si="35"/>
        <v>..</v>
      </c>
      <c r="AG120" s="28" t="str">
        <f t="shared" si="36"/>
        <v/>
      </c>
      <c r="AH120" s="28" t="str">
        <f t="shared" si="37"/>
        <v/>
      </c>
      <c r="AI120" t="str">
        <f t="shared" si="24"/>
        <v/>
      </c>
      <c r="AJ120" t="str">
        <f t="shared" si="38"/>
        <v/>
      </c>
      <c r="AK120" t="str">
        <f t="shared" si="39"/>
        <v/>
      </c>
      <c r="AL120" t="str">
        <f t="shared" si="40"/>
        <v/>
      </c>
      <c r="AM120" t="str">
        <f t="shared" si="25"/>
        <v/>
      </c>
      <c r="AN120" t="str">
        <f t="shared" si="41"/>
        <v/>
      </c>
      <c r="AO120" t="str">
        <f t="shared" si="42"/>
        <v/>
      </c>
      <c r="AP120" t="str">
        <f t="shared" si="43"/>
        <v/>
      </c>
      <c r="AQ120" t="str">
        <f t="shared" si="26"/>
        <v/>
      </c>
      <c r="AR120" t="str">
        <f t="shared" si="44"/>
        <v/>
      </c>
      <c r="AS120" t="str">
        <f t="shared" si="45"/>
        <v/>
      </c>
      <c r="AT120" t="str">
        <f t="shared" si="46"/>
        <v/>
      </c>
      <c r="AU120" s="25" t="str">
        <f t="shared" si="47"/>
        <v/>
      </c>
      <c r="BA120">
        <f>'REGISTER SK'!F123</f>
        <v>0</v>
      </c>
    </row>
    <row r="121" spans="1:53" x14ac:dyDescent="0.35">
      <c r="A121" s="18">
        <v>120</v>
      </c>
      <c r="B121" s="36" t="s">
        <v>379</v>
      </c>
      <c r="C121" s="18" t="str">
        <f>IF(G121="","",IF(G121="Umum",G121,VLOOKUP(F121,'Data Induk Pegawai'!B:AE,4,FALSE)))</f>
        <v/>
      </c>
      <c r="D121" s="19" t="str">
        <f>IF('REGISTER SK'!A124="","",IF('REGISTER SK'!B124=0,D120,'REGISTER SK'!B124))</f>
        <v/>
      </c>
      <c r="E121" s="19" t="str">
        <f t="shared" si="27"/>
        <v/>
      </c>
      <c r="F121" s="29"/>
      <c r="G121" s="29"/>
      <c r="H121" s="31" t="str">
        <f>IF(F121="","",VLOOKUP(F121,'Data Induk Pegawai'!B:U,2,FALSE))</f>
        <v/>
      </c>
      <c r="I121" s="19" t="str">
        <f>IF('REGISTER SK'!C124="","",'REGISTER SK'!C124)</f>
        <v/>
      </c>
      <c r="J121" s="125"/>
      <c r="K121" s="125"/>
      <c r="L121" s="26" t="str">
        <f>IF('REGISTER SK'!D124="","",'REGISTER SK'!D124)</f>
        <v/>
      </c>
      <c r="M121" s="26" t="str">
        <f>IF('REGISTER SK'!E124="","",'REGISTER SK'!E124)</f>
        <v/>
      </c>
      <c r="N121" s="31" t="str">
        <f>IF(G121="","",IF(OR(G121="GTT",G121="PTT"),"--",VLOOKUP(F121,'Data Induk Pegawai'!B:AE,4,FALSE)))</f>
        <v/>
      </c>
      <c r="O121" s="18" t="s">
        <v>274</v>
      </c>
      <c r="P121" s="31" t="str">
        <f>IF(G121="","",VLOOKUP(F121,'Data Induk Pegawai'!B:AE,7,FALSE))</f>
        <v/>
      </c>
      <c r="Q121" s="30"/>
      <c r="R121" s="26" t="str">
        <f>IF(G121="","","Nomor "&amp;RIGHT(VLOOKUP(F121,'Data Induk Pegawai'!B:AE,12,FALSE),2)&amp;" Tahun "&amp;MID(VLOOKUP(F121,'Data Induk Pegawai'!B:AE,12,FALSE),5,4))</f>
        <v/>
      </c>
      <c r="S121" s="26" t="str">
        <f>IF(G121="","",VLOOKUP(F121,'Data Induk Pegawai'!B:AE,11,FALSE))</f>
        <v/>
      </c>
      <c r="T121" s="56"/>
      <c r="U121" s="18" t="str">
        <f t="shared" si="28"/>
        <v/>
      </c>
      <c r="V121" s="30"/>
      <c r="W121" s="18" t="str">
        <f t="shared" si="29"/>
        <v/>
      </c>
      <c r="X121" s="16"/>
      <c r="Y121" s="97" t="str">
        <f t="shared" si="30"/>
        <v/>
      </c>
      <c r="Z121" s="97" t="str">
        <f t="shared" si="31"/>
        <v/>
      </c>
      <c r="AA121" s="97" t="str">
        <f t="shared" si="32"/>
        <v/>
      </c>
      <c r="AB121" s="25" t="str">
        <f>COUNTIFS(AC121:AC$596,AC121)&amp;AC121</f>
        <v>476</v>
      </c>
      <c r="AC121" t="str">
        <f t="shared" si="33"/>
        <v/>
      </c>
      <c r="AD121" t="str">
        <f>COUNTIFS(AC$2:AC121,AC121)&amp;AC121</f>
        <v>120</v>
      </c>
      <c r="AE121" t="str">
        <f t="shared" si="34"/>
        <v/>
      </c>
      <c r="AF121" t="str">
        <f t="shared" si="35"/>
        <v>..</v>
      </c>
      <c r="AG121" s="28" t="str">
        <f t="shared" si="36"/>
        <v/>
      </c>
      <c r="AH121" s="28" t="str">
        <f t="shared" si="37"/>
        <v/>
      </c>
      <c r="AI121" t="str">
        <f t="shared" si="24"/>
        <v/>
      </c>
      <c r="AJ121" t="str">
        <f t="shared" si="38"/>
        <v/>
      </c>
      <c r="AK121" t="str">
        <f t="shared" si="39"/>
        <v/>
      </c>
      <c r="AL121" t="str">
        <f t="shared" si="40"/>
        <v/>
      </c>
      <c r="AM121" t="str">
        <f t="shared" si="25"/>
        <v/>
      </c>
      <c r="AN121" t="str">
        <f t="shared" si="41"/>
        <v/>
      </c>
      <c r="AO121" t="str">
        <f t="shared" si="42"/>
        <v/>
      </c>
      <c r="AP121" t="str">
        <f t="shared" si="43"/>
        <v/>
      </c>
      <c r="AQ121" t="str">
        <f t="shared" si="26"/>
        <v/>
      </c>
      <c r="AR121" t="str">
        <f t="shared" si="44"/>
        <v/>
      </c>
      <c r="AS121" t="str">
        <f t="shared" si="45"/>
        <v/>
      </c>
      <c r="AT121" t="str">
        <f t="shared" si="46"/>
        <v/>
      </c>
      <c r="AU121" s="25" t="str">
        <f t="shared" si="47"/>
        <v/>
      </c>
      <c r="BA121">
        <f>'REGISTER SK'!F124</f>
        <v>0</v>
      </c>
    </row>
    <row r="122" spans="1:53" x14ac:dyDescent="0.35">
      <c r="A122" s="18">
        <v>121</v>
      </c>
      <c r="B122" s="36" t="s">
        <v>379</v>
      </c>
      <c r="C122" s="18" t="str">
        <f>IF(G122="","",IF(G122="Umum",G122,VLOOKUP(F122,'Data Induk Pegawai'!B:AE,4,FALSE)))</f>
        <v/>
      </c>
      <c r="D122" s="19" t="str">
        <f>IF('REGISTER SK'!A125="","",IF('REGISTER SK'!B125=0,D121,'REGISTER SK'!B125))</f>
        <v/>
      </c>
      <c r="E122" s="19" t="str">
        <f t="shared" si="27"/>
        <v/>
      </c>
      <c r="F122" s="29"/>
      <c r="G122" s="29"/>
      <c r="H122" s="31" t="str">
        <f>IF(F122="","",VLOOKUP(F122,'Data Induk Pegawai'!B:U,2,FALSE))</f>
        <v/>
      </c>
      <c r="I122" s="19" t="str">
        <f>IF('REGISTER SK'!C125="","",'REGISTER SK'!C125)</f>
        <v/>
      </c>
      <c r="J122" s="125"/>
      <c r="K122" s="125"/>
      <c r="L122" s="26" t="str">
        <f>IF('REGISTER SK'!D125="","",'REGISTER SK'!D125)</f>
        <v/>
      </c>
      <c r="M122" s="26" t="str">
        <f>IF('REGISTER SK'!E125="","",'REGISTER SK'!E125)</f>
        <v/>
      </c>
      <c r="N122" s="31" t="str">
        <f>IF(G122="","",IF(OR(G122="GTT",G122="PTT"),"--",VLOOKUP(F122,'Data Induk Pegawai'!B:AE,4,FALSE)))</f>
        <v/>
      </c>
      <c r="O122" s="18" t="s">
        <v>275</v>
      </c>
      <c r="P122" s="31" t="str">
        <f>IF(G122="","",VLOOKUP(F122,'Data Induk Pegawai'!B:AE,7,FALSE))</f>
        <v/>
      </c>
      <c r="Q122" s="30"/>
      <c r="R122" s="26" t="str">
        <f>IF(G122="","","Nomor "&amp;RIGHT(VLOOKUP(F122,'Data Induk Pegawai'!B:AE,12,FALSE),2)&amp;" Tahun "&amp;MID(VLOOKUP(F122,'Data Induk Pegawai'!B:AE,12,FALSE),5,4))</f>
        <v/>
      </c>
      <c r="S122" s="26" t="str">
        <f>IF(G122="","",VLOOKUP(F122,'Data Induk Pegawai'!B:AE,11,FALSE))</f>
        <v/>
      </c>
      <c r="T122" s="56"/>
      <c r="U122" s="18" t="str">
        <f t="shared" si="28"/>
        <v/>
      </c>
      <c r="V122" s="30"/>
      <c r="W122" s="18" t="str">
        <f t="shared" si="29"/>
        <v/>
      </c>
      <c r="X122" s="16"/>
      <c r="Y122" s="97" t="str">
        <f t="shared" si="30"/>
        <v/>
      </c>
      <c r="Z122" s="97" t="str">
        <f t="shared" si="31"/>
        <v/>
      </c>
      <c r="AA122" s="97" t="str">
        <f t="shared" si="32"/>
        <v/>
      </c>
      <c r="AB122" s="25" t="str">
        <f>COUNTIFS(AC122:AC$596,AC122)&amp;AC122</f>
        <v>475</v>
      </c>
      <c r="AC122" t="str">
        <f t="shared" si="33"/>
        <v/>
      </c>
      <c r="AD122" t="str">
        <f>COUNTIFS(AC$2:AC122,AC122)&amp;AC122</f>
        <v>121</v>
      </c>
      <c r="AE122" t="str">
        <f t="shared" si="34"/>
        <v/>
      </c>
      <c r="AF122" t="str">
        <f t="shared" si="35"/>
        <v>..</v>
      </c>
      <c r="AG122" s="28" t="str">
        <f t="shared" si="36"/>
        <v/>
      </c>
      <c r="AH122" s="28" t="str">
        <f t="shared" si="37"/>
        <v/>
      </c>
      <c r="AI122" t="str">
        <f t="shared" si="24"/>
        <v/>
      </c>
      <c r="AJ122" t="str">
        <f t="shared" si="38"/>
        <v/>
      </c>
      <c r="AK122" t="str">
        <f t="shared" si="39"/>
        <v/>
      </c>
      <c r="AL122" t="str">
        <f t="shared" si="40"/>
        <v/>
      </c>
      <c r="AM122" t="str">
        <f t="shared" si="25"/>
        <v/>
      </c>
      <c r="AN122" t="str">
        <f t="shared" si="41"/>
        <v/>
      </c>
      <c r="AO122" t="str">
        <f t="shared" si="42"/>
        <v/>
      </c>
      <c r="AP122" t="str">
        <f t="shared" si="43"/>
        <v/>
      </c>
      <c r="AQ122" t="str">
        <f t="shared" si="26"/>
        <v/>
      </c>
      <c r="AR122" t="str">
        <f t="shared" si="44"/>
        <v/>
      </c>
      <c r="AS122" t="str">
        <f t="shared" si="45"/>
        <v/>
      </c>
      <c r="AT122" t="str">
        <f t="shared" si="46"/>
        <v/>
      </c>
      <c r="AU122" s="25" t="str">
        <f t="shared" si="47"/>
        <v/>
      </c>
      <c r="BA122">
        <f>'REGISTER SK'!F125</f>
        <v>0</v>
      </c>
    </row>
    <row r="123" spans="1:53" x14ac:dyDescent="0.35">
      <c r="A123" s="18">
        <v>122</v>
      </c>
      <c r="B123" s="36" t="s">
        <v>379</v>
      </c>
      <c r="C123" s="18" t="str">
        <f>IF(G123="","",IF(G123="Umum",G123,VLOOKUP(F123,'Data Induk Pegawai'!B:AE,4,FALSE)))</f>
        <v/>
      </c>
      <c r="D123" s="19" t="str">
        <f>IF('REGISTER SK'!A126="","",IF('REGISTER SK'!B126=0,D122,'REGISTER SK'!B126))</f>
        <v/>
      </c>
      <c r="E123" s="19" t="str">
        <f t="shared" si="27"/>
        <v/>
      </c>
      <c r="F123" s="29"/>
      <c r="G123" s="29"/>
      <c r="H123" s="31" t="str">
        <f>IF(F123="","",VLOOKUP(F123,'Data Induk Pegawai'!B:U,2,FALSE))</f>
        <v/>
      </c>
      <c r="I123" s="19" t="str">
        <f>IF('REGISTER SK'!C126="","",'REGISTER SK'!C126)</f>
        <v/>
      </c>
      <c r="J123" s="125"/>
      <c r="K123" s="125"/>
      <c r="L123" s="26" t="str">
        <f>IF('REGISTER SK'!D126="","",'REGISTER SK'!D126)</f>
        <v/>
      </c>
      <c r="M123" s="26" t="str">
        <f>IF('REGISTER SK'!E126="","",'REGISTER SK'!E126)</f>
        <v/>
      </c>
      <c r="N123" s="31" t="str">
        <f>IF(G123="","",IF(OR(G123="GTT",G123="PTT"),"--",VLOOKUP(F123,'Data Induk Pegawai'!B:AE,4,FALSE)))</f>
        <v/>
      </c>
      <c r="O123" s="18" t="s">
        <v>500</v>
      </c>
      <c r="P123" s="31" t="str">
        <f>IF(G123="","",VLOOKUP(F123,'Data Induk Pegawai'!B:AE,7,FALSE))</f>
        <v/>
      </c>
      <c r="Q123" s="30"/>
      <c r="R123" s="26" t="str">
        <f>IF(G123="","","Nomor "&amp;RIGHT(VLOOKUP(F123,'Data Induk Pegawai'!B:AE,12,FALSE),2)&amp;" Tahun "&amp;MID(VLOOKUP(F123,'Data Induk Pegawai'!B:AE,12,FALSE),5,4))</f>
        <v/>
      </c>
      <c r="S123" s="26" t="str">
        <f>IF(G123="","",VLOOKUP(F123,'Data Induk Pegawai'!B:AE,11,FALSE))</f>
        <v/>
      </c>
      <c r="T123" s="56"/>
      <c r="U123" s="18" t="str">
        <f t="shared" si="28"/>
        <v/>
      </c>
      <c r="V123" s="30"/>
      <c r="W123" s="18" t="str">
        <f t="shared" si="29"/>
        <v/>
      </c>
      <c r="X123" s="16"/>
      <c r="Y123" s="97" t="str">
        <f t="shared" si="30"/>
        <v/>
      </c>
      <c r="Z123" s="97" t="str">
        <f t="shared" si="31"/>
        <v/>
      </c>
      <c r="AA123" s="97" t="str">
        <f t="shared" si="32"/>
        <v/>
      </c>
      <c r="AB123" s="25" t="str">
        <f>COUNTIFS(AC123:AC$596,AC123)&amp;AC123</f>
        <v>474</v>
      </c>
      <c r="AC123" t="str">
        <f t="shared" si="33"/>
        <v/>
      </c>
      <c r="AD123" t="str">
        <f>COUNTIFS(AC$2:AC123,AC123)&amp;AC123</f>
        <v>122</v>
      </c>
      <c r="AE123" t="str">
        <f t="shared" si="34"/>
        <v/>
      </c>
      <c r="AF123" t="str">
        <f t="shared" si="35"/>
        <v>..</v>
      </c>
      <c r="AG123" s="28" t="str">
        <f t="shared" si="36"/>
        <v/>
      </c>
      <c r="AH123" s="28" t="str">
        <f t="shared" si="37"/>
        <v/>
      </c>
      <c r="AI123" t="str">
        <f t="shared" si="24"/>
        <v/>
      </c>
      <c r="AJ123" t="str">
        <f t="shared" si="38"/>
        <v/>
      </c>
      <c r="AK123" t="str">
        <f t="shared" si="39"/>
        <v/>
      </c>
      <c r="AL123" t="str">
        <f t="shared" si="40"/>
        <v/>
      </c>
      <c r="AM123" t="str">
        <f t="shared" si="25"/>
        <v/>
      </c>
      <c r="AN123" t="str">
        <f t="shared" si="41"/>
        <v/>
      </c>
      <c r="AO123" t="str">
        <f t="shared" si="42"/>
        <v/>
      </c>
      <c r="AP123" t="str">
        <f t="shared" si="43"/>
        <v/>
      </c>
      <c r="AQ123" t="str">
        <f t="shared" si="26"/>
        <v/>
      </c>
      <c r="AR123" t="str">
        <f t="shared" si="44"/>
        <v/>
      </c>
      <c r="AS123" t="str">
        <f t="shared" si="45"/>
        <v/>
      </c>
      <c r="AT123" t="str">
        <f t="shared" si="46"/>
        <v/>
      </c>
      <c r="AU123" s="25" t="str">
        <f t="shared" si="47"/>
        <v/>
      </c>
      <c r="BA123">
        <f>'REGISTER SK'!F126</f>
        <v>0</v>
      </c>
    </row>
    <row r="124" spans="1:53" x14ac:dyDescent="0.35">
      <c r="A124" s="18">
        <v>123</v>
      </c>
      <c r="B124" s="36" t="s">
        <v>379</v>
      </c>
      <c r="C124" s="18" t="str">
        <f>IF(G124="","",IF(G124="Umum",G124,VLOOKUP(F124,'Data Induk Pegawai'!B:AE,4,FALSE)))</f>
        <v/>
      </c>
      <c r="D124" s="19" t="str">
        <f>IF('REGISTER SK'!A127="","",IF('REGISTER SK'!B127=0,D123,'REGISTER SK'!B127))</f>
        <v/>
      </c>
      <c r="E124" s="19" t="str">
        <f t="shared" si="27"/>
        <v/>
      </c>
      <c r="F124" s="29"/>
      <c r="G124" s="29"/>
      <c r="H124" s="31" t="str">
        <f>IF(F124="","",VLOOKUP(F124,'Data Induk Pegawai'!B:U,2,FALSE))</f>
        <v/>
      </c>
      <c r="I124" s="19" t="str">
        <f>IF('REGISTER SK'!C127="","",'REGISTER SK'!C127)</f>
        <v/>
      </c>
      <c r="J124" s="125"/>
      <c r="K124" s="125"/>
      <c r="L124" s="26" t="str">
        <f>IF('REGISTER SK'!D127="","",'REGISTER SK'!D127)</f>
        <v/>
      </c>
      <c r="M124" s="26" t="str">
        <f>IF('REGISTER SK'!E127="","",'REGISTER SK'!E127)</f>
        <v/>
      </c>
      <c r="N124" s="31" t="str">
        <f>IF(G124="","",IF(OR(G124="GTT",G124="PTT"),"--",VLOOKUP(F124,'Data Induk Pegawai'!B:AE,4,FALSE)))</f>
        <v/>
      </c>
      <c r="O124" s="18" t="s">
        <v>277</v>
      </c>
      <c r="P124" s="31" t="str">
        <f>IF(G124="","",VLOOKUP(F124,'Data Induk Pegawai'!B:AE,7,FALSE))</f>
        <v/>
      </c>
      <c r="Q124" s="30"/>
      <c r="R124" s="26" t="str">
        <f>IF(G124="","","Nomor "&amp;RIGHT(VLOOKUP(F124,'Data Induk Pegawai'!B:AE,12,FALSE),2)&amp;" Tahun "&amp;MID(VLOOKUP(F124,'Data Induk Pegawai'!B:AE,12,FALSE),5,4))</f>
        <v/>
      </c>
      <c r="S124" s="26" t="str">
        <f>IF(G124="","",VLOOKUP(F124,'Data Induk Pegawai'!B:AE,11,FALSE))</f>
        <v/>
      </c>
      <c r="T124" s="56"/>
      <c r="U124" s="18" t="str">
        <f t="shared" si="28"/>
        <v/>
      </c>
      <c r="V124" s="30"/>
      <c r="W124" s="18" t="str">
        <f t="shared" si="29"/>
        <v/>
      </c>
      <c r="X124" s="16"/>
      <c r="Y124" s="97" t="str">
        <f t="shared" si="30"/>
        <v/>
      </c>
      <c r="Z124" s="97" t="str">
        <f t="shared" si="31"/>
        <v/>
      </c>
      <c r="AA124" s="97" t="str">
        <f t="shared" si="32"/>
        <v/>
      </c>
      <c r="AB124" s="25" t="str">
        <f>COUNTIFS(AC124:AC$596,AC124)&amp;AC124</f>
        <v>473</v>
      </c>
      <c r="AC124" t="str">
        <f t="shared" si="33"/>
        <v/>
      </c>
      <c r="AD124" t="str">
        <f>COUNTIFS(AC$2:AC124,AC124)&amp;AC124</f>
        <v>123</v>
      </c>
      <c r="AE124" t="str">
        <f t="shared" si="34"/>
        <v/>
      </c>
      <c r="AF124" t="str">
        <f t="shared" si="35"/>
        <v>..</v>
      </c>
      <c r="AG124" s="28" t="str">
        <f t="shared" si="36"/>
        <v/>
      </c>
      <c r="AH124" s="28" t="str">
        <f t="shared" si="37"/>
        <v/>
      </c>
      <c r="AI124" t="str">
        <f t="shared" si="24"/>
        <v/>
      </c>
      <c r="AJ124" t="str">
        <f t="shared" si="38"/>
        <v/>
      </c>
      <c r="AK124" t="str">
        <f t="shared" si="39"/>
        <v/>
      </c>
      <c r="AL124" t="str">
        <f t="shared" si="40"/>
        <v/>
      </c>
      <c r="AM124" t="str">
        <f t="shared" si="25"/>
        <v/>
      </c>
      <c r="AN124" t="str">
        <f t="shared" si="41"/>
        <v/>
      </c>
      <c r="AO124" t="str">
        <f t="shared" si="42"/>
        <v/>
      </c>
      <c r="AP124" t="str">
        <f t="shared" si="43"/>
        <v/>
      </c>
      <c r="AQ124" t="str">
        <f t="shared" si="26"/>
        <v/>
      </c>
      <c r="AR124" t="str">
        <f t="shared" si="44"/>
        <v/>
      </c>
      <c r="AS124" t="str">
        <f t="shared" si="45"/>
        <v/>
      </c>
      <c r="AT124" t="str">
        <f t="shared" si="46"/>
        <v/>
      </c>
      <c r="AU124" s="25" t="str">
        <f t="shared" si="47"/>
        <v/>
      </c>
      <c r="BA124">
        <f>'REGISTER SK'!F127</f>
        <v>0</v>
      </c>
    </row>
    <row r="125" spans="1:53" s="34" customFormat="1" x14ac:dyDescent="0.35">
      <c r="A125" s="18">
        <v>124</v>
      </c>
      <c r="B125" s="36" t="s">
        <v>379</v>
      </c>
      <c r="C125" s="18" t="str">
        <f>IF(G125="","",IF(G125="Umum",G125,VLOOKUP(F125,'Data Induk Pegawai'!B:AE,4,FALSE)))</f>
        <v/>
      </c>
      <c r="D125" s="32" t="str">
        <f>IF('REGISTER SK'!A128="","",IF('REGISTER SK'!B128=0,D124,'REGISTER SK'!B128))</f>
        <v/>
      </c>
      <c r="E125" s="19" t="str">
        <f t="shared" si="27"/>
        <v/>
      </c>
      <c r="F125" s="32"/>
      <c r="G125" s="32"/>
      <c r="H125" s="31" t="str">
        <f>IF(F125="","",VLOOKUP(F125,'Data Induk Pegawai'!B:U,2,FALSE))</f>
        <v/>
      </c>
      <c r="I125" s="19" t="str">
        <f>IF('REGISTER SK'!C128="","",'REGISTER SK'!C128)</f>
        <v/>
      </c>
      <c r="J125" s="125"/>
      <c r="K125" s="125"/>
      <c r="L125" s="33" t="str">
        <f>IF('REGISTER SK'!D128="","",'REGISTER SK'!D128)</f>
        <v/>
      </c>
      <c r="M125" s="33" t="str">
        <f>IF('REGISTER SK'!E128="","",'REGISTER SK'!E128)</f>
        <v/>
      </c>
      <c r="N125" s="31" t="str">
        <f>IF(G125="","",IF(OR(G125="GTT",G125="PTT"),"--",VLOOKUP(F125,'Data Induk Pegawai'!B:AE,4,FALSE)))</f>
        <v/>
      </c>
      <c r="O125" s="18" t="s">
        <v>282</v>
      </c>
      <c r="P125" s="31" t="str">
        <f>IF(G125="","",VLOOKUP(F125,'Data Induk Pegawai'!B:AE,7,FALSE))</f>
        <v/>
      </c>
      <c r="Q125" s="27"/>
      <c r="R125" s="26" t="str">
        <f>IF(G125="","","Nomor "&amp;RIGHT(VLOOKUP(F125,'Data Induk Pegawai'!B:AE,12,FALSE),2)&amp;" Tahun "&amp;MID(VLOOKUP(F125,'Data Induk Pegawai'!B:AE,12,FALSE),5,4))</f>
        <v/>
      </c>
      <c r="S125" s="26" t="str">
        <f>IF(G125="","",VLOOKUP(F125,'Data Induk Pegawai'!B:AE,11,FALSE))</f>
        <v/>
      </c>
      <c r="T125" s="58"/>
      <c r="U125" s="18" t="str">
        <f t="shared" si="28"/>
        <v/>
      </c>
      <c r="V125" s="27"/>
      <c r="W125" s="27" t="str">
        <f t="shared" si="29"/>
        <v/>
      </c>
      <c r="X125" s="16"/>
      <c r="Y125" s="97" t="str">
        <f t="shared" si="30"/>
        <v/>
      </c>
      <c r="Z125" s="97" t="str">
        <f t="shared" si="31"/>
        <v/>
      </c>
      <c r="AA125" s="97" t="str">
        <f t="shared" si="32"/>
        <v/>
      </c>
      <c r="AB125" s="98" t="str">
        <f>COUNTIFS(AC125:AC$596,AC125)&amp;AC125</f>
        <v>472</v>
      </c>
      <c r="AC125" t="str">
        <f t="shared" si="33"/>
        <v/>
      </c>
      <c r="AD125" s="34" t="str">
        <f>COUNTIFS(AC$2:AC125,AC125)&amp;AC125</f>
        <v>124</v>
      </c>
      <c r="AE125" t="str">
        <f t="shared" si="34"/>
        <v/>
      </c>
      <c r="AF125" t="str">
        <f t="shared" si="35"/>
        <v>..</v>
      </c>
      <c r="AG125" s="35" t="str">
        <f t="shared" si="36"/>
        <v/>
      </c>
      <c r="AH125" s="35" t="str">
        <f t="shared" si="37"/>
        <v/>
      </c>
      <c r="AI125" t="str">
        <f t="shared" si="24"/>
        <v/>
      </c>
      <c r="AJ125" t="str">
        <f t="shared" si="38"/>
        <v/>
      </c>
      <c r="AK125" t="str">
        <f t="shared" si="39"/>
        <v/>
      </c>
      <c r="AL125" t="str">
        <f t="shared" si="40"/>
        <v/>
      </c>
      <c r="AM125" t="str">
        <f t="shared" si="25"/>
        <v/>
      </c>
      <c r="AN125" t="str">
        <f t="shared" si="41"/>
        <v/>
      </c>
      <c r="AO125" t="str">
        <f t="shared" si="42"/>
        <v/>
      </c>
      <c r="AP125" t="str">
        <f t="shared" si="43"/>
        <v/>
      </c>
      <c r="AQ125" t="str">
        <f t="shared" si="26"/>
        <v/>
      </c>
      <c r="AR125" t="str">
        <f t="shared" si="44"/>
        <v/>
      </c>
      <c r="AS125" t="str">
        <f t="shared" si="45"/>
        <v/>
      </c>
      <c r="AT125" t="str">
        <f t="shared" si="46"/>
        <v/>
      </c>
      <c r="AU125" s="25" t="str">
        <f t="shared" si="47"/>
        <v/>
      </c>
      <c r="BA125">
        <f>'REGISTER SK'!F128</f>
        <v>0</v>
      </c>
    </row>
    <row r="126" spans="1:53" x14ac:dyDescent="0.35">
      <c r="A126" s="18">
        <v>125</v>
      </c>
      <c r="B126" s="36" t="s">
        <v>379</v>
      </c>
      <c r="C126" s="18" t="str">
        <f>IF(G126="","",IF(G126="Umum",G126,VLOOKUP(F126,'Data Induk Pegawai'!B:AE,4,FALSE)))</f>
        <v/>
      </c>
      <c r="D126" s="19" t="str">
        <f>IF('REGISTER SK'!A129="","",IF('REGISTER SK'!B129=0,D125,'REGISTER SK'!B129))</f>
        <v/>
      </c>
      <c r="E126" s="19" t="str">
        <f t="shared" si="27"/>
        <v/>
      </c>
      <c r="F126" s="29"/>
      <c r="G126" s="29"/>
      <c r="H126" s="31" t="str">
        <f>IF(F126="","",VLOOKUP(F126,'Data Induk Pegawai'!B:U,2,FALSE))</f>
        <v/>
      </c>
      <c r="I126" s="19" t="str">
        <f>IF('REGISTER SK'!C129="","",'REGISTER SK'!C129)</f>
        <v/>
      </c>
      <c r="J126" s="125"/>
      <c r="K126" s="125"/>
      <c r="L126" s="26" t="str">
        <f>IF('REGISTER SK'!D129="","",'REGISTER SK'!D129)</f>
        <v/>
      </c>
      <c r="M126" s="26" t="str">
        <f>IF('REGISTER SK'!E129="","",'REGISTER SK'!E129)</f>
        <v/>
      </c>
      <c r="N126" s="31" t="str">
        <f>IF(G126="","",IF(OR(G126="GTT",G126="PTT"),"--",VLOOKUP(F126,'Data Induk Pegawai'!B:AE,4,FALSE)))</f>
        <v/>
      </c>
      <c r="O126" s="18" t="s">
        <v>283</v>
      </c>
      <c r="P126" s="31" t="str">
        <f>IF(G126="","",VLOOKUP(F126,'Data Induk Pegawai'!B:AE,7,FALSE))</f>
        <v/>
      </c>
      <c r="Q126" s="30"/>
      <c r="R126" s="26" t="str">
        <f>IF(G126="","","Nomor "&amp;RIGHT(VLOOKUP(F126,'Data Induk Pegawai'!B:AE,12,FALSE),2)&amp;" Tahun "&amp;MID(VLOOKUP(F126,'Data Induk Pegawai'!B:AE,12,FALSE),5,4))</f>
        <v/>
      </c>
      <c r="S126" s="26" t="str">
        <f>IF(G126="","",VLOOKUP(F126,'Data Induk Pegawai'!B:AE,11,FALSE))</f>
        <v/>
      </c>
      <c r="T126" s="56"/>
      <c r="U126" s="18" t="str">
        <f t="shared" si="28"/>
        <v/>
      </c>
      <c r="V126" s="30"/>
      <c r="W126" s="18" t="str">
        <f t="shared" si="29"/>
        <v/>
      </c>
      <c r="X126" s="16"/>
      <c r="Y126" s="97" t="str">
        <f t="shared" si="30"/>
        <v/>
      </c>
      <c r="Z126" s="97" t="str">
        <f t="shared" si="31"/>
        <v/>
      </c>
      <c r="AA126" s="97" t="str">
        <f t="shared" si="32"/>
        <v/>
      </c>
      <c r="AB126" s="25" t="str">
        <f>COUNTIFS(AC126:AC$596,AC126)&amp;AC126</f>
        <v>471</v>
      </c>
      <c r="AC126" t="str">
        <f t="shared" si="33"/>
        <v/>
      </c>
      <c r="AD126" t="str">
        <f>COUNTIFS(AC$2:AC126,AC126)&amp;AC126</f>
        <v>125</v>
      </c>
      <c r="AE126" t="str">
        <f t="shared" si="34"/>
        <v/>
      </c>
      <c r="AF126" t="str">
        <f t="shared" si="35"/>
        <v>..</v>
      </c>
      <c r="AG126" s="28" t="str">
        <f t="shared" si="36"/>
        <v/>
      </c>
      <c r="AH126" s="28" t="str">
        <f t="shared" si="37"/>
        <v/>
      </c>
      <c r="AI126" t="str">
        <f t="shared" si="24"/>
        <v/>
      </c>
      <c r="AJ126" t="str">
        <f t="shared" si="38"/>
        <v/>
      </c>
      <c r="AK126" t="str">
        <f t="shared" si="39"/>
        <v/>
      </c>
      <c r="AL126" t="str">
        <f t="shared" si="40"/>
        <v/>
      </c>
      <c r="AM126" t="str">
        <f t="shared" si="25"/>
        <v/>
      </c>
      <c r="AN126" t="str">
        <f t="shared" si="41"/>
        <v/>
      </c>
      <c r="AO126" t="str">
        <f t="shared" si="42"/>
        <v/>
      </c>
      <c r="AP126" t="str">
        <f t="shared" si="43"/>
        <v/>
      </c>
      <c r="AQ126" t="str">
        <f t="shared" si="26"/>
        <v/>
      </c>
      <c r="AR126" t="str">
        <f t="shared" si="44"/>
        <v/>
      </c>
      <c r="AS126" t="str">
        <f t="shared" si="45"/>
        <v/>
      </c>
      <c r="AT126" t="str">
        <f t="shared" si="46"/>
        <v/>
      </c>
      <c r="AU126" s="25" t="str">
        <f t="shared" si="47"/>
        <v/>
      </c>
      <c r="BA126">
        <f>'REGISTER SK'!F129</f>
        <v>0</v>
      </c>
    </row>
    <row r="127" spans="1:53" x14ac:dyDescent="0.35">
      <c r="A127" s="18">
        <v>126</v>
      </c>
      <c r="B127" s="36" t="s">
        <v>379</v>
      </c>
      <c r="C127" s="18" t="str">
        <f>IF(G127="","",IF(G127="Umum",G127,VLOOKUP(F127,'Data Induk Pegawai'!B:AE,4,FALSE)))</f>
        <v/>
      </c>
      <c r="D127" s="19" t="str">
        <f>IF('REGISTER SK'!A130="","",IF('REGISTER SK'!B130=0,D126,'REGISTER SK'!B130))</f>
        <v/>
      </c>
      <c r="E127" s="19" t="str">
        <f t="shared" si="27"/>
        <v/>
      </c>
      <c r="F127" s="29"/>
      <c r="G127" s="29"/>
      <c r="H127" s="31" t="str">
        <f>IF(F127="","",VLOOKUP(F127,'Data Induk Pegawai'!B:U,2,FALSE))</f>
        <v/>
      </c>
      <c r="I127" s="19" t="str">
        <f>IF('REGISTER SK'!C130="","",'REGISTER SK'!C130)</f>
        <v/>
      </c>
      <c r="J127" s="125"/>
      <c r="K127" s="125"/>
      <c r="L127" s="26" t="str">
        <f>IF('REGISTER SK'!D130="","",'REGISTER SK'!D130)</f>
        <v/>
      </c>
      <c r="M127" s="26" t="str">
        <f>IF('REGISTER SK'!E130="","",'REGISTER SK'!E130)</f>
        <v/>
      </c>
      <c r="N127" s="31" t="str">
        <f>IF(G127="","",IF(OR(G127="GTT",G127="PTT"),"--",VLOOKUP(F127,'Data Induk Pegawai'!B:AE,4,FALSE)))</f>
        <v/>
      </c>
      <c r="O127" s="18" t="s">
        <v>284</v>
      </c>
      <c r="P127" s="31" t="str">
        <f>IF(G127="","",VLOOKUP(F127,'Data Induk Pegawai'!B:AE,7,FALSE))</f>
        <v/>
      </c>
      <c r="Q127" s="30"/>
      <c r="R127" s="26" t="str">
        <f>IF(G127="","","Nomor "&amp;RIGHT(VLOOKUP(F127,'Data Induk Pegawai'!B:AE,12,FALSE),2)&amp;" Tahun "&amp;MID(VLOOKUP(F127,'Data Induk Pegawai'!B:AE,12,FALSE),5,4))</f>
        <v/>
      </c>
      <c r="S127" s="26" t="str">
        <f>IF(G127="","",VLOOKUP(F127,'Data Induk Pegawai'!B:AE,11,FALSE))</f>
        <v/>
      </c>
      <c r="T127" s="56"/>
      <c r="U127" s="18" t="str">
        <f t="shared" si="28"/>
        <v/>
      </c>
      <c r="V127" s="30"/>
      <c r="W127" s="18" t="str">
        <f t="shared" si="29"/>
        <v/>
      </c>
      <c r="X127" s="16"/>
      <c r="Y127" s="97" t="str">
        <f t="shared" si="30"/>
        <v/>
      </c>
      <c r="Z127" s="97" t="str">
        <f t="shared" si="31"/>
        <v/>
      </c>
      <c r="AA127" s="97" t="str">
        <f t="shared" si="32"/>
        <v/>
      </c>
      <c r="AB127" s="25" t="str">
        <f>COUNTIFS(AC127:AC$596,AC127)&amp;AC127</f>
        <v>470</v>
      </c>
      <c r="AC127" t="str">
        <f t="shared" si="33"/>
        <v/>
      </c>
      <c r="AD127" t="str">
        <f>COUNTIFS(AC$2:AC127,AC127)&amp;AC127</f>
        <v>126</v>
      </c>
      <c r="AE127" t="str">
        <f t="shared" si="34"/>
        <v/>
      </c>
      <c r="AF127" t="str">
        <f t="shared" si="35"/>
        <v>..</v>
      </c>
      <c r="AG127" s="28" t="str">
        <f t="shared" si="36"/>
        <v/>
      </c>
      <c r="AH127" s="28" t="str">
        <f t="shared" si="37"/>
        <v/>
      </c>
      <c r="AI127" t="str">
        <f t="shared" si="24"/>
        <v/>
      </c>
      <c r="AJ127" t="str">
        <f t="shared" si="38"/>
        <v/>
      </c>
      <c r="AK127" t="str">
        <f t="shared" si="39"/>
        <v/>
      </c>
      <c r="AL127" t="str">
        <f t="shared" si="40"/>
        <v/>
      </c>
      <c r="AM127" t="str">
        <f t="shared" si="25"/>
        <v/>
      </c>
      <c r="AN127" t="str">
        <f t="shared" si="41"/>
        <v/>
      </c>
      <c r="AO127" t="str">
        <f t="shared" si="42"/>
        <v/>
      </c>
      <c r="AP127" t="str">
        <f t="shared" si="43"/>
        <v/>
      </c>
      <c r="AQ127" t="str">
        <f t="shared" si="26"/>
        <v/>
      </c>
      <c r="AR127" t="str">
        <f t="shared" si="44"/>
        <v/>
      </c>
      <c r="AS127" t="str">
        <f t="shared" si="45"/>
        <v/>
      </c>
      <c r="AT127" t="str">
        <f t="shared" si="46"/>
        <v/>
      </c>
      <c r="AU127" s="25" t="str">
        <f t="shared" si="47"/>
        <v/>
      </c>
      <c r="BA127">
        <f>'REGISTER SK'!F130</f>
        <v>0</v>
      </c>
    </row>
    <row r="128" spans="1:53" x14ac:dyDescent="0.35">
      <c r="A128" s="18">
        <v>127</v>
      </c>
      <c r="B128" s="36" t="s">
        <v>379</v>
      </c>
      <c r="C128" s="18" t="str">
        <f>IF(G128="","",IF(G128="Umum",G128,VLOOKUP(F128,'Data Induk Pegawai'!B:AE,4,FALSE)))</f>
        <v/>
      </c>
      <c r="D128" s="19" t="str">
        <f>IF('REGISTER SK'!A131="","",IF('REGISTER SK'!B131=0,D127,'REGISTER SK'!B131))</f>
        <v/>
      </c>
      <c r="E128" s="19" t="str">
        <f t="shared" si="27"/>
        <v/>
      </c>
      <c r="F128" s="29"/>
      <c r="G128" s="29"/>
      <c r="H128" s="31" t="str">
        <f>IF(F128="","",VLOOKUP(F128,'Data Induk Pegawai'!B:U,2,FALSE))</f>
        <v/>
      </c>
      <c r="I128" s="19" t="str">
        <f>IF('REGISTER SK'!C131="","",'REGISTER SK'!C131)</f>
        <v/>
      </c>
      <c r="J128" s="125"/>
      <c r="K128" s="125"/>
      <c r="L128" s="26" t="str">
        <f>IF('REGISTER SK'!D131="","",'REGISTER SK'!D131)</f>
        <v/>
      </c>
      <c r="M128" s="26" t="str">
        <f>IF('REGISTER SK'!E131="","",'REGISTER SK'!E131)</f>
        <v/>
      </c>
      <c r="N128" s="31" t="str">
        <f>IF(G128="","",IF(OR(G128="GTT",G128="PTT"),"--",VLOOKUP(F128,'Data Induk Pegawai'!B:AE,4,FALSE)))</f>
        <v/>
      </c>
      <c r="O128" s="18" t="s">
        <v>285</v>
      </c>
      <c r="P128" s="31" t="str">
        <f>IF(G128="","",VLOOKUP(F128,'Data Induk Pegawai'!B:AE,7,FALSE))</f>
        <v/>
      </c>
      <c r="Q128" s="30"/>
      <c r="R128" s="26" t="str">
        <f>IF(G128="","","Nomor "&amp;RIGHT(VLOOKUP(F128,'Data Induk Pegawai'!B:AE,12,FALSE),2)&amp;" Tahun "&amp;MID(VLOOKUP(F128,'Data Induk Pegawai'!B:AE,12,FALSE),5,4))</f>
        <v/>
      </c>
      <c r="S128" s="26" t="str">
        <f>IF(G128="","",VLOOKUP(F128,'Data Induk Pegawai'!B:AE,11,FALSE))</f>
        <v/>
      </c>
      <c r="T128" s="56"/>
      <c r="U128" s="18" t="str">
        <f t="shared" si="28"/>
        <v/>
      </c>
      <c r="V128" s="30"/>
      <c r="W128" s="18" t="str">
        <f t="shared" si="29"/>
        <v/>
      </c>
      <c r="X128" s="16"/>
      <c r="Y128" s="97" t="str">
        <f t="shared" si="30"/>
        <v/>
      </c>
      <c r="Z128" s="97" t="str">
        <f t="shared" si="31"/>
        <v/>
      </c>
      <c r="AA128" s="97" t="str">
        <f t="shared" si="32"/>
        <v/>
      </c>
      <c r="AB128" s="25" t="str">
        <f>COUNTIFS(AC128:AC$596,AC128)&amp;AC128</f>
        <v>469</v>
      </c>
      <c r="AC128" t="str">
        <f t="shared" si="33"/>
        <v/>
      </c>
      <c r="AD128" t="str">
        <f>COUNTIFS(AC$2:AC128,AC128)&amp;AC128</f>
        <v>127</v>
      </c>
      <c r="AE128" t="str">
        <f t="shared" si="34"/>
        <v/>
      </c>
      <c r="AF128" t="str">
        <f t="shared" si="35"/>
        <v>..</v>
      </c>
      <c r="AG128" s="28" t="str">
        <f t="shared" si="36"/>
        <v/>
      </c>
      <c r="AH128" s="28" t="str">
        <f t="shared" si="37"/>
        <v/>
      </c>
      <c r="AI128" t="str">
        <f t="shared" si="24"/>
        <v/>
      </c>
      <c r="AJ128" t="str">
        <f t="shared" si="38"/>
        <v/>
      </c>
      <c r="AK128" t="str">
        <f t="shared" si="39"/>
        <v/>
      </c>
      <c r="AL128" t="str">
        <f t="shared" si="40"/>
        <v/>
      </c>
      <c r="AM128" t="str">
        <f t="shared" si="25"/>
        <v/>
      </c>
      <c r="AN128" t="str">
        <f t="shared" si="41"/>
        <v/>
      </c>
      <c r="AO128" t="str">
        <f t="shared" si="42"/>
        <v/>
      </c>
      <c r="AP128" t="str">
        <f t="shared" si="43"/>
        <v/>
      </c>
      <c r="AQ128" t="str">
        <f t="shared" si="26"/>
        <v/>
      </c>
      <c r="AR128" t="str">
        <f t="shared" si="44"/>
        <v/>
      </c>
      <c r="AS128" t="str">
        <f t="shared" si="45"/>
        <v/>
      </c>
      <c r="AT128" t="str">
        <f t="shared" si="46"/>
        <v/>
      </c>
      <c r="AU128" s="25" t="str">
        <f t="shared" si="47"/>
        <v/>
      </c>
      <c r="BA128">
        <f>'REGISTER SK'!F131</f>
        <v>0</v>
      </c>
    </row>
    <row r="129" spans="1:53" x14ac:dyDescent="0.35">
      <c r="A129" s="18">
        <v>128</v>
      </c>
      <c r="B129" s="36" t="s">
        <v>379</v>
      </c>
      <c r="C129" s="18" t="str">
        <f>IF(G129="","",IF(G129="Umum",G129,VLOOKUP(F129,'Data Induk Pegawai'!B:AE,4,FALSE)))</f>
        <v/>
      </c>
      <c r="D129" s="19" t="str">
        <f>IF('REGISTER SK'!A132="","",IF('REGISTER SK'!B132=0,D128,'REGISTER SK'!B132))</f>
        <v/>
      </c>
      <c r="E129" s="19" t="str">
        <f t="shared" si="27"/>
        <v/>
      </c>
      <c r="F129" s="29"/>
      <c r="G129" s="29"/>
      <c r="H129" s="31" t="str">
        <f>IF(F129="","",VLOOKUP(F129,'Data Induk Pegawai'!B:U,2,FALSE))</f>
        <v/>
      </c>
      <c r="I129" s="19" t="str">
        <f>IF('REGISTER SK'!C132="","",'REGISTER SK'!C132)</f>
        <v/>
      </c>
      <c r="J129" s="125"/>
      <c r="K129" s="125"/>
      <c r="L129" s="26" t="str">
        <f>IF('REGISTER SK'!D132="","",'REGISTER SK'!D132)</f>
        <v/>
      </c>
      <c r="M129" s="26" t="str">
        <f>IF('REGISTER SK'!E132="","",'REGISTER SK'!E132)</f>
        <v/>
      </c>
      <c r="N129" s="31" t="str">
        <f>IF(G129="","",IF(OR(G129="GTT",G129="PTT"),"--",VLOOKUP(F129,'Data Induk Pegawai'!B:AE,4,FALSE)))</f>
        <v/>
      </c>
      <c r="O129" s="18" t="s">
        <v>286</v>
      </c>
      <c r="P129" s="31" t="str">
        <f>IF(G129="","",VLOOKUP(F129,'Data Induk Pegawai'!B:AE,7,FALSE))</f>
        <v/>
      </c>
      <c r="Q129" s="30"/>
      <c r="R129" s="26" t="str">
        <f>IF(G129="","","Nomor "&amp;RIGHT(VLOOKUP(F129,'Data Induk Pegawai'!B:AE,12,FALSE),2)&amp;" Tahun "&amp;MID(VLOOKUP(F129,'Data Induk Pegawai'!B:AE,12,FALSE),5,4))</f>
        <v/>
      </c>
      <c r="S129" s="26" t="str">
        <f>IF(G129="","",VLOOKUP(F129,'Data Induk Pegawai'!B:AE,11,FALSE))</f>
        <v/>
      </c>
      <c r="T129" s="56"/>
      <c r="U129" s="18" t="str">
        <f t="shared" si="28"/>
        <v/>
      </c>
      <c r="V129" s="30"/>
      <c r="W129" s="18" t="str">
        <f t="shared" si="29"/>
        <v/>
      </c>
      <c r="X129" s="16"/>
      <c r="Y129" s="97" t="str">
        <f t="shared" si="30"/>
        <v/>
      </c>
      <c r="Z129" s="97" t="str">
        <f t="shared" si="31"/>
        <v/>
      </c>
      <c r="AA129" s="97" t="str">
        <f t="shared" si="32"/>
        <v/>
      </c>
      <c r="AB129" s="25" t="str">
        <f>COUNTIFS(AC129:AC$596,AC129)&amp;AC129</f>
        <v>468</v>
      </c>
      <c r="AC129" t="str">
        <f t="shared" si="33"/>
        <v/>
      </c>
      <c r="AD129" t="str">
        <f>COUNTIFS(AC$2:AC129,AC129)&amp;AC129</f>
        <v>128</v>
      </c>
      <c r="AE129" t="str">
        <f t="shared" si="34"/>
        <v/>
      </c>
      <c r="AF129" t="str">
        <f t="shared" si="35"/>
        <v>..</v>
      </c>
      <c r="AG129" s="28" t="str">
        <f t="shared" si="36"/>
        <v/>
      </c>
      <c r="AH129" s="28" t="str">
        <f t="shared" si="37"/>
        <v/>
      </c>
      <c r="AI129" t="str">
        <f t="shared" si="24"/>
        <v/>
      </c>
      <c r="AJ129" t="str">
        <f t="shared" si="38"/>
        <v/>
      </c>
      <c r="AK129" t="str">
        <f t="shared" si="39"/>
        <v/>
      </c>
      <c r="AL129" t="str">
        <f t="shared" si="40"/>
        <v/>
      </c>
      <c r="AM129" t="str">
        <f t="shared" si="25"/>
        <v/>
      </c>
      <c r="AN129" t="str">
        <f t="shared" si="41"/>
        <v/>
      </c>
      <c r="AO129" t="str">
        <f t="shared" si="42"/>
        <v/>
      </c>
      <c r="AP129" t="str">
        <f t="shared" si="43"/>
        <v/>
      </c>
      <c r="AQ129" t="str">
        <f t="shared" si="26"/>
        <v/>
      </c>
      <c r="AR129" t="str">
        <f t="shared" si="44"/>
        <v/>
      </c>
      <c r="AS129" t="str">
        <f t="shared" si="45"/>
        <v/>
      </c>
      <c r="AT129" t="str">
        <f t="shared" si="46"/>
        <v/>
      </c>
      <c r="AU129" s="25" t="str">
        <f t="shared" si="47"/>
        <v/>
      </c>
      <c r="BA129">
        <f>'REGISTER SK'!F132</f>
        <v>0</v>
      </c>
    </row>
    <row r="130" spans="1:53" x14ac:dyDescent="0.35">
      <c r="A130" s="18">
        <v>129</v>
      </c>
      <c r="B130" s="36" t="s">
        <v>379</v>
      </c>
      <c r="C130" s="18" t="str">
        <f>IF(G130="","",IF(G130="Umum",G130,VLOOKUP(F130,'Data Induk Pegawai'!B:AE,4,FALSE)))</f>
        <v/>
      </c>
      <c r="D130" s="19" t="str">
        <f>IF('REGISTER SK'!A133="","",IF('REGISTER SK'!B133=0,D129,'REGISTER SK'!B133))</f>
        <v/>
      </c>
      <c r="E130" s="19" t="str">
        <f t="shared" si="27"/>
        <v/>
      </c>
      <c r="F130" s="29"/>
      <c r="G130" s="29"/>
      <c r="H130" s="31" t="str">
        <f>IF(F130="","",VLOOKUP(F130,'Data Induk Pegawai'!B:U,2,FALSE))</f>
        <v/>
      </c>
      <c r="I130" s="19" t="str">
        <f>IF('REGISTER SK'!C133="","",'REGISTER SK'!C133)</f>
        <v/>
      </c>
      <c r="J130" s="125"/>
      <c r="K130" s="125"/>
      <c r="L130" s="26" t="str">
        <f>IF('REGISTER SK'!D133="","",'REGISTER SK'!D133)</f>
        <v/>
      </c>
      <c r="M130" s="26" t="str">
        <f>IF('REGISTER SK'!E133="","",'REGISTER SK'!E133)</f>
        <v/>
      </c>
      <c r="N130" s="31" t="str">
        <f>IF(G130="","",IF(OR(G130="GTT",G130="PTT"),"--",VLOOKUP(F130,'Data Induk Pegawai'!B:AE,4,FALSE)))</f>
        <v/>
      </c>
      <c r="O130" s="18" t="s">
        <v>287</v>
      </c>
      <c r="P130" s="31" t="str">
        <f>IF(G130="","",VLOOKUP(F130,'Data Induk Pegawai'!B:AE,7,FALSE))</f>
        <v/>
      </c>
      <c r="Q130" s="30"/>
      <c r="R130" s="26" t="str">
        <f>IF(G130="","","Nomor "&amp;RIGHT(VLOOKUP(F130,'Data Induk Pegawai'!B:AE,12,FALSE),2)&amp;" Tahun "&amp;MID(VLOOKUP(F130,'Data Induk Pegawai'!B:AE,12,FALSE),5,4))</f>
        <v/>
      </c>
      <c r="S130" s="26" t="str">
        <f>IF(G130="","",VLOOKUP(F130,'Data Induk Pegawai'!B:AE,11,FALSE))</f>
        <v/>
      </c>
      <c r="T130" s="56"/>
      <c r="U130" s="18" t="str">
        <f t="shared" ref="U130:U193" si="48">IF(Y130="","",IF(Z130&lt;1,AA130&amp;" Bulan",IF(AND(Z130&gt;0,AA130=0),Z130&amp;" Tahun",Z130&amp;" Tahun "&amp;AA130&amp;" Bulan")))</f>
        <v/>
      </c>
      <c r="V130" s="30"/>
      <c r="W130" s="18" t="str">
        <f t="shared" ref="W130:W193" si="49">V130&amp;H130</f>
        <v/>
      </c>
      <c r="X130" s="16"/>
      <c r="Y130" s="97" t="str">
        <f t="shared" ref="Y130:Y193" si="50">IFERROR(IF(S130="","",DATEDIF(S130,M130,"M")),"?")</f>
        <v/>
      </c>
      <c r="Z130" s="97" t="str">
        <f t="shared" ref="Z130:Z193" si="51">IFERROR(IF(Y130="","",ROUNDDOWN(Y130/12,0)),"-")</f>
        <v/>
      </c>
      <c r="AA130" s="97" t="str">
        <f t="shared" ref="AA130:AA193" si="52">IFERROR(IF(Y130="","",Y130-Z130*12),"-")</f>
        <v/>
      </c>
      <c r="AB130" s="25" t="str">
        <f>COUNTIFS(AC130:AC$596,AC130)&amp;AC130</f>
        <v>467</v>
      </c>
      <c r="AC130" t="str">
        <f t="shared" si="33"/>
        <v/>
      </c>
      <c r="AD130" t="str">
        <f>COUNTIFS(AC$2:AC130,AC130)&amp;AC130</f>
        <v>129</v>
      </c>
      <c r="AE130" t="str">
        <f t="shared" ref="AE130:AE193" si="53">IF(LEFT(V130,16)="SK Pemberhentian",E130&amp;"OUT"&amp;F130,E130&amp;G130&amp;F130)</f>
        <v/>
      </c>
      <c r="AF130" t="str">
        <f t="shared" si="35"/>
        <v>..</v>
      </c>
      <c r="AG130" s="28" t="str">
        <f t="shared" ref="AG130:AG193" si="54">L130</f>
        <v/>
      </c>
      <c r="AH130" s="28" t="str">
        <f t="shared" ref="AH130:AH193" si="55">M130</f>
        <v/>
      </c>
      <c r="AI130" t="str">
        <f t="shared" ref="AI130:AI193" si="56">IF(AG130="","",AJ130&amp;" "&amp;VLOOKUP(AK130,AX:AY,2,FALSE)&amp;" "&amp;AL130)</f>
        <v/>
      </c>
      <c r="AJ130" t="str">
        <f t="shared" ref="AJ130:AJ193" si="57">TEXT(AG130,"D")</f>
        <v/>
      </c>
      <c r="AK130" t="str">
        <f t="shared" ref="AK130:AK193" si="58">TEXT(AG130,"MMMM")</f>
        <v/>
      </c>
      <c r="AL130" t="str">
        <f t="shared" ref="AL130:AL193" si="59">TEXT(AG130,"YYYY")</f>
        <v/>
      </c>
      <c r="AM130" t="str">
        <f t="shared" ref="AM130:AM193" si="60">IF(AI130="","",AN130&amp;" "&amp;VLOOKUP(AO130,AX:AY,2,FALSE)&amp;" "&amp;AP130)</f>
        <v/>
      </c>
      <c r="AN130" t="str">
        <f t="shared" ref="AN130:AN193" si="61">TEXT(S130,"D")</f>
        <v/>
      </c>
      <c r="AO130" t="str">
        <f t="shared" ref="AO130:AO193" si="62">TEXT(S130,"MMMM")</f>
        <v/>
      </c>
      <c r="AP130" t="str">
        <f t="shared" ref="AP130:AP193" si="63">TEXT(S130,"YYYY")</f>
        <v/>
      </c>
      <c r="AQ130" t="str">
        <f t="shared" ref="AQ130:AQ193" si="64">IF(AM130="","",AR130&amp;" "&amp;VLOOKUP(AS130,AX:AY,2,FALSE)&amp;" "&amp;AT130)</f>
        <v/>
      </c>
      <c r="AR130" t="str">
        <f t="shared" ref="AR130:AR193" si="65">TEXT(M130,"D")</f>
        <v/>
      </c>
      <c r="AS130" t="str">
        <f t="shared" ref="AS130:AS193" si="66">TEXT(M130,"MMMM")</f>
        <v/>
      </c>
      <c r="AT130" t="str">
        <f t="shared" ref="AT130:AT193" si="67">TEXT(M130,"YYYY")</f>
        <v/>
      </c>
      <c r="AU130" s="25" t="str">
        <f t="shared" si="47"/>
        <v/>
      </c>
      <c r="BA130">
        <f>'REGISTER SK'!F133</f>
        <v>0</v>
      </c>
    </row>
    <row r="131" spans="1:53" x14ac:dyDescent="0.35">
      <c r="A131" s="18">
        <v>130</v>
      </c>
      <c r="B131" s="36" t="s">
        <v>379</v>
      </c>
      <c r="C131" s="18" t="str">
        <f>IF(G131="","",IF(G131="Umum",G131,VLOOKUP(F131,'Data Induk Pegawai'!B:AE,4,FALSE)))</f>
        <v/>
      </c>
      <c r="D131" s="19" t="str">
        <f>IF('REGISTER SK'!A134="","",IF('REGISTER SK'!B134=0,D130,'REGISTER SK'!B134))</f>
        <v/>
      </c>
      <c r="E131" s="19" t="str">
        <f t="shared" ref="E131:E194" si="68">IF(D131="","",D131&amp;"/"&amp;D131+1)</f>
        <v/>
      </c>
      <c r="F131" s="29"/>
      <c r="G131" s="29"/>
      <c r="H131" s="31" t="str">
        <f>IF(F131="","",VLOOKUP(F131,'Data Induk Pegawai'!B:U,2,FALSE))</f>
        <v/>
      </c>
      <c r="I131" s="19" t="str">
        <f>IF('REGISTER SK'!C134="","",'REGISTER SK'!C134)</f>
        <v/>
      </c>
      <c r="J131" s="125"/>
      <c r="K131" s="125"/>
      <c r="L131" s="26" t="str">
        <f>IF('REGISTER SK'!D134="","",'REGISTER SK'!D134)</f>
        <v/>
      </c>
      <c r="M131" s="26" t="str">
        <f>IF('REGISTER SK'!E134="","",'REGISTER SK'!E134)</f>
        <v/>
      </c>
      <c r="N131" s="31" t="str">
        <f>IF(G131="","",IF(OR(G131="GTT",G131="PTT"),"--",VLOOKUP(F131,'Data Induk Pegawai'!B:AE,4,FALSE)))</f>
        <v/>
      </c>
      <c r="O131" s="18" t="s">
        <v>288</v>
      </c>
      <c r="P131" s="31" t="str">
        <f>IF(G131="","",VLOOKUP(F131,'Data Induk Pegawai'!B:AE,7,FALSE))</f>
        <v/>
      </c>
      <c r="Q131" s="30"/>
      <c r="R131" s="26" t="str">
        <f>IF(G131="","","Nomor "&amp;RIGHT(VLOOKUP(F131,'Data Induk Pegawai'!B:AE,12,FALSE),2)&amp;" Tahun "&amp;MID(VLOOKUP(F131,'Data Induk Pegawai'!B:AE,12,FALSE),5,4))</f>
        <v/>
      </c>
      <c r="S131" s="26" t="str">
        <f>IF(G131="","",VLOOKUP(F131,'Data Induk Pegawai'!B:AE,11,FALSE))</f>
        <v/>
      </c>
      <c r="T131" s="56"/>
      <c r="U131" s="18" t="str">
        <f t="shared" si="48"/>
        <v/>
      </c>
      <c r="V131" s="30"/>
      <c r="W131" s="18" t="str">
        <f t="shared" si="49"/>
        <v/>
      </c>
      <c r="X131" s="16"/>
      <c r="Y131" s="97" t="str">
        <f t="shared" si="50"/>
        <v/>
      </c>
      <c r="Z131" s="97" t="str">
        <f t="shared" si="51"/>
        <v/>
      </c>
      <c r="AA131" s="97" t="str">
        <f t="shared" si="52"/>
        <v/>
      </c>
      <c r="AB131" s="25" t="str">
        <f>COUNTIFS(AC131:AC$596,AC131)&amp;AC131</f>
        <v>466</v>
      </c>
      <c r="AC131" t="str">
        <f t="shared" ref="AC131:AC194" si="69">IF(LEFT(V131,16)="SK Pemberhentian","OUT"&amp;F131,IF(RIGHT(G131,2)="TT","GPTT",IF(RIGHT(G131,2)="TY","GPTY",G131))&amp;F131)</f>
        <v/>
      </c>
      <c r="AD131" t="str">
        <f>COUNTIFS(AC$2:AC131,AC131)&amp;AC131</f>
        <v>130</v>
      </c>
      <c r="AE131" t="str">
        <f t="shared" si="53"/>
        <v/>
      </c>
      <c r="AF131" t="str">
        <f t="shared" ref="AF131:AF194" si="70">G131&amp;"."&amp;D131&amp;"."&amp;I131</f>
        <v>..</v>
      </c>
      <c r="AG131" s="28" t="str">
        <f t="shared" si="54"/>
        <v/>
      </c>
      <c r="AH131" s="28" t="str">
        <f t="shared" si="55"/>
        <v/>
      </c>
      <c r="AI131" t="str">
        <f t="shared" si="56"/>
        <v/>
      </c>
      <c r="AJ131" t="str">
        <f t="shared" si="57"/>
        <v/>
      </c>
      <c r="AK131" t="str">
        <f t="shared" si="58"/>
        <v/>
      </c>
      <c r="AL131" t="str">
        <f t="shared" si="59"/>
        <v/>
      </c>
      <c r="AM131" t="str">
        <f t="shared" si="60"/>
        <v/>
      </c>
      <c r="AN131" t="str">
        <f t="shared" si="61"/>
        <v/>
      </c>
      <c r="AO131" t="str">
        <f t="shared" si="62"/>
        <v/>
      </c>
      <c r="AP131" t="str">
        <f t="shared" si="63"/>
        <v/>
      </c>
      <c r="AQ131" t="str">
        <f t="shared" si="64"/>
        <v/>
      </c>
      <c r="AR131" t="str">
        <f t="shared" si="65"/>
        <v/>
      </c>
      <c r="AS131" t="str">
        <f t="shared" si="66"/>
        <v/>
      </c>
      <c r="AT131" t="str">
        <f t="shared" si="67"/>
        <v/>
      </c>
      <c r="AU131" s="25" t="str">
        <f t="shared" ref="AU131:AU194" si="71">IF(OR(G131="Umum",G131=""),"",VLOOKUP(VALUE(TEXT(M131,"M")-1),AW:AY,3,FALSE))</f>
        <v/>
      </c>
      <c r="BA131">
        <f>'REGISTER SK'!F134</f>
        <v>0</v>
      </c>
    </row>
    <row r="132" spans="1:53" x14ac:dyDescent="0.35">
      <c r="A132" s="18">
        <v>131</v>
      </c>
      <c r="B132" s="36" t="s">
        <v>379</v>
      </c>
      <c r="C132" s="18" t="str">
        <f>IF(G132="","",IF(G132="Umum",G132,VLOOKUP(F132,'Data Induk Pegawai'!B:AE,4,FALSE)))</f>
        <v/>
      </c>
      <c r="D132" s="19" t="str">
        <f>IF('REGISTER SK'!A135="","",IF('REGISTER SK'!B135=0,D131,'REGISTER SK'!B135))</f>
        <v/>
      </c>
      <c r="E132" s="19" t="str">
        <f t="shared" si="68"/>
        <v/>
      </c>
      <c r="F132" s="29"/>
      <c r="G132" s="29"/>
      <c r="H132" s="31" t="str">
        <f>IF(F132="","",VLOOKUP(F132,'Data Induk Pegawai'!B:U,2,FALSE))</f>
        <v/>
      </c>
      <c r="I132" s="19" t="str">
        <f>IF('REGISTER SK'!C135="","",'REGISTER SK'!C135)</f>
        <v/>
      </c>
      <c r="J132" s="125"/>
      <c r="K132" s="125"/>
      <c r="L132" s="26" t="str">
        <f>IF('REGISTER SK'!D135="","",'REGISTER SK'!D135)</f>
        <v/>
      </c>
      <c r="M132" s="26" t="str">
        <f>IF('REGISTER SK'!E135="","",'REGISTER SK'!E135)</f>
        <v/>
      </c>
      <c r="N132" s="31" t="str">
        <f>IF(G132="","",IF(OR(G132="GTT",G132="PTT"),"--",VLOOKUP(F132,'Data Induk Pegawai'!B:AE,4,FALSE)))</f>
        <v/>
      </c>
      <c r="O132" s="18" t="s">
        <v>290</v>
      </c>
      <c r="P132" s="31" t="str">
        <f>IF(G132="","",VLOOKUP(F132,'Data Induk Pegawai'!B:AE,7,FALSE))</f>
        <v/>
      </c>
      <c r="Q132" s="30"/>
      <c r="R132" s="26" t="str">
        <f>IF(G132="","","Nomor "&amp;RIGHT(VLOOKUP(F132,'Data Induk Pegawai'!B:AE,12,FALSE),2)&amp;" Tahun "&amp;MID(VLOOKUP(F132,'Data Induk Pegawai'!B:AE,12,FALSE),5,4))</f>
        <v/>
      </c>
      <c r="S132" s="26" t="str">
        <f>IF(G132="","",VLOOKUP(F132,'Data Induk Pegawai'!B:AE,11,FALSE))</f>
        <v/>
      </c>
      <c r="T132" s="56"/>
      <c r="U132" s="18" t="str">
        <f t="shared" si="48"/>
        <v/>
      </c>
      <c r="V132" s="30"/>
      <c r="W132" s="18" t="str">
        <f t="shared" si="49"/>
        <v/>
      </c>
      <c r="X132" s="16"/>
      <c r="Y132" s="97" t="str">
        <f t="shared" si="50"/>
        <v/>
      </c>
      <c r="Z132" s="97" t="str">
        <f t="shared" si="51"/>
        <v/>
      </c>
      <c r="AA132" s="97" t="str">
        <f t="shared" si="52"/>
        <v/>
      </c>
      <c r="AB132" s="25" t="str">
        <f>COUNTIFS(AC132:AC$596,AC132)&amp;AC132</f>
        <v>465</v>
      </c>
      <c r="AC132" t="str">
        <f t="shared" si="69"/>
        <v/>
      </c>
      <c r="AD132" t="str">
        <f>COUNTIFS(AC$2:AC132,AC132)&amp;AC132</f>
        <v>131</v>
      </c>
      <c r="AE132" t="str">
        <f t="shared" si="53"/>
        <v/>
      </c>
      <c r="AF132" t="str">
        <f t="shared" si="70"/>
        <v>..</v>
      </c>
      <c r="AG132" s="28" t="str">
        <f t="shared" si="54"/>
        <v/>
      </c>
      <c r="AH132" s="28" t="str">
        <f t="shared" si="55"/>
        <v/>
      </c>
      <c r="AI132" t="str">
        <f t="shared" si="56"/>
        <v/>
      </c>
      <c r="AJ132" t="str">
        <f t="shared" si="57"/>
        <v/>
      </c>
      <c r="AK132" t="str">
        <f t="shared" si="58"/>
        <v/>
      </c>
      <c r="AL132" t="str">
        <f t="shared" si="59"/>
        <v/>
      </c>
      <c r="AM132" t="str">
        <f t="shared" si="60"/>
        <v/>
      </c>
      <c r="AN132" t="str">
        <f t="shared" si="61"/>
        <v/>
      </c>
      <c r="AO132" t="str">
        <f t="shared" si="62"/>
        <v/>
      </c>
      <c r="AP132" t="str">
        <f t="shared" si="63"/>
        <v/>
      </c>
      <c r="AQ132" t="str">
        <f t="shared" si="64"/>
        <v/>
      </c>
      <c r="AR132" t="str">
        <f t="shared" si="65"/>
        <v/>
      </c>
      <c r="AS132" t="str">
        <f t="shared" si="66"/>
        <v/>
      </c>
      <c r="AT132" t="str">
        <f t="shared" si="67"/>
        <v/>
      </c>
      <c r="AU132" s="25" t="str">
        <f t="shared" si="71"/>
        <v/>
      </c>
      <c r="BA132">
        <f>'REGISTER SK'!F135</f>
        <v>0</v>
      </c>
    </row>
    <row r="133" spans="1:53" x14ac:dyDescent="0.35">
      <c r="A133" s="18">
        <v>132</v>
      </c>
      <c r="B133" s="36" t="s">
        <v>379</v>
      </c>
      <c r="C133" s="18" t="str">
        <f>IF(G133="","",IF(G133="Umum",G133,VLOOKUP(F133,'Data Induk Pegawai'!B:AE,4,FALSE)))</f>
        <v/>
      </c>
      <c r="D133" s="19" t="str">
        <f>IF('REGISTER SK'!A136="","",IF('REGISTER SK'!B136=0,D132,'REGISTER SK'!B136))</f>
        <v/>
      </c>
      <c r="E133" s="19" t="str">
        <f t="shared" si="68"/>
        <v/>
      </c>
      <c r="F133" s="29"/>
      <c r="G133" s="29"/>
      <c r="H133" s="31" t="str">
        <f>IF(F133="","",VLOOKUP(F133,'Data Induk Pegawai'!B:U,2,FALSE))</f>
        <v/>
      </c>
      <c r="I133" s="19" t="str">
        <f>IF('REGISTER SK'!C136="","",'REGISTER SK'!C136)</f>
        <v/>
      </c>
      <c r="J133" s="125"/>
      <c r="K133" s="125"/>
      <c r="L133" s="26" t="str">
        <f>IF('REGISTER SK'!D136="","",'REGISTER SK'!D136)</f>
        <v/>
      </c>
      <c r="M133" s="26" t="str">
        <f>IF('REGISTER SK'!E136="","",'REGISTER SK'!E136)</f>
        <v/>
      </c>
      <c r="N133" s="31" t="str">
        <f>IF(G133="","",IF(OR(G133="GTT",G133="PTT"),"--",VLOOKUP(F133,'Data Induk Pegawai'!B:AE,4,FALSE)))</f>
        <v/>
      </c>
      <c r="O133" s="18" t="s">
        <v>291</v>
      </c>
      <c r="P133" s="31" t="str">
        <f>IF(G133="","",VLOOKUP(F133,'Data Induk Pegawai'!B:AE,7,FALSE))</f>
        <v/>
      </c>
      <c r="Q133" s="30"/>
      <c r="R133" s="26" t="str">
        <f>IF(G133="","","Nomor "&amp;RIGHT(VLOOKUP(F133,'Data Induk Pegawai'!B:AE,12,FALSE),2)&amp;" Tahun "&amp;MID(VLOOKUP(F133,'Data Induk Pegawai'!B:AE,12,FALSE),5,4))</f>
        <v/>
      </c>
      <c r="S133" s="26" t="str">
        <f>IF(G133="","",VLOOKUP(F133,'Data Induk Pegawai'!B:AE,11,FALSE))</f>
        <v/>
      </c>
      <c r="T133" s="56"/>
      <c r="U133" s="18" t="str">
        <f t="shared" si="48"/>
        <v/>
      </c>
      <c r="V133" s="30"/>
      <c r="W133" s="18" t="str">
        <f t="shared" si="49"/>
        <v/>
      </c>
      <c r="X133" s="16"/>
      <c r="Y133" s="97" t="str">
        <f t="shared" si="50"/>
        <v/>
      </c>
      <c r="Z133" s="97" t="str">
        <f t="shared" si="51"/>
        <v/>
      </c>
      <c r="AA133" s="97" t="str">
        <f t="shared" si="52"/>
        <v/>
      </c>
      <c r="AB133" s="25" t="str">
        <f>COUNTIFS(AC133:AC$596,AC133)&amp;AC133</f>
        <v>464</v>
      </c>
      <c r="AC133" t="str">
        <f t="shared" si="69"/>
        <v/>
      </c>
      <c r="AD133" t="str">
        <f>COUNTIFS(AC$2:AC133,AC133)&amp;AC133</f>
        <v>132</v>
      </c>
      <c r="AE133" t="str">
        <f t="shared" si="53"/>
        <v/>
      </c>
      <c r="AF133" t="str">
        <f t="shared" si="70"/>
        <v>..</v>
      </c>
      <c r="AG133" s="28" t="str">
        <f t="shared" si="54"/>
        <v/>
      </c>
      <c r="AH133" s="28" t="str">
        <f t="shared" si="55"/>
        <v/>
      </c>
      <c r="AI133" t="str">
        <f t="shared" si="56"/>
        <v/>
      </c>
      <c r="AJ133" t="str">
        <f t="shared" si="57"/>
        <v/>
      </c>
      <c r="AK133" t="str">
        <f t="shared" si="58"/>
        <v/>
      </c>
      <c r="AL133" t="str">
        <f t="shared" si="59"/>
        <v/>
      </c>
      <c r="AM133" t="str">
        <f t="shared" si="60"/>
        <v/>
      </c>
      <c r="AN133" t="str">
        <f t="shared" si="61"/>
        <v/>
      </c>
      <c r="AO133" t="str">
        <f t="shared" si="62"/>
        <v/>
      </c>
      <c r="AP133" t="str">
        <f t="shared" si="63"/>
        <v/>
      </c>
      <c r="AQ133" t="str">
        <f t="shared" si="64"/>
        <v/>
      </c>
      <c r="AR133" t="str">
        <f t="shared" si="65"/>
        <v/>
      </c>
      <c r="AS133" t="str">
        <f t="shared" si="66"/>
        <v/>
      </c>
      <c r="AT133" t="str">
        <f t="shared" si="67"/>
        <v/>
      </c>
      <c r="AU133" s="25" t="str">
        <f t="shared" si="71"/>
        <v/>
      </c>
      <c r="BA133">
        <f>'REGISTER SK'!F136</f>
        <v>0</v>
      </c>
    </row>
    <row r="134" spans="1:53" x14ac:dyDescent="0.35">
      <c r="A134" s="18">
        <v>133</v>
      </c>
      <c r="B134" s="36" t="s">
        <v>379</v>
      </c>
      <c r="C134" s="18" t="str">
        <f>IF(G134="","",IF(G134="Umum",G134,VLOOKUP(F134,'Data Induk Pegawai'!B:AE,4,FALSE)))</f>
        <v/>
      </c>
      <c r="D134" s="19" t="str">
        <f>IF('REGISTER SK'!A137="","",IF('REGISTER SK'!B137=0,D133,'REGISTER SK'!B137))</f>
        <v/>
      </c>
      <c r="E134" s="19" t="str">
        <f t="shared" si="68"/>
        <v/>
      </c>
      <c r="F134" s="29"/>
      <c r="G134" s="29"/>
      <c r="H134" s="31" t="str">
        <f>IF(F134="","",VLOOKUP(F134,'Data Induk Pegawai'!B:U,2,FALSE))</f>
        <v/>
      </c>
      <c r="I134" s="19" t="str">
        <f>IF('REGISTER SK'!C137="","",'REGISTER SK'!C137)</f>
        <v/>
      </c>
      <c r="J134" s="125"/>
      <c r="K134" s="125"/>
      <c r="L134" s="26" t="str">
        <f>IF('REGISTER SK'!D137="","",'REGISTER SK'!D137)</f>
        <v/>
      </c>
      <c r="M134" s="26" t="str">
        <f>IF('REGISTER SK'!E137="","",'REGISTER SK'!E137)</f>
        <v/>
      </c>
      <c r="N134" s="31" t="str">
        <f>IF(G134="","",IF(OR(G134="GTT",G134="PTT"),"--",VLOOKUP(F134,'Data Induk Pegawai'!B:AE,4,FALSE)))</f>
        <v/>
      </c>
      <c r="O134" s="18" t="s">
        <v>293</v>
      </c>
      <c r="P134" s="31" t="str">
        <f>IF(G134="","",VLOOKUP(F134,'Data Induk Pegawai'!B:AE,7,FALSE))</f>
        <v/>
      </c>
      <c r="Q134" s="30"/>
      <c r="R134" s="26" t="str">
        <f>IF(G134="","","Nomor "&amp;RIGHT(VLOOKUP(F134,'Data Induk Pegawai'!B:AE,12,FALSE),2)&amp;" Tahun "&amp;MID(VLOOKUP(F134,'Data Induk Pegawai'!B:AE,12,FALSE),5,4))</f>
        <v/>
      </c>
      <c r="S134" s="26" t="str">
        <f>IF(G134="","",VLOOKUP(F134,'Data Induk Pegawai'!B:AE,11,FALSE))</f>
        <v/>
      </c>
      <c r="T134" s="56"/>
      <c r="U134" s="18" t="str">
        <f t="shared" si="48"/>
        <v/>
      </c>
      <c r="V134" s="30"/>
      <c r="W134" s="18" t="str">
        <f t="shared" si="49"/>
        <v/>
      </c>
      <c r="X134" s="16"/>
      <c r="Y134" s="97" t="str">
        <f t="shared" si="50"/>
        <v/>
      </c>
      <c r="Z134" s="97" t="str">
        <f t="shared" si="51"/>
        <v/>
      </c>
      <c r="AA134" s="97" t="str">
        <f t="shared" si="52"/>
        <v/>
      </c>
      <c r="AB134" s="25" t="str">
        <f>COUNTIFS(AC134:AC$596,AC134)&amp;AC134</f>
        <v>463</v>
      </c>
      <c r="AC134" t="str">
        <f t="shared" si="69"/>
        <v/>
      </c>
      <c r="AD134" t="str">
        <f>COUNTIFS(AC$2:AC134,AC134)&amp;AC134</f>
        <v>133</v>
      </c>
      <c r="AE134" t="str">
        <f t="shared" si="53"/>
        <v/>
      </c>
      <c r="AF134" t="str">
        <f t="shared" si="70"/>
        <v>..</v>
      </c>
      <c r="AG134" s="28" t="str">
        <f t="shared" si="54"/>
        <v/>
      </c>
      <c r="AH134" s="28" t="str">
        <f t="shared" si="55"/>
        <v/>
      </c>
      <c r="AI134" t="str">
        <f t="shared" si="56"/>
        <v/>
      </c>
      <c r="AJ134" t="str">
        <f t="shared" si="57"/>
        <v/>
      </c>
      <c r="AK134" t="str">
        <f t="shared" si="58"/>
        <v/>
      </c>
      <c r="AL134" t="str">
        <f t="shared" si="59"/>
        <v/>
      </c>
      <c r="AM134" t="str">
        <f t="shared" si="60"/>
        <v/>
      </c>
      <c r="AN134" t="str">
        <f t="shared" si="61"/>
        <v/>
      </c>
      <c r="AO134" t="str">
        <f t="shared" si="62"/>
        <v/>
      </c>
      <c r="AP134" t="str">
        <f t="shared" si="63"/>
        <v/>
      </c>
      <c r="AQ134" t="str">
        <f t="shared" si="64"/>
        <v/>
      </c>
      <c r="AR134" t="str">
        <f t="shared" si="65"/>
        <v/>
      </c>
      <c r="AS134" t="str">
        <f t="shared" si="66"/>
        <v/>
      </c>
      <c r="AT134" t="str">
        <f t="shared" si="67"/>
        <v/>
      </c>
      <c r="AU134" s="25" t="str">
        <f t="shared" si="71"/>
        <v/>
      </c>
      <c r="BA134">
        <f>'REGISTER SK'!F137</f>
        <v>0</v>
      </c>
    </row>
    <row r="135" spans="1:53" x14ac:dyDescent="0.35">
      <c r="A135" s="18">
        <v>134</v>
      </c>
      <c r="B135" s="36" t="s">
        <v>379</v>
      </c>
      <c r="C135" s="18" t="str">
        <f>IF(G135="","",IF(G135="Umum",G135,VLOOKUP(F135,'Data Induk Pegawai'!B:AE,4,FALSE)))</f>
        <v/>
      </c>
      <c r="D135" s="19" t="str">
        <f>IF('REGISTER SK'!A138="","",IF('REGISTER SK'!B138=0,D134,'REGISTER SK'!B138))</f>
        <v/>
      </c>
      <c r="E135" s="19" t="str">
        <f t="shared" si="68"/>
        <v/>
      </c>
      <c r="F135" s="29"/>
      <c r="G135" s="29"/>
      <c r="H135" s="31" t="str">
        <f>IF(F135="","",VLOOKUP(F135,'Data Induk Pegawai'!B:U,2,FALSE))</f>
        <v/>
      </c>
      <c r="I135" s="19" t="str">
        <f>IF('REGISTER SK'!C138="","",'REGISTER SK'!C138)</f>
        <v/>
      </c>
      <c r="J135" s="125"/>
      <c r="K135" s="125"/>
      <c r="L135" s="26" t="str">
        <f>IF('REGISTER SK'!D138="","",'REGISTER SK'!D138)</f>
        <v/>
      </c>
      <c r="M135" s="26" t="str">
        <f>IF('REGISTER SK'!E138="","",'REGISTER SK'!E138)</f>
        <v/>
      </c>
      <c r="N135" s="31" t="str">
        <f>IF(G135="","",IF(OR(G135="GTT",G135="PTT"),"--",VLOOKUP(F135,'Data Induk Pegawai'!B:AE,4,FALSE)))</f>
        <v/>
      </c>
      <c r="O135" s="18" t="s">
        <v>294</v>
      </c>
      <c r="P135" s="31" t="str">
        <f>IF(G135="","",VLOOKUP(F135,'Data Induk Pegawai'!B:AE,7,FALSE))</f>
        <v/>
      </c>
      <c r="Q135" s="30"/>
      <c r="R135" s="26" t="str">
        <f>IF(G135="","","Nomor "&amp;RIGHT(VLOOKUP(F135,'Data Induk Pegawai'!B:AE,12,FALSE),2)&amp;" Tahun "&amp;MID(VLOOKUP(F135,'Data Induk Pegawai'!B:AE,12,FALSE),5,4))</f>
        <v/>
      </c>
      <c r="S135" s="26" t="str">
        <f>IF(G135="","",VLOOKUP(F135,'Data Induk Pegawai'!B:AE,11,FALSE))</f>
        <v/>
      </c>
      <c r="T135" s="56"/>
      <c r="U135" s="18" t="str">
        <f t="shared" si="48"/>
        <v/>
      </c>
      <c r="V135" s="30"/>
      <c r="W135" s="18" t="str">
        <f t="shared" si="49"/>
        <v/>
      </c>
      <c r="X135" s="16"/>
      <c r="Y135" s="97" t="str">
        <f t="shared" si="50"/>
        <v/>
      </c>
      <c r="Z135" s="97" t="str">
        <f t="shared" si="51"/>
        <v/>
      </c>
      <c r="AA135" s="97" t="str">
        <f t="shared" si="52"/>
        <v/>
      </c>
      <c r="AB135" s="25" t="str">
        <f>COUNTIFS(AC135:AC$596,AC135)&amp;AC135</f>
        <v>462</v>
      </c>
      <c r="AC135" t="str">
        <f t="shared" si="69"/>
        <v/>
      </c>
      <c r="AD135" t="str">
        <f>COUNTIFS(AC$2:AC135,AC135)&amp;AC135</f>
        <v>134</v>
      </c>
      <c r="AE135" t="str">
        <f t="shared" si="53"/>
        <v/>
      </c>
      <c r="AF135" t="str">
        <f t="shared" si="70"/>
        <v>..</v>
      </c>
      <c r="AG135" s="28" t="str">
        <f t="shared" si="54"/>
        <v/>
      </c>
      <c r="AH135" s="28" t="str">
        <f t="shared" si="55"/>
        <v/>
      </c>
      <c r="AI135" t="str">
        <f t="shared" si="56"/>
        <v/>
      </c>
      <c r="AJ135" t="str">
        <f t="shared" si="57"/>
        <v/>
      </c>
      <c r="AK135" t="str">
        <f t="shared" si="58"/>
        <v/>
      </c>
      <c r="AL135" t="str">
        <f t="shared" si="59"/>
        <v/>
      </c>
      <c r="AM135" t="str">
        <f t="shared" si="60"/>
        <v/>
      </c>
      <c r="AN135" t="str">
        <f t="shared" si="61"/>
        <v/>
      </c>
      <c r="AO135" t="str">
        <f t="shared" si="62"/>
        <v/>
      </c>
      <c r="AP135" t="str">
        <f t="shared" si="63"/>
        <v/>
      </c>
      <c r="AQ135" t="str">
        <f t="shared" si="64"/>
        <v/>
      </c>
      <c r="AR135" t="str">
        <f t="shared" si="65"/>
        <v/>
      </c>
      <c r="AS135" t="str">
        <f t="shared" si="66"/>
        <v/>
      </c>
      <c r="AT135" t="str">
        <f t="shared" si="67"/>
        <v/>
      </c>
      <c r="AU135" s="25" t="str">
        <f t="shared" si="71"/>
        <v/>
      </c>
      <c r="BA135">
        <f>'REGISTER SK'!F138</f>
        <v>0</v>
      </c>
    </row>
    <row r="136" spans="1:53" x14ac:dyDescent="0.35">
      <c r="A136" s="18">
        <v>135</v>
      </c>
      <c r="B136" s="36" t="s">
        <v>379</v>
      </c>
      <c r="C136" s="18" t="str">
        <f>IF(G136="","",IF(G136="Umum",G136,VLOOKUP(F136,'Data Induk Pegawai'!B:AE,4,FALSE)))</f>
        <v/>
      </c>
      <c r="D136" s="19" t="str">
        <f>IF('REGISTER SK'!A139="","",IF('REGISTER SK'!B139=0,D135,'REGISTER SK'!B139))</f>
        <v/>
      </c>
      <c r="E136" s="19" t="str">
        <f t="shared" si="68"/>
        <v/>
      </c>
      <c r="F136" s="29"/>
      <c r="G136" s="29"/>
      <c r="H136" s="31" t="str">
        <f>IF(F136="","",VLOOKUP(F136,'Data Induk Pegawai'!B:U,2,FALSE))</f>
        <v/>
      </c>
      <c r="I136" s="19" t="str">
        <f>IF('REGISTER SK'!C139="","",'REGISTER SK'!C139)</f>
        <v/>
      </c>
      <c r="J136" s="125"/>
      <c r="K136" s="125"/>
      <c r="L136" s="26" t="str">
        <f>IF('REGISTER SK'!D139="","",'REGISTER SK'!D139)</f>
        <v/>
      </c>
      <c r="M136" s="26" t="str">
        <f>IF('REGISTER SK'!E139="","",'REGISTER SK'!E139)</f>
        <v/>
      </c>
      <c r="N136" s="31" t="str">
        <f>IF(G136="","",IF(OR(G136="GTT",G136="PTT"),"--",VLOOKUP(F136,'Data Induk Pegawai'!B:AE,4,FALSE)))</f>
        <v/>
      </c>
      <c r="O136" s="18" t="s">
        <v>295</v>
      </c>
      <c r="P136" s="31" t="str">
        <f>IF(G136="","",VLOOKUP(F136,'Data Induk Pegawai'!B:AE,7,FALSE))</f>
        <v/>
      </c>
      <c r="Q136" s="30"/>
      <c r="R136" s="26" t="str">
        <f>IF(G136="","","Nomor "&amp;RIGHT(VLOOKUP(F136,'Data Induk Pegawai'!B:AE,12,FALSE),2)&amp;" Tahun "&amp;MID(VLOOKUP(F136,'Data Induk Pegawai'!B:AE,12,FALSE),5,4))</f>
        <v/>
      </c>
      <c r="S136" s="26" t="str">
        <f>IF(G136="","",VLOOKUP(F136,'Data Induk Pegawai'!B:AE,11,FALSE))</f>
        <v/>
      </c>
      <c r="T136" s="56"/>
      <c r="U136" s="18" t="str">
        <f t="shared" si="48"/>
        <v/>
      </c>
      <c r="V136" s="30"/>
      <c r="W136" s="18" t="str">
        <f t="shared" si="49"/>
        <v/>
      </c>
      <c r="X136" s="16"/>
      <c r="Y136" s="97" t="str">
        <f t="shared" si="50"/>
        <v/>
      </c>
      <c r="Z136" s="97" t="str">
        <f t="shared" si="51"/>
        <v/>
      </c>
      <c r="AA136" s="97" t="str">
        <f t="shared" si="52"/>
        <v/>
      </c>
      <c r="AB136" s="25" t="str">
        <f>COUNTIFS(AC136:AC$596,AC136)&amp;AC136</f>
        <v>461</v>
      </c>
      <c r="AC136" t="str">
        <f t="shared" si="69"/>
        <v/>
      </c>
      <c r="AD136" t="str">
        <f>COUNTIFS(AC$2:AC136,AC136)&amp;AC136</f>
        <v>135</v>
      </c>
      <c r="AE136" t="str">
        <f t="shared" si="53"/>
        <v/>
      </c>
      <c r="AF136" t="str">
        <f t="shared" si="70"/>
        <v>..</v>
      </c>
      <c r="AG136" s="28" t="str">
        <f t="shared" si="54"/>
        <v/>
      </c>
      <c r="AH136" s="28" t="str">
        <f t="shared" si="55"/>
        <v/>
      </c>
      <c r="AI136" t="str">
        <f t="shared" si="56"/>
        <v/>
      </c>
      <c r="AJ136" t="str">
        <f t="shared" si="57"/>
        <v/>
      </c>
      <c r="AK136" t="str">
        <f t="shared" si="58"/>
        <v/>
      </c>
      <c r="AL136" t="str">
        <f t="shared" si="59"/>
        <v/>
      </c>
      <c r="AM136" t="str">
        <f t="shared" si="60"/>
        <v/>
      </c>
      <c r="AN136" t="str">
        <f t="shared" si="61"/>
        <v/>
      </c>
      <c r="AO136" t="str">
        <f t="shared" si="62"/>
        <v/>
      </c>
      <c r="AP136" t="str">
        <f t="shared" si="63"/>
        <v/>
      </c>
      <c r="AQ136" t="str">
        <f t="shared" si="64"/>
        <v/>
      </c>
      <c r="AR136" t="str">
        <f t="shared" si="65"/>
        <v/>
      </c>
      <c r="AS136" t="str">
        <f t="shared" si="66"/>
        <v/>
      </c>
      <c r="AT136" t="str">
        <f t="shared" si="67"/>
        <v/>
      </c>
      <c r="AU136" s="25" t="str">
        <f t="shared" si="71"/>
        <v/>
      </c>
      <c r="BA136">
        <f>'REGISTER SK'!F139</f>
        <v>0</v>
      </c>
    </row>
    <row r="137" spans="1:53" x14ac:dyDescent="0.35">
      <c r="A137" s="18">
        <v>136</v>
      </c>
      <c r="B137" s="36" t="s">
        <v>379</v>
      </c>
      <c r="C137" s="18" t="str">
        <f>IF(G137="","",IF(G137="Umum",G137,VLOOKUP(F137,'Data Induk Pegawai'!B:AE,4,FALSE)))</f>
        <v/>
      </c>
      <c r="D137" s="19" t="str">
        <f>IF('REGISTER SK'!A140="","",IF('REGISTER SK'!B140=0,D136,'REGISTER SK'!B140))</f>
        <v/>
      </c>
      <c r="E137" s="19" t="str">
        <f t="shared" si="68"/>
        <v/>
      </c>
      <c r="F137" s="29"/>
      <c r="G137" s="29"/>
      <c r="H137" s="31" t="str">
        <f>IF(F137="","",VLOOKUP(F137,'Data Induk Pegawai'!B:U,2,FALSE))</f>
        <v/>
      </c>
      <c r="I137" s="19" t="str">
        <f>IF('REGISTER SK'!C140="","",'REGISTER SK'!C140)</f>
        <v/>
      </c>
      <c r="J137" s="125"/>
      <c r="K137" s="125"/>
      <c r="L137" s="26" t="str">
        <f>IF('REGISTER SK'!D140="","",'REGISTER SK'!D140)</f>
        <v/>
      </c>
      <c r="M137" s="26" t="str">
        <f>IF('REGISTER SK'!E140="","",'REGISTER SK'!E140)</f>
        <v/>
      </c>
      <c r="N137" s="31" t="str">
        <f>IF(G137="","",IF(OR(G137="GTT",G137="PTT"),"--",VLOOKUP(F137,'Data Induk Pegawai'!B:AE,4,FALSE)))</f>
        <v/>
      </c>
      <c r="O137" s="18" t="s">
        <v>297</v>
      </c>
      <c r="P137" s="31" t="str">
        <f>IF(G137="","",VLOOKUP(F137,'Data Induk Pegawai'!B:AE,7,FALSE))</f>
        <v/>
      </c>
      <c r="Q137" s="30"/>
      <c r="R137" s="26" t="str">
        <f>IF(G137="","","Nomor "&amp;RIGHT(VLOOKUP(F137,'Data Induk Pegawai'!B:AE,12,FALSE),2)&amp;" Tahun "&amp;MID(VLOOKUP(F137,'Data Induk Pegawai'!B:AE,12,FALSE),5,4))</f>
        <v/>
      </c>
      <c r="S137" s="26" t="str">
        <f>IF(G137="","",VLOOKUP(F137,'Data Induk Pegawai'!B:AE,11,FALSE))</f>
        <v/>
      </c>
      <c r="T137" s="56"/>
      <c r="U137" s="18" t="str">
        <f t="shared" si="48"/>
        <v/>
      </c>
      <c r="V137" s="30"/>
      <c r="W137" s="18" t="str">
        <f t="shared" si="49"/>
        <v/>
      </c>
      <c r="X137" s="16"/>
      <c r="Y137" s="97" t="str">
        <f t="shared" si="50"/>
        <v/>
      </c>
      <c r="Z137" s="97" t="str">
        <f t="shared" si="51"/>
        <v/>
      </c>
      <c r="AA137" s="97" t="str">
        <f t="shared" si="52"/>
        <v/>
      </c>
      <c r="AB137" s="25" t="str">
        <f>COUNTIFS(AC137:AC$596,AC137)&amp;AC137</f>
        <v>460</v>
      </c>
      <c r="AC137" t="str">
        <f t="shared" si="69"/>
        <v/>
      </c>
      <c r="AD137" t="str">
        <f>COUNTIFS(AC$2:AC137,AC137)&amp;AC137</f>
        <v>136</v>
      </c>
      <c r="AE137" t="str">
        <f t="shared" si="53"/>
        <v/>
      </c>
      <c r="AF137" t="str">
        <f t="shared" si="70"/>
        <v>..</v>
      </c>
      <c r="AG137" s="28" t="str">
        <f t="shared" si="54"/>
        <v/>
      </c>
      <c r="AH137" s="28" t="str">
        <f t="shared" si="55"/>
        <v/>
      </c>
      <c r="AI137" t="str">
        <f t="shared" si="56"/>
        <v/>
      </c>
      <c r="AJ137" t="str">
        <f t="shared" si="57"/>
        <v/>
      </c>
      <c r="AK137" t="str">
        <f t="shared" si="58"/>
        <v/>
      </c>
      <c r="AL137" t="str">
        <f t="shared" si="59"/>
        <v/>
      </c>
      <c r="AM137" t="str">
        <f t="shared" si="60"/>
        <v/>
      </c>
      <c r="AN137" t="str">
        <f t="shared" si="61"/>
        <v/>
      </c>
      <c r="AO137" t="str">
        <f t="shared" si="62"/>
        <v/>
      </c>
      <c r="AP137" t="str">
        <f t="shared" si="63"/>
        <v/>
      </c>
      <c r="AQ137" t="str">
        <f t="shared" si="64"/>
        <v/>
      </c>
      <c r="AR137" t="str">
        <f t="shared" si="65"/>
        <v/>
      </c>
      <c r="AS137" t="str">
        <f t="shared" si="66"/>
        <v/>
      </c>
      <c r="AT137" t="str">
        <f t="shared" si="67"/>
        <v/>
      </c>
      <c r="AU137" s="25" t="str">
        <f t="shared" si="71"/>
        <v/>
      </c>
      <c r="BA137">
        <f>'REGISTER SK'!F140</f>
        <v>0</v>
      </c>
    </row>
    <row r="138" spans="1:53" x14ac:dyDescent="0.35">
      <c r="A138" s="18">
        <v>137</v>
      </c>
      <c r="B138" s="36" t="s">
        <v>379</v>
      </c>
      <c r="C138" s="18" t="str">
        <f>IF(G138="","",IF(G138="Umum",G138,VLOOKUP(F138,'Data Induk Pegawai'!B:AE,4,FALSE)))</f>
        <v/>
      </c>
      <c r="D138" s="19" t="str">
        <f>IF('REGISTER SK'!A141="","",IF('REGISTER SK'!B141=0,D137,'REGISTER SK'!B141))</f>
        <v/>
      </c>
      <c r="E138" s="19" t="str">
        <f t="shared" si="68"/>
        <v/>
      </c>
      <c r="F138" s="29"/>
      <c r="G138" s="29"/>
      <c r="H138" s="31" t="str">
        <f>IF(F138="","",VLOOKUP(F138,'Data Induk Pegawai'!B:U,2,FALSE))</f>
        <v/>
      </c>
      <c r="I138" s="19" t="str">
        <f>IF('REGISTER SK'!C141="","",'REGISTER SK'!C141)</f>
        <v/>
      </c>
      <c r="J138" s="125"/>
      <c r="K138" s="125"/>
      <c r="L138" s="26" t="str">
        <f>IF('REGISTER SK'!D141="","",'REGISTER SK'!D141)</f>
        <v/>
      </c>
      <c r="M138" s="26" t="str">
        <f>IF('REGISTER SK'!E141="","",'REGISTER SK'!E141)</f>
        <v/>
      </c>
      <c r="N138" s="31" t="str">
        <f>IF(G138="","",IF(OR(G138="GTT",G138="PTT"),"--",VLOOKUP(F138,'Data Induk Pegawai'!B:AE,4,FALSE)))</f>
        <v/>
      </c>
      <c r="O138" s="18" t="s">
        <v>298</v>
      </c>
      <c r="P138" s="31" t="str">
        <f>IF(G138="","",VLOOKUP(F138,'Data Induk Pegawai'!B:AE,7,FALSE))</f>
        <v/>
      </c>
      <c r="Q138" s="30"/>
      <c r="R138" s="26" t="str">
        <f>IF(G138="","","Nomor "&amp;RIGHT(VLOOKUP(F138,'Data Induk Pegawai'!B:AE,12,FALSE),2)&amp;" Tahun "&amp;MID(VLOOKUP(F138,'Data Induk Pegawai'!B:AE,12,FALSE),5,4))</f>
        <v/>
      </c>
      <c r="S138" s="26" t="str">
        <f>IF(G138="","",VLOOKUP(F138,'Data Induk Pegawai'!B:AE,11,FALSE))</f>
        <v/>
      </c>
      <c r="T138" s="56"/>
      <c r="U138" s="18" t="str">
        <f t="shared" si="48"/>
        <v/>
      </c>
      <c r="V138" s="30"/>
      <c r="W138" s="18" t="str">
        <f t="shared" si="49"/>
        <v/>
      </c>
      <c r="X138" s="16"/>
      <c r="Y138" s="97" t="str">
        <f t="shared" si="50"/>
        <v/>
      </c>
      <c r="Z138" s="97" t="str">
        <f t="shared" si="51"/>
        <v/>
      </c>
      <c r="AA138" s="97" t="str">
        <f t="shared" si="52"/>
        <v/>
      </c>
      <c r="AB138" s="25" t="str">
        <f>COUNTIFS(AC138:AC$596,AC138)&amp;AC138</f>
        <v>459</v>
      </c>
      <c r="AC138" t="str">
        <f t="shared" si="69"/>
        <v/>
      </c>
      <c r="AD138" t="str">
        <f>COUNTIFS(AC$2:AC138,AC138)&amp;AC138</f>
        <v>137</v>
      </c>
      <c r="AE138" t="str">
        <f t="shared" si="53"/>
        <v/>
      </c>
      <c r="AF138" t="str">
        <f t="shared" si="70"/>
        <v>..</v>
      </c>
      <c r="AG138" s="28" t="str">
        <f t="shared" si="54"/>
        <v/>
      </c>
      <c r="AH138" s="28" t="str">
        <f t="shared" si="55"/>
        <v/>
      </c>
      <c r="AI138" t="str">
        <f t="shared" si="56"/>
        <v/>
      </c>
      <c r="AJ138" t="str">
        <f t="shared" si="57"/>
        <v/>
      </c>
      <c r="AK138" t="str">
        <f t="shared" si="58"/>
        <v/>
      </c>
      <c r="AL138" t="str">
        <f t="shared" si="59"/>
        <v/>
      </c>
      <c r="AM138" t="str">
        <f t="shared" si="60"/>
        <v/>
      </c>
      <c r="AN138" t="str">
        <f t="shared" si="61"/>
        <v/>
      </c>
      <c r="AO138" t="str">
        <f t="shared" si="62"/>
        <v/>
      </c>
      <c r="AP138" t="str">
        <f t="shared" si="63"/>
        <v/>
      </c>
      <c r="AQ138" t="str">
        <f t="shared" si="64"/>
        <v/>
      </c>
      <c r="AR138" t="str">
        <f t="shared" si="65"/>
        <v/>
      </c>
      <c r="AS138" t="str">
        <f t="shared" si="66"/>
        <v/>
      </c>
      <c r="AT138" t="str">
        <f t="shared" si="67"/>
        <v/>
      </c>
      <c r="AU138" s="25" t="str">
        <f t="shared" si="71"/>
        <v/>
      </c>
      <c r="BA138">
        <f>'REGISTER SK'!F141</f>
        <v>0</v>
      </c>
    </row>
    <row r="139" spans="1:53" x14ac:dyDescent="0.35">
      <c r="A139" s="18">
        <v>138</v>
      </c>
      <c r="B139" s="36" t="s">
        <v>379</v>
      </c>
      <c r="C139" s="18" t="str">
        <f>IF(G139="","",IF(G139="Umum",G139,VLOOKUP(F139,'Data Induk Pegawai'!B:AE,4,FALSE)))</f>
        <v/>
      </c>
      <c r="D139" s="19" t="str">
        <f>IF('REGISTER SK'!A142="","",IF('REGISTER SK'!B142=0,D138,'REGISTER SK'!B142))</f>
        <v/>
      </c>
      <c r="E139" s="19" t="str">
        <f t="shared" si="68"/>
        <v/>
      </c>
      <c r="F139" s="29"/>
      <c r="G139" s="29"/>
      <c r="H139" s="31" t="str">
        <f>IF(F139="","",VLOOKUP(F139,'Data Induk Pegawai'!B:U,2,FALSE))</f>
        <v/>
      </c>
      <c r="I139" s="19" t="str">
        <f>IF('REGISTER SK'!C142="","",'REGISTER SK'!C142)</f>
        <v/>
      </c>
      <c r="J139" s="125"/>
      <c r="K139" s="125"/>
      <c r="L139" s="26" t="str">
        <f>IF('REGISTER SK'!D142="","",'REGISTER SK'!D142)</f>
        <v/>
      </c>
      <c r="M139" s="26" t="str">
        <f>IF('REGISTER SK'!E142="","",'REGISTER SK'!E142)</f>
        <v/>
      </c>
      <c r="N139" s="31" t="str">
        <f>IF(G139="","",IF(OR(G139="GTT",G139="PTT"),"--",VLOOKUP(F139,'Data Induk Pegawai'!B:AE,4,FALSE)))</f>
        <v/>
      </c>
      <c r="O139" s="18" t="s">
        <v>299</v>
      </c>
      <c r="P139" s="31" t="str">
        <f>IF(G139="","",VLOOKUP(F139,'Data Induk Pegawai'!B:AE,7,FALSE))</f>
        <v/>
      </c>
      <c r="Q139" s="30"/>
      <c r="R139" s="26" t="str">
        <f>IF(G139="","","Nomor "&amp;RIGHT(VLOOKUP(F139,'Data Induk Pegawai'!B:AE,12,FALSE),2)&amp;" Tahun "&amp;MID(VLOOKUP(F139,'Data Induk Pegawai'!B:AE,12,FALSE),5,4))</f>
        <v/>
      </c>
      <c r="S139" s="26" t="str">
        <f>IF(G139="","",VLOOKUP(F139,'Data Induk Pegawai'!B:AE,11,FALSE))</f>
        <v/>
      </c>
      <c r="T139" s="56"/>
      <c r="U139" s="18" t="str">
        <f t="shared" si="48"/>
        <v/>
      </c>
      <c r="V139" s="30"/>
      <c r="W139" s="18" t="str">
        <f t="shared" si="49"/>
        <v/>
      </c>
      <c r="X139" s="16"/>
      <c r="Y139" s="97" t="str">
        <f t="shared" si="50"/>
        <v/>
      </c>
      <c r="Z139" s="97" t="str">
        <f t="shared" si="51"/>
        <v/>
      </c>
      <c r="AA139" s="97" t="str">
        <f t="shared" si="52"/>
        <v/>
      </c>
      <c r="AB139" s="25" t="str">
        <f>COUNTIFS(AC139:AC$596,AC139)&amp;AC139</f>
        <v>458</v>
      </c>
      <c r="AC139" t="str">
        <f t="shared" si="69"/>
        <v/>
      </c>
      <c r="AD139" t="str">
        <f>COUNTIFS(AC$2:AC139,AC139)&amp;AC139</f>
        <v>138</v>
      </c>
      <c r="AE139" t="str">
        <f t="shared" si="53"/>
        <v/>
      </c>
      <c r="AF139" t="str">
        <f t="shared" si="70"/>
        <v>..</v>
      </c>
      <c r="AG139" s="28" t="str">
        <f t="shared" si="54"/>
        <v/>
      </c>
      <c r="AH139" s="28" t="str">
        <f t="shared" si="55"/>
        <v/>
      </c>
      <c r="AI139" t="str">
        <f t="shared" si="56"/>
        <v/>
      </c>
      <c r="AJ139" t="str">
        <f t="shared" si="57"/>
        <v/>
      </c>
      <c r="AK139" t="str">
        <f t="shared" si="58"/>
        <v/>
      </c>
      <c r="AL139" t="str">
        <f t="shared" si="59"/>
        <v/>
      </c>
      <c r="AM139" t="str">
        <f t="shared" si="60"/>
        <v/>
      </c>
      <c r="AN139" t="str">
        <f t="shared" si="61"/>
        <v/>
      </c>
      <c r="AO139" t="str">
        <f t="shared" si="62"/>
        <v/>
      </c>
      <c r="AP139" t="str">
        <f t="shared" si="63"/>
        <v/>
      </c>
      <c r="AQ139" t="str">
        <f t="shared" si="64"/>
        <v/>
      </c>
      <c r="AR139" t="str">
        <f t="shared" si="65"/>
        <v/>
      </c>
      <c r="AS139" t="str">
        <f t="shared" si="66"/>
        <v/>
      </c>
      <c r="AT139" t="str">
        <f t="shared" si="67"/>
        <v/>
      </c>
      <c r="AU139" s="25" t="str">
        <f t="shared" si="71"/>
        <v/>
      </c>
      <c r="BA139">
        <f>'REGISTER SK'!F142</f>
        <v>0</v>
      </c>
    </row>
    <row r="140" spans="1:53" x14ac:dyDescent="0.35">
      <c r="A140" s="18">
        <v>139</v>
      </c>
      <c r="B140" s="36" t="s">
        <v>379</v>
      </c>
      <c r="C140" s="18" t="str">
        <f>IF(G140="","",IF(G140="Umum",G140,VLOOKUP(F140,'Data Induk Pegawai'!B:AE,4,FALSE)))</f>
        <v/>
      </c>
      <c r="D140" s="19" t="str">
        <f>IF('REGISTER SK'!A143="","",IF('REGISTER SK'!B143=0,D139,'REGISTER SK'!B143))</f>
        <v/>
      </c>
      <c r="E140" s="19" t="str">
        <f t="shared" si="68"/>
        <v/>
      </c>
      <c r="F140" s="29"/>
      <c r="G140" s="29"/>
      <c r="H140" s="31" t="str">
        <f>IF(F140="","",VLOOKUP(F140,'Data Induk Pegawai'!B:U,2,FALSE))</f>
        <v/>
      </c>
      <c r="I140" s="19" t="str">
        <f>IF('REGISTER SK'!C143="","",'REGISTER SK'!C143)</f>
        <v/>
      </c>
      <c r="J140" s="125"/>
      <c r="K140" s="125"/>
      <c r="L140" s="26" t="str">
        <f>IF('REGISTER SK'!D143="","",'REGISTER SK'!D143)</f>
        <v/>
      </c>
      <c r="M140" s="26" t="str">
        <f>IF('REGISTER SK'!E143="","",'REGISTER SK'!E143)</f>
        <v/>
      </c>
      <c r="N140" s="31" t="str">
        <f>IF(G140="","",IF(OR(G140="GTT",G140="PTT"),"--",VLOOKUP(F140,'Data Induk Pegawai'!B:AE,4,FALSE)))</f>
        <v/>
      </c>
      <c r="O140" s="18" t="s">
        <v>300</v>
      </c>
      <c r="P140" s="31" t="str">
        <f>IF(G140="","",VLOOKUP(F140,'Data Induk Pegawai'!B:AE,7,FALSE))</f>
        <v/>
      </c>
      <c r="Q140" s="30"/>
      <c r="R140" s="26" t="str">
        <f>IF(G140="","","Nomor "&amp;RIGHT(VLOOKUP(F140,'Data Induk Pegawai'!B:AE,12,FALSE),2)&amp;" Tahun "&amp;MID(VLOOKUP(F140,'Data Induk Pegawai'!B:AE,12,FALSE),5,4))</f>
        <v/>
      </c>
      <c r="S140" s="26" t="str">
        <f>IF(G140="","",VLOOKUP(F140,'Data Induk Pegawai'!B:AE,11,FALSE))</f>
        <v/>
      </c>
      <c r="T140" s="56"/>
      <c r="U140" s="18" t="str">
        <f t="shared" si="48"/>
        <v/>
      </c>
      <c r="V140" s="30"/>
      <c r="W140" s="18" t="str">
        <f t="shared" si="49"/>
        <v/>
      </c>
      <c r="X140" s="16"/>
      <c r="Y140" s="97" t="str">
        <f t="shared" si="50"/>
        <v/>
      </c>
      <c r="Z140" s="97" t="str">
        <f t="shared" si="51"/>
        <v/>
      </c>
      <c r="AA140" s="97" t="str">
        <f t="shared" si="52"/>
        <v/>
      </c>
      <c r="AB140" s="25" t="str">
        <f>COUNTIFS(AC140:AC$596,AC140)&amp;AC140</f>
        <v>457</v>
      </c>
      <c r="AC140" t="str">
        <f t="shared" si="69"/>
        <v/>
      </c>
      <c r="AD140" t="str">
        <f>COUNTIFS(AC$2:AC140,AC140)&amp;AC140</f>
        <v>139</v>
      </c>
      <c r="AE140" t="str">
        <f t="shared" si="53"/>
        <v/>
      </c>
      <c r="AF140" t="str">
        <f t="shared" si="70"/>
        <v>..</v>
      </c>
      <c r="AG140" s="28" t="str">
        <f t="shared" si="54"/>
        <v/>
      </c>
      <c r="AH140" s="28" t="str">
        <f t="shared" si="55"/>
        <v/>
      </c>
      <c r="AI140" t="str">
        <f t="shared" si="56"/>
        <v/>
      </c>
      <c r="AJ140" t="str">
        <f t="shared" si="57"/>
        <v/>
      </c>
      <c r="AK140" t="str">
        <f t="shared" si="58"/>
        <v/>
      </c>
      <c r="AL140" t="str">
        <f t="shared" si="59"/>
        <v/>
      </c>
      <c r="AM140" t="str">
        <f t="shared" si="60"/>
        <v/>
      </c>
      <c r="AN140" t="str">
        <f t="shared" si="61"/>
        <v/>
      </c>
      <c r="AO140" t="str">
        <f t="shared" si="62"/>
        <v/>
      </c>
      <c r="AP140" t="str">
        <f t="shared" si="63"/>
        <v/>
      </c>
      <c r="AQ140" t="str">
        <f t="shared" si="64"/>
        <v/>
      </c>
      <c r="AR140" t="str">
        <f t="shared" si="65"/>
        <v/>
      </c>
      <c r="AS140" t="str">
        <f t="shared" si="66"/>
        <v/>
      </c>
      <c r="AT140" t="str">
        <f t="shared" si="67"/>
        <v/>
      </c>
      <c r="AU140" s="25" t="str">
        <f t="shared" si="71"/>
        <v/>
      </c>
      <c r="BA140">
        <f>'REGISTER SK'!F143</f>
        <v>0</v>
      </c>
    </row>
    <row r="141" spans="1:53" x14ac:dyDescent="0.35">
      <c r="A141" s="18">
        <v>140</v>
      </c>
      <c r="B141" s="36" t="s">
        <v>379</v>
      </c>
      <c r="C141" s="18" t="str">
        <f>IF(G141="","",IF(G141="Umum",G141,VLOOKUP(F141,'Data Induk Pegawai'!B:AE,4,FALSE)))</f>
        <v/>
      </c>
      <c r="D141" s="19" t="str">
        <f>IF('REGISTER SK'!A144="","",IF('REGISTER SK'!B144=0,D140,'REGISTER SK'!B144))</f>
        <v/>
      </c>
      <c r="E141" s="19" t="str">
        <f t="shared" si="68"/>
        <v/>
      </c>
      <c r="F141" s="29"/>
      <c r="G141" s="29"/>
      <c r="H141" s="31" t="str">
        <f>IF(F141="","",VLOOKUP(F141,'Data Induk Pegawai'!B:U,2,FALSE))</f>
        <v/>
      </c>
      <c r="I141" s="19" t="str">
        <f>IF('REGISTER SK'!C144="","",'REGISTER SK'!C144)</f>
        <v/>
      </c>
      <c r="J141" s="125"/>
      <c r="K141" s="125"/>
      <c r="L141" s="26" t="str">
        <f>IF('REGISTER SK'!D144="","",'REGISTER SK'!D144)</f>
        <v/>
      </c>
      <c r="M141" s="26" t="str">
        <f>IF('REGISTER SK'!E144="","",'REGISTER SK'!E144)</f>
        <v/>
      </c>
      <c r="N141" s="31" t="str">
        <f>IF(G141="","",IF(OR(G141="GTT",G141="PTT"),"--",VLOOKUP(F141,'Data Induk Pegawai'!B:AE,4,FALSE)))</f>
        <v/>
      </c>
      <c r="O141" s="18" t="s">
        <v>310</v>
      </c>
      <c r="P141" s="31" t="str">
        <f>IF(G141="","",VLOOKUP(F141,'Data Induk Pegawai'!B:AE,7,FALSE))</f>
        <v/>
      </c>
      <c r="Q141" s="30"/>
      <c r="R141" s="26" t="str">
        <f>IF(G141="","","Nomor "&amp;RIGHT(VLOOKUP(F141,'Data Induk Pegawai'!B:AE,12,FALSE),2)&amp;" Tahun "&amp;MID(VLOOKUP(F141,'Data Induk Pegawai'!B:AE,12,FALSE),5,4))</f>
        <v/>
      </c>
      <c r="S141" s="26" t="str">
        <f>IF(G141="","",VLOOKUP(F141,'Data Induk Pegawai'!B:AE,11,FALSE))</f>
        <v/>
      </c>
      <c r="T141" s="56"/>
      <c r="U141" s="18" t="str">
        <f t="shared" si="48"/>
        <v/>
      </c>
      <c r="V141" s="30"/>
      <c r="W141" s="18" t="str">
        <f t="shared" si="49"/>
        <v/>
      </c>
      <c r="X141" s="16"/>
      <c r="Y141" s="97" t="str">
        <f t="shared" si="50"/>
        <v/>
      </c>
      <c r="Z141" s="97" t="str">
        <f t="shared" si="51"/>
        <v/>
      </c>
      <c r="AA141" s="97" t="str">
        <f t="shared" si="52"/>
        <v/>
      </c>
      <c r="AB141" s="25" t="str">
        <f>COUNTIFS(AC141:AC$596,AC141)&amp;AC141</f>
        <v>456</v>
      </c>
      <c r="AC141" t="str">
        <f t="shared" si="69"/>
        <v/>
      </c>
      <c r="AD141" t="str">
        <f>COUNTIFS(AC$2:AC141,AC141)&amp;AC141</f>
        <v>140</v>
      </c>
      <c r="AE141" t="str">
        <f t="shared" si="53"/>
        <v/>
      </c>
      <c r="AF141" t="str">
        <f t="shared" si="70"/>
        <v>..</v>
      </c>
      <c r="AG141" s="28" t="str">
        <f t="shared" si="54"/>
        <v/>
      </c>
      <c r="AH141" s="28" t="str">
        <f t="shared" si="55"/>
        <v/>
      </c>
      <c r="AI141" t="str">
        <f t="shared" si="56"/>
        <v/>
      </c>
      <c r="AJ141" t="str">
        <f t="shared" si="57"/>
        <v/>
      </c>
      <c r="AK141" t="str">
        <f t="shared" si="58"/>
        <v/>
      </c>
      <c r="AL141" t="str">
        <f t="shared" si="59"/>
        <v/>
      </c>
      <c r="AM141" t="str">
        <f t="shared" si="60"/>
        <v/>
      </c>
      <c r="AN141" t="str">
        <f t="shared" si="61"/>
        <v/>
      </c>
      <c r="AO141" t="str">
        <f t="shared" si="62"/>
        <v/>
      </c>
      <c r="AP141" t="str">
        <f t="shared" si="63"/>
        <v/>
      </c>
      <c r="AQ141" t="str">
        <f t="shared" si="64"/>
        <v/>
      </c>
      <c r="AR141" t="str">
        <f t="shared" si="65"/>
        <v/>
      </c>
      <c r="AS141" t="str">
        <f t="shared" si="66"/>
        <v/>
      </c>
      <c r="AT141" t="str">
        <f t="shared" si="67"/>
        <v/>
      </c>
      <c r="AU141" s="25" t="str">
        <f t="shared" si="71"/>
        <v/>
      </c>
      <c r="BA141">
        <f>'REGISTER SK'!F144</f>
        <v>0</v>
      </c>
    </row>
    <row r="142" spans="1:53" x14ac:dyDescent="0.35">
      <c r="A142" s="18">
        <v>141</v>
      </c>
      <c r="B142" s="36" t="s">
        <v>379</v>
      </c>
      <c r="C142" s="18" t="str">
        <f>IF(G142="","",IF(G142="Umum",G142,VLOOKUP(F142,'Data Induk Pegawai'!B:AE,4,FALSE)))</f>
        <v/>
      </c>
      <c r="D142" s="19" t="str">
        <f>IF('REGISTER SK'!A145="","",IF('REGISTER SK'!B145=0,D141,'REGISTER SK'!B145))</f>
        <v/>
      </c>
      <c r="E142" s="19" t="str">
        <f t="shared" si="68"/>
        <v/>
      </c>
      <c r="F142" s="29"/>
      <c r="G142" s="29"/>
      <c r="H142" s="31" t="str">
        <f>IF(F142="","",VLOOKUP(F142,'Data Induk Pegawai'!B:U,2,FALSE))</f>
        <v/>
      </c>
      <c r="I142" s="19" t="str">
        <f>IF('REGISTER SK'!C145="","",'REGISTER SK'!C145)</f>
        <v/>
      </c>
      <c r="J142" s="125"/>
      <c r="K142" s="125"/>
      <c r="L142" s="26" t="str">
        <f>IF('REGISTER SK'!D145="","",'REGISTER SK'!D145)</f>
        <v/>
      </c>
      <c r="M142" s="26" t="str">
        <f>IF('REGISTER SK'!E145="","",'REGISTER SK'!E145)</f>
        <v/>
      </c>
      <c r="N142" s="31" t="str">
        <f>IF(G142="","",IF(OR(G142="GTT",G142="PTT"),"--",VLOOKUP(F142,'Data Induk Pegawai'!B:AE,4,FALSE)))</f>
        <v/>
      </c>
      <c r="O142" s="18" t="s">
        <v>306</v>
      </c>
      <c r="P142" s="31" t="str">
        <f>IF(G142="","",VLOOKUP(F142,'Data Induk Pegawai'!B:AE,7,FALSE))</f>
        <v/>
      </c>
      <c r="Q142" s="30"/>
      <c r="R142" s="26" t="str">
        <f>IF(G142="","","Nomor "&amp;RIGHT(VLOOKUP(F142,'Data Induk Pegawai'!B:AE,12,FALSE),2)&amp;" Tahun "&amp;MID(VLOOKUP(F142,'Data Induk Pegawai'!B:AE,12,FALSE),5,4))</f>
        <v/>
      </c>
      <c r="S142" s="26" t="str">
        <f>IF(G142="","",VLOOKUP(F142,'Data Induk Pegawai'!B:AE,11,FALSE))</f>
        <v/>
      </c>
      <c r="T142" s="56"/>
      <c r="U142" s="18" t="str">
        <f t="shared" si="48"/>
        <v/>
      </c>
      <c r="V142" s="30"/>
      <c r="W142" s="18" t="str">
        <f t="shared" si="49"/>
        <v/>
      </c>
      <c r="X142" s="16"/>
      <c r="Y142" s="97" t="str">
        <f t="shared" si="50"/>
        <v/>
      </c>
      <c r="Z142" s="97" t="str">
        <f t="shared" si="51"/>
        <v/>
      </c>
      <c r="AA142" s="97" t="str">
        <f t="shared" si="52"/>
        <v/>
      </c>
      <c r="AB142" s="25" t="str">
        <f>COUNTIFS(AC142:AC$596,AC142)&amp;AC142</f>
        <v>455</v>
      </c>
      <c r="AC142" t="str">
        <f t="shared" si="69"/>
        <v/>
      </c>
      <c r="AD142" t="str">
        <f>COUNTIFS(AC$2:AC142,AC142)&amp;AC142</f>
        <v>141</v>
      </c>
      <c r="AE142" t="str">
        <f t="shared" si="53"/>
        <v/>
      </c>
      <c r="AF142" t="str">
        <f t="shared" si="70"/>
        <v>..</v>
      </c>
      <c r="AG142" s="28" t="str">
        <f t="shared" si="54"/>
        <v/>
      </c>
      <c r="AH142" s="28" t="str">
        <f t="shared" si="55"/>
        <v/>
      </c>
      <c r="AI142" t="str">
        <f t="shared" si="56"/>
        <v/>
      </c>
      <c r="AJ142" t="str">
        <f t="shared" si="57"/>
        <v/>
      </c>
      <c r="AK142" t="str">
        <f t="shared" si="58"/>
        <v/>
      </c>
      <c r="AL142" t="str">
        <f t="shared" si="59"/>
        <v/>
      </c>
      <c r="AM142" t="str">
        <f t="shared" si="60"/>
        <v/>
      </c>
      <c r="AN142" t="str">
        <f t="shared" si="61"/>
        <v/>
      </c>
      <c r="AO142" t="str">
        <f t="shared" si="62"/>
        <v/>
      </c>
      <c r="AP142" t="str">
        <f t="shared" si="63"/>
        <v/>
      </c>
      <c r="AQ142" t="str">
        <f t="shared" si="64"/>
        <v/>
      </c>
      <c r="AR142" t="str">
        <f t="shared" si="65"/>
        <v/>
      </c>
      <c r="AS142" t="str">
        <f t="shared" si="66"/>
        <v/>
      </c>
      <c r="AT142" t="str">
        <f t="shared" si="67"/>
        <v/>
      </c>
      <c r="AU142" s="25" t="str">
        <f t="shared" si="71"/>
        <v/>
      </c>
      <c r="BA142">
        <f>'REGISTER SK'!F145</f>
        <v>0</v>
      </c>
    </row>
    <row r="143" spans="1:53" x14ac:dyDescent="0.35">
      <c r="A143" s="18">
        <v>142</v>
      </c>
      <c r="B143" s="36" t="s">
        <v>379</v>
      </c>
      <c r="C143" s="18" t="str">
        <f>IF(G143="","",IF(G143="Umum",G143,VLOOKUP(F143,'Data Induk Pegawai'!B:AE,4,FALSE)))</f>
        <v/>
      </c>
      <c r="D143" s="19" t="str">
        <f>IF('REGISTER SK'!A146="","",IF('REGISTER SK'!B146=0,D142,'REGISTER SK'!B146))</f>
        <v/>
      </c>
      <c r="E143" s="19" t="str">
        <f t="shared" si="68"/>
        <v/>
      </c>
      <c r="F143" s="29"/>
      <c r="G143" s="29"/>
      <c r="H143" s="31" t="str">
        <f>IF(F143="","",VLOOKUP(F143,'Data Induk Pegawai'!B:U,2,FALSE))</f>
        <v/>
      </c>
      <c r="I143" s="19" t="str">
        <f>IF('REGISTER SK'!C146="","",'REGISTER SK'!C146)</f>
        <v/>
      </c>
      <c r="J143" s="125"/>
      <c r="K143" s="125"/>
      <c r="L143" s="26" t="str">
        <f>IF('REGISTER SK'!D146="","",'REGISTER SK'!D146)</f>
        <v/>
      </c>
      <c r="M143" s="26" t="str">
        <f>IF('REGISTER SK'!E146="","",'REGISTER SK'!E146)</f>
        <v/>
      </c>
      <c r="N143" s="31" t="str">
        <f>IF(G143="","",IF(OR(G143="GTT",G143="PTT"),"--",VLOOKUP(F143,'Data Induk Pegawai'!B:AE,4,FALSE)))</f>
        <v/>
      </c>
      <c r="O143" s="18" t="s">
        <v>307</v>
      </c>
      <c r="P143" s="31" t="str">
        <f>IF(G143="","",VLOOKUP(F143,'Data Induk Pegawai'!B:AE,7,FALSE))</f>
        <v/>
      </c>
      <c r="Q143" s="30"/>
      <c r="R143" s="26" t="str">
        <f>IF(G143="","","Nomor "&amp;RIGHT(VLOOKUP(F143,'Data Induk Pegawai'!B:AE,12,FALSE),2)&amp;" Tahun "&amp;MID(VLOOKUP(F143,'Data Induk Pegawai'!B:AE,12,FALSE),5,4))</f>
        <v/>
      </c>
      <c r="S143" s="26" t="str">
        <f>IF(G143="","",VLOOKUP(F143,'Data Induk Pegawai'!B:AE,11,FALSE))</f>
        <v/>
      </c>
      <c r="T143" s="56"/>
      <c r="U143" s="18" t="str">
        <f t="shared" si="48"/>
        <v/>
      </c>
      <c r="V143" s="30"/>
      <c r="W143" s="18" t="str">
        <f t="shared" si="49"/>
        <v/>
      </c>
      <c r="X143" s="16"/>
      <c r="Y143" s="97" t="str">
        <f t="shared" si="50"/>
        <v/>
      </c>
      <c r="Z143" s="97" t="str">
        <f t="shared" si="51"/>
        <v/>
      </c>
      <c r="AA143" s="97" t="str">
        <f t="shared" si="52"/>
        <v/>
      </c>
      <c r="AB143" s="25" t="str">
        <f>COUNTIFS(AC143:AC$596,AC143)&amp;AC143</f>
        <v>454</v>
      </c>
      <c r="AC143" t="str">
        <f t="shared" si="69"/>
        <v/>
      </c>
      <c r="AD143" t="str">
        <f>COUNTIFS(AC$2:AC143,AC143)&amp;AC143</f>
        <v>142</v>
      </c>
      <c r="AE143" t="str">
        <f t="shared" si="53"/>
        <v/>
      </c>
      <c r="AF143" t="str">
        <f t="shared" si="70"/>
        <v>..</v>
      </c>
      <c r="AG143" s="28" t="str">
        <f t="shared" si="54"/>
        <v/>
      </c>
      <c r="AH143" s="28" t="str">
        <f t="shared" si="55"/>
        <v/>
      </c>
      <c r="AI143" t="str">
        <f t="shared" si="56"/>
        <v/>
      </c>
      <c r="AJ143" t="str">
        <f t="shared" si="57"/>
        <v/>
      </c>
      <c r="AK143" t="str">
        <f t="shared" si="58"/>
        <v/>
      </c>
      <c r="AL143" t="str">
        <f t="shared" si="59"/>
        <v/>
      </c>
      <c r="AM143" t="str">
        <f t="shared" si="60"/>
        <v/>
      </c>
      <c r="AN143" t="str">
        <f t="shared" si="61"/>
        <v/>
      </c>
      <c r="AO143" t="str">
        <f t="shared" si="62"/>
        <v/>
      </c>
      <c r="AP143" t="str">
        <f t="shared" si="63"/>
        <v/>
      </c>
      <c r="AQ143" t="str">
        <f t="shared" si="64"/>
        <v/>
      </c>
      <c r="AR143" t="str">
        <f t="shared" si="65"/>
        <v/>
      </c>
      <c r="AS143" t="str">
        <f t="shared" si="66"/>
        <v/>
      </c>
      <c r="AT143" t="str">
        <f t="shared" si="67"/>
        <v/>
      </c>
      <c r="AU143" s="25" t="str">
        <f t="shared" si="71"/>
        <v/>
      </c>
      <c r="BA143">
        <f>'REGISTER SK'!F146</f>
        <v>0</v>
      </c>
    </row>
    <row r="144" spans="1:53" x14ac:dyDescent="0.35">
      <c r="A144" s="18">
        <v>143</v>
      </c>
      <c r="B144" s="36" t="s">
        <v>379</v>
      </c>
      <c r="C144" s="18" t="str">
        <f>IF(G144="","",IF(G144="Umum",G144,VLOOKUP(F144,'Data Induk Pegawai'!B:AE,4,FALSE)))</f>
        <v/>
      </c>
      <c r="D144" s="19" t="str">
        <f>IF('REGISTER SK'!A147="","",IF('REGISTER SK'!B147=0,D143,'REGISTER SK'!B147))</f>
        <v/>
      </c>
      <c r="E144" s="19" t="str">
        <f t="shared" si="68"/>
        <v/>
      </c>
      <c r="F144" s="29"/>
      <c r="G144" s="29"/>
      <c r="H144" s="31" t="str">
        <f>IF(F144="","",VLOOKUP(F144,'Data Induk Pegawai'!B:U,2,FALSE))</f>
        <v/>
      </c>
      <c r="I144" s="19" t="str">
        <f>IF('REGISTER SK'!C147="","",'REGISTER SK'!C147)</f>
        <v/>
      </c>
      <c r="J144" s="125"/>
      <c r="K144" s="125"/>
      <c r="L144" s="26" t="str">
        <f>IF('REGISTER SK'!D147="","",'REGISTER SK'!D147)</f>
        <v/>
      </c>
      <c r="M144" s="26" t="str">
        <f>IF('REGISTER SK'!E147="","",'REGISTER SK'!E147)</f>
        <v/>
      </c>
      <c r="N144" s="31" t="str">
        <f>IF(G144="","",IF(OR(G144="GTT",G144="PTT"),"--",VLOOKUP(F144,'Data Induk Pegawai'!B:AE,4,FALSE)))</f>
        <v/>
      </c>
      <c r="O144" s="18" t="s">
        <v>308</v>
      </c>
      <c r="P144" s="31" t="str">
        <f>IF(G144="","",VLOOKUP(F144,'Data Induk Pegawai'!B:AE,7,FALSE))</f>
        <v/>
      </c>
      <c r="Q144" s="30"/>
      <c r="R144" s="26" t="str">
        <f>IF(G144="","","Nomor "&amp;RIGHT(VLOOKUP(F144,'Data Induk Pegawai'!B:AE,12,FALSE),2)&amp;" Tahun "&amp;MID(VLOOKUP(F144,'Data Induk Pegawai'!B:AE,12,FALSE),5,4))</f>
        <v/>
      </c>
      <c r="S144" s="26" t="str">
        <f>IF(G144="","",VLOOKUP(F144,'Data Induk Pegawai'!B:AE,11,FALSE))</f>
        <v/>
      </c>
      <c r="T144" s="56"/>
      <c r="U144" s="18" t="str">
        <f t="shared" si="48"/>
        <v/>
      </c>
      <c r="V144" s="30"/>
      <c r="W144" s="18" t="str">
        <f t="shared" si="49"/>
        <v/>
      </c>
      <c r="X144" s="16"/>
      <c r="Y144" s="97" t="str">
        <f t="shared" si="50"/>
        <v/>
      </c>
      <c r="Z144" s="97" t="str">
        <f t="shared" si="51"/>
        <v/>
      </c>
      <c r="AA144" s="97" t="str">
        <f t="shared" si="52"/>
        <v/>
      </c>
      <c r="AB144" s="25" t="str">
        <f>COUNTIFS(AC144:AC$596,AC144)&amp;AC144</f>
        <v>453</v>
      </c>
      <c r="AC144" t="str">
        <f t="shared" si="69"/>
        <v/>
      </c>
      <c r="AD144" t="str">
        <f>COUNTIFS(AC$2:AC144,AC144)&amp;AC144</f>
        <v>143</v>
      </c>
      <c r="AE144" t="str">
        <f t="shared" si="53"/>
        <v/>
      </c>
      <c r="AF144" t="str">
        <f t="shared" si="70"/>
        <v>..</v>
      </c>
      <c r="AG144" s="28" t="str">
        <f t="shared" si="54"/>
        <v/>
      </c>
      <c r="AH144" s="28" t="str">
        <f t="shared" si="55"/>
        <v/>
      </c>
      <c r="AI144" t="str">
        <f t="shared" si="56"/>
        <v/>
      </c>
      <c r="AJ144" t="str">
        <f t="shared" si="57"/>
        <v/>
      </c>
      <c r="AK144" t="str">
        <f t="shared" si="58"/>
        <v/>
      </c>
      <c r="AL144" t="str">
        <f t="shared" si="59"/>
        <v/>
      </c>
      <c r="AM144" t="str">
        <f t="shared" si="60"/>
        <v/>
      </c>
      <c r="AN144" t="str">
        <f t="shared" si="61"/>
        <v/>
      </c>
      <c r="AO144" t="str">
        <f t="shared" si="62"/>
        <v/>
      </c>
      <c r="AP144" t="str">
        <f t="shared" si="63"/>
        <v/>
      </c>
      <c r="AQ144" t="str">
        <f t="shared" si="64"/>
        <v/>
      </c>
      <c r="AR144" t="str">
        <f t="shared" si="65"/>
        <v/>
      </c>
      <c r="AS144" t="str">
        <f t="shared" si="66"/>
        <v/>
      </c>
      <c r="AT144" t="str">
        <f t="shared" si="67"/>
        <v/>
      </c>
      <c r="AU144" s="25" t="str">
        <f t="shared" si="71"/>
        <v/>
      </c>
      <c r="BA144">
        <f>'REGISTER SK'!F147</f>
        <v>0</v>
      </c>
    </row>
    <row r="145" spans="1:53" x14ac:dyDescent="0.35">
      <c r="A145" s="18">
        <v>144</v>
      </c>
      <c r="B145" s="36" t="s">
        <v>379</v>
      </c>
      <c r="C145" s="18" t="str">
        <f>IF(G145="","",IF(G145="Umum",G145,VLOOKUP(F145,'Data Induk Pegawai'!B:AE,4,FALSE)))</f>
        <v/>
      </c>
      <c r="D145" s="19" t="str">
        <f>IF('REGISTER SK'!A148="","",IF('REGISTER SK'!B148=0,D144,'REGISTER SK'!B148))</f>
        <v/>
      </c>
      <c r="E145" s="19" t="str">
        <f t="shared" si="68"/>
        <v/>
      </c>
      <c r="F145" s="29"/>
      <c r="G145" s="29"/>
      <c r="H145" s="31" t="str">
        <f>IF(F145="","",VLOOKUP(F145,'Data Induk Pegawai'!B:U,2,FALSE))</f>
        <v/>
      </c>
      <c r="I145" s="19" t="str">
        <f>IF('REGISTER SK'!C148="","",'REGISTER SK'!C148)</f>
        <v/>
      </c>
      <c r="J145" s="125"/>
      <c r="K145" s="125"/>
      <c r="L145" s="26" t="str">
        <f>IF('REGISTER SK'!D148="","",'REGISTER SK'!D148)</f>
        <v/>
      </c>
      <c r="M145" s="26" t="str">
        <f>IF('REGISTER SK'!E148="","",'REGISTER SK'!E148)</f>
        <v/>
      </c>
      <c r="N145" s="31" t="str">
        <f>IF(G145="","",IF(OR(G145="GTT",G145="PTT"),"--",VLOOKUP(F145,'Data Induk Pegawai'!B:AE,4,FALSE)))</f>
        <v/>
      </c>
      <c r="O145" s="18" t="s">
        <v>309</v>
      </c>
      <c r="P145" s="31" t="str">
        <f>IF(G145="","",VLOOKUP(F145,'Data Induk Pegawai'!B:AE,7,FALSE))</f>
        <v/>
      </c>
      <c r="Q145" s="30"/>
      <c r="R145" s="26" t="str">
        <f>IF(G145="","","Nomor "&amp;RIGHT(VLOOKUP(F145,'Data Induk Pegawai'!B:AE,12,FALSE),2)&amp;" Tahun "&amp;MID(VLOOKUP(F145,'Data Induk Pegawai'!B:AE,12,FALSE),5,4))</f>
        <v/>
      </c>
      <c r="S145" s="26" t="str">
        <f>IF(G145="","",VLOOKUP(F145,'Data Induk Pegawai'!B:AE,11,FALSE))</f>
        <v/>
      </c>
      <c r="T145" s="56"/>
      <c r="U145" s="18" t="str">
        <f t="shared" si="48"/>
        <v/>
      </c>
      <c r="V145" s="30"/>
      <c r="W145" s="18" t="str">
        <f t="shared" si="49"/>
        <v/>
      </c>
      <c r="X145" s="16"/>
      <c r="Y145" s="97" t="str">
        <f t="shared" si="50"/>
        <v/>
      </c>
      <c r="Z145" s="97" t="str">
        <f t="shared" si="51"/>
        <v/>
      </c>
      <c r="AA145" s="97" t="str">
        <f t="shared" si="52"/>
        <v/>
      </c>
      <c r="AB145" s="25" t="str">
        <f>COUNTIFS(AC145:AC$596,AC145)&amp;AC145</f>
        <v>452</v>
      </c>
      <c r="AC145" t="str">
        <f t="shared" si="69"/>
        <v/>
      </c>
      <c r="AD145" t="str">
        <f>COUNTIFS(AC$2:AC145,AC145)&amp;AC145</f>
        <v>144</v>
      </c>
      <c r="AE145" t="str">
        <f t="shared" si="53"/>
        <v/>
      </c>
      <c r="AF145" t="str">
        <f t="shared" si="70"/>
        <v>..</v>
      </c>
      <c r="AG145" s="28" t="str">
        <f t="shared" si="54"/>
        <v/>
      </c>
      <c r="AH145" s="28" t="str">
        <f t="shared" si="55"/>
        <v/>
      </c>
      <c r="AI145" t="str">
        <f t="shared" si="56"/>
        <v/>
      </c>
      <c r="AJ145" t="str">
        <f t="shared" si="57"/>
        <v/>
      </c>
      <c r="AK145" t="str">
        <f t="shared" si="58"/>
        <v/>
      </c>
      <c r="AL145" t="str">
        <f t="shared" si="59"/>
        <v/>
      </c>
      <c r="AM145" t="str">
        <f t="shared" si="60"/>
        <v/>
      </c>
      <c r="AN145" t="str">
        <f t="shared" si="61"/>
        <v/>
      </c>
      <c r="AO145" t="str">
        <f t="shared" si="62"/>
        <v/>
      </c>
      <c r="AP145" t="str">
        <f t="shared" si="63"/>
        <v/>
      </c>
      <c r="AQ145" t="str">
        <f t="shared" si="64"/>
        <v/>
      </c>
      <c r="AR145" t="str">
        <f t="shared" si="65"/>
        <v/>
      </c>
      <c r="AS145" t="str">
        <f t="shared" si="66"/>
        <v/>
      </c>
      <c r="AT145" t="str">
        <f t="shared" si="67"/>
        <v/>
      </c>
      <c r="AU145" s="25" t="str">
        <f t="shared" si="71"/>
        <v/>
      </c>
      <c r="BA145">
        <f>'REGISTER SK'!F148</f>
        <v>0</v>
      </c>
    </row>
    <row r="146" spans="1:53" x14ac:dyDescent="0.35">
      <c r="A146" s="18">
        <v>145</v>
      </c>
      <c r="B146" s="36" t="s">
        <v>379</v>
      </c>
      <c r="C146" s="18" t="str">
        <f>IF(G146="","",IF(G146="Umum",G146,VLOOKUP(F146,'Data Induk Pegawai'!B:AE,4,FALSE)))</f>
        <v/>
      </c>
      <c r="D146" s="19" t="str">
        <f>IF('REGISTER SK'!A149="","",IF('REGISTER SK'!B149=0,D145,'REGISTER SK'!B149))</f>
        <v/>
      </c>
      <c r="E146" s="19" t="str">
        <f t="shared" si="68"/>
        <v/>
      </c>
      <c r="F146" s="29"/>
      <c r="G146" s="29"/>
      <c r="H146" s="31" t="str">
        <f>IF(F146="","",VLOOKUP(F146,'Data Induk Pegawai'!B:U,2,FALSE))</f>
        <v/>
      </c>
      <c r="I146" s="19" t="str">
        <f>IF('REGISTER SK'!C149="","",'REGISTER SK'!C149)</f>
        <v/>
      </c>
      <c r="J146" s="125"/>
      <c r="K146" s="125"/>
      <c r="L146" s="26" t="str">
        <f>IF('REGISTER SK'!D149="","",'REGISTER SK'!D149)</f>
        <v/>
      </c>
      <c r="M146" s="26" t="str">
        <f>IF('REGISTER SK'!E149="","",'REGISTER SK'!E149)</f>
        <v/>
      </c>
      <c r="N146" s="31" t="str">
        <f>IF(G146="","",IF(OR(G146="GTT",G146="PTT"),"--",VLOOKUP(F146,'Data Induk Pegawai'!B:AE,4,FALSE)))</f>
        <v/>
      </c>
      <c r="O146" s="18" t="s">
        <v>311</v>
      </c>
      <c r="P146" s="31" t="str">
        <f>IF(G146="","",VLOOKUP(F146,'Data Induk Pegawai'!B:AE,7,FALSE))</f>
        <v/>
      </c>
      <c r="Q146" s="30"/>
      <c r="R146" s="26" t="str">
        <f>IF(G146="","","Nomor "&amp;RIGHT(VLOOKUP(F146,'Data Induk Pegawai'!B:AE,12,FALSE),2)&amp;" Tahun "&amp;MID(VLOOKUP(F146,'Data Induk Pegawai'!B:AE,12,FALSE),5,4))</f>
        <v/>
      </c>
      <c r="S146" s="26" t="str">
        <f>IF(G146="","",VLOOKUP(F146,'Data Induk Pegawai'!B:AE,11,FALSE))</f>
        <v/>
      </c>
      <c r="T146" s="56"/>
      <c r="U146" s="18" t="str">
        <f t="shared" si="48"/>
        <v/>
      </c>
      <c r="V146" s="30"/>
      <c r="W146" s="18" t="str">
        <f t="shared" si="49"/>
        <v/>
      </c>
      <c r="X146" s="16"/>
      <c r="Y146" s="97" t="str">
        <f t="shared" si="50"/>
        <v/>
      </c>
      <c r="Z146" s="97" t="str">
        <f t="shared" si="51"/>
        <v/>
      </c>
      <c r="AA146" s="97" t="str">
        <f t="shared" si="52"/>
        <v/>
      </c>
      <c r="AB146" s="25" t="str">
        <f>COUNTIFS(AC146:AC$596,AC146)&amp;AC146</f>
        <v>451</v>
      </c>
      <c r="AC146" t="str">
        <f t="shared" si="69"/>
        <v/>
      </c>
      <c r="AD146" t="str">
        <f>COUNTIFS(AC$2:AC146,AC146)&amp;AC146</f>
        <v>145</v>
      </c>
      <c r="AE146" t="str">
        <f t="shared" si="53"/>
        <v/>
      </c>
      <c r="AF146" t="str">
        <f t="shared" si="70"/>
        <v>..</v>
      </c>
      <c r="AG146" s="28" t="str">
        <f t="shared" si="54"/>
        <v/>
      </c>
      <c r="AH146" s="28" t="str">
        <f t="shared" si="55"/>
        <v/>
      </c>
      <c r="AI146" t="str">
        <f t="shared" si="56"/>
        <v/>
      </c>
      <c r="AJ146" t="str">
        <f t="shared" si="57"/>
        <v/>
      </c>
      <c r="AK146" t="str">
        <f t="shared" si="58"/>
        <v/>
      </c>
      <c r="AL146" t="str">
        <f t="shared" si="59"/>
        <v/>
      </c>
      <c r="AM146" t="str">
        <f t="shared" si="60"/>
        <v/>
      </c>
      <c r="AN146" t="str">
        <f t="shared" si="61"/>
        <v/>
      </c>
      <c r="AO146" t="str">
        <f t="shared" si="62"/>
        <v/>
      </c>
      <c r="AP146" t="str">
        <f t="shared" si="63"/>
        <v/>
      </c>
      <c r="AQ146" t="str">
        <f t="shared" si="64"/>
        <v/>
      </c>
      <c r="AR146" t="str">
        <f t="shared" si="65"/>
        <v/>
      </c>
      <c r="AS146" t="str">
        <f t="shared" si="66"/>
        <v/>
      </c>
      <c r="AT146" t="str">
        <f t="shared" si="67"/>
        <v/>
      </c>
      <c r="AU146" s="25" t="str">
        <f t="shared" si="71"/>
        <v/>
      </c>
      <c r="BA146">
        <f>'REGISTER SK'!F149</f>
        <v>0</v>
      </c>
    </row>
    <row r="147" spans="1:53" x14ac:dyDescent="0.35">
      <c r="A147" s="18">
        <v>146</v>
      </c>
      <c r="B147" s="36" t="s">
        <v>379</v>
      </c>
      <c r="C147" s="18" t="str">
        <f>IF(G147="","",IF(G147="Umum",G147,VLOOKUP(F147,'Data Induk Pegawai'!B:AE,4,FALSE)))</f>
        <v/>
      </c>
      <c r="D147" s="19" t="str">
        <f>IF('REGISTER SK'!A150="","",IF('REGISTER SK'!B150=0,D146,'REGISTER SK'!B150))</f>
        <v/>
      </c>
      <c r="E147" s="19" t="str">
        <f t="shared" si="68"/>
        <v/>
      </c>
      <c r="F147" s="29"/>
      <c r="G147" s="29"/>
      <c r="H147" s="31" t="str">
        <f>IF(F147="","",VLOOKUP(F147,'Data Induk Pegawai'!B:U,2,FALSE))</f>
        <v/>
      </c>
      <c r="I147" s="19" t="str">
        <f>IF('REGISTER SK'!C150="","",'REGISTER SK'!C150)</f>
        <v/>
      </c>
      <c r="J147" s="125"/>
      <c r="K147" s="125"/>
      <c r="L147" s="26" t="str">
        <f>IF('REGISTER SK'!D150="","",'REGISTER SK'!D150)</f>
        <v/>
      </c>
      <c r="M147" s="26" t="str">
        <f>IF('REGISTER SK'!E150="","",'REGISTER SK'!E150)</f>
        <v/>
      </c>
      <c r="N147" s="31" t="str">
        <f>IF(G147="","",IF(OR(G147="GTT",G147="PTT"),"--",VLOOKUP(F147,'Data Induk Pegawai'!B:AE,4,FALSE)))</f>
        <v/>
      </c>
      <c r="O147" s="18" t="s">
        <v>312</v>
      </c>
      <c r="P147" s="31" t="str">
        <f>IF(G147="","",VLOOKUP(F147,'Data Induk Pegawai'!B:AE,7,FALSE))</f>
        <v/>
      </c>
      <c r="Q147" s="30"/>
      <c r="R147" s="26" t="str">
        <f>IF(G147="","","Nomor "&amp;RIGHT(VLOOKUP(F147,'Data Induk Pegawai'!B:AE,12,FALSE),2)&amp;" Tahun "&amp;MID(VLOOKUP(F147,'Data Induk Pegawai'!B:AE,12,FALSE),5,4))</f>
        <v/>
      </c>
      <c r="S147" s="26" t="str">
        <f>IF(G147="","",VLOOKUP(F147,'Data Induk Pegawai'!B:AE,11,FALSE))</f>
        <v/>
      </c>
      <c r="T147" s="56"/>
      <c r="U147" s="18" t="str">
        <f t="shared" si="48"/>
        <v/>
      </c>
      <c r="V147" s="30"/>
      <c r="W147" s="18" t="str">
        <f t="shared" si="49"/>
        <v/>
      </c>
      <c r="X147" s="16"/>
      <c r="Y147" s="97" t="str">
        <f t="shared" si="50"/>
        <v/>
      </c>
      <c r="Z147" s="97" t="str">
        <f t="shared" si="51"/>
        <v/>
      </c>
      <c r="AA147" s="97" t="str">
        <f t="shared" si="52"/>
        <v/>
      </c>
      <c r="AB147" s="25" t="str">
        <f>COUNTIFS(AC147:AC$596,AC147)&amp;AC147</f>
        <v>450</v>
      </c>
      <c r="AC147" t="str">
        <f t="shared" si="69"/>
        <v/>
      </c>
      <c r="AD147" t="str">
        <f>COUNTIFS(AC$2:AC147,AC147)&amp;AC147</f>
        <v>146</v>
      </c>
      <c r="AE147" t="str">
        <f t="shared" si="53"/>
        <v/>
      </c>
      <c r="AF147" t="str">
        <f t="shared" si="70"/>
        <v>..</v>
      </c>
      <c r="AG147" s="28" t="str">
        <f t="shared" si="54"/>
        <v/>
      </c>
      <c r="AH147" s="28" t="str">
        <f t="shared" si="55"/>
        <v/>
      </c>
      <c r="AI147" t="str">
        <f t="shared" si="56"/>
        <v/>
      </c>
      <c r="AJ147" t="str">
        <f t="shared" si="57"/>
        <v/>
      </c>
      <c r="AK147" t="str">
        <f t="shared" si="58"/>
        <v/>
      </c>
      <c r="AL147" t="str">
        <f t="shared" si="59"/>
        <v/>
      </c>
      <c r="AM147" t="str">
        <f t="shared" si="60"/>
        <v/>
      </c>
      <c r="AN147" t="str">
        <f t="shared" si="61"/>
        <v/>
      </c>
      <c r="AO147" t="str">
        <f t="shared" si="62"/>
        <v/>
      </c>
      <c r="AP147" t="str">
        <f t="shared" si="63"/>
        <v/>
      </c>
      <c r="AQ147" t="str">
        <f t="shared" si="64"/>
        <v/>
      </c>
      <c r="AR147" t="str">
        <f t="shared" si="65"/>
        <v/>
      </c>
      <c r="AS147" t="str">
        <f t="shared" si="66"/>
        <v/>
      </c>
      <c r="AT147" t="str">
        <f t="shared" si="67"/>
        <v/>
      </c>
      <c r="AU147" s="25" t="str">
        <f t="shared" si="71"/>
        <v/>
      </c>
      <c r="BA147">
        <f>'REGISTER SK'!F150</f>
        <v>0</v>
      </c>
    </row>
    <row r="148" spans="1:53" x14ac:dyDescent="0.35">
      <c r="A148" s="18">
        <v>147</v>
      </c>
      <c r="B148" s="36" t="s">
        <v>379</v>
      </c>
      <c r="C148" s="18" t="str">
        <f>IF(G148="","",IF(G148="Umum",G148,VLOOKUP(F148,'Data Induk Pegawai'!B:AE,4,FALSE)))</f>
        <v/>
      </c>
      <c r="D148" s="19" t="str">
        <f>IF('REGISTER SK'!A151="","",IF('REGISTER SK'!B151=0,D147,'REGISTER SK'!B151))</f>
        <v/>
      </c>
      <c r="E148" s="19" t="str">
        <f t="shared" si="68"/>
        <v/>
      </c>
      <c r="F148" s="29"/>
      <c r="G148" s="29"/>
      <c r="H148" s="31" t="str">
        <f>IF(F148="","",VLOOKUP(F148,'Data Induk Pegawai'!B:U,2,FALSE))</f>
        <v/>
      </c>
      <c r="I148" s="19" t="str">
        <f>IF('REGISTER SK'!C151="","",'REGISTER SK'!C151)</f>
        <v/>
      </c>
      <c r="J148" s="125"/>
      <c r="K148" s="125"/>
      <c r="L148" s="26" t="str">
        <f>IF('REGISTER SK'!D151="","",'REGISTER SK'!D151)</f>
        <v/>
      </c>
      <c r="M148" s="26" t="str">
        <f>IF('REGISTER SK'!E151="","",'REGISTER SK'!E151)</f>
        <v/>
      </c>
      <c r="N148" s="31" t="str">
        <f>IF(G148="","",IF(OR(G148="GTT",G148="PTT"),"--",VLOOKUP(F148,'Data Induk Pegawai'!B:AE,4,FALSE)))</f>
        <v/>
      </c>
      <c r="O148" s="18" t="s">
        <v>314</v>
      </c>
      <c r="P148" s="31" t="str">
        <f>IF(G148="","",VLOOKUP(F148,'Data Induk Pegawai'!B:AE,7,FALSE))</f>
        <v/>
      </c>
      <c r="Q148" s="30"/>
      <c r="R148" s="26" t="str">
        <f>IF(G148="","","Nomor "&amp;RIGHT(VLOOKUP(F148,'Data Induk Pegawai'!B:AE,12,FALSE),2)&amp;" Tahun "&amp;MID(VLOOKUP(F148,'Data Induk Pegawai'!B:AE,12,FALSE),5,4))</f>
        <v/>
      </c>
      <c r="S148" s="26" t="str">
        <f>IF(G148="","",VLOOKUP(F148,'Data Induk Pegawai'!B:AE,11,FALSE))</f>
        <v/>
      </c>
      <c r="T148" s="56"/>
      <c r="U148" s="18" t="str">
        <f t="shared" si="48"/>
        <v/>
      </c>
      <c r="V148" s="30"/>
      <c r="W148" s="18" t="str">
        <f t="shared" si="49"/>
        <v/>
      </c>
      <c r="X148" s="16"/>
      <c r="Y148" s="97" t="str">
        <f t="shared" si="50"/>
        <v/>
      </c>
      <c r="Z148" s="97" t="str">
        <f t="shared" si="51"/>
        <v/>
      </c>
      <c r="AA148" s="97" t="str">
        <f t="shared" si="52"/>
        <v/>
      </c>
      <c r="AB148" s="25" t="str">
        <f>COUNTIFS(AC148:AC$596,AC148)&amp;AC148</f>
        <v>449</v>
      </c>
      <c r="AC148" t="str">
        <f t="shared" si="69"/>
        <v/>
      </c>
      <c r="AD148" t="str">
        <f>COUNTIFS(AC$2:AC148,AC148)&amp;AC148</f>
        <v>147</v>
      </c>
      <c r="AE148" t="str">
        <f t="shared" si="53"/>
        <v/>
      </c>
      <c r="AF148" t="str">
        <f t="shared" si="70"/>
        <v>..</v>
      </c>
      <c r="AG148" s="28" t="str">
        <f t="shared" si="54"/>
        <v/>
      </c>
      <c r="AH148" s="28" t="str">
        <f t="shared" si="55"/>
        <v/>
      </c>
      <c r="AI148" t="str">
        <f t="shared" si="56"/>
        <v/>
      </c>
      <c r="AJ148" t="str">
        <f t="shared" si="57"/>
        <v/>
      </c>
      <c r="AK148" t="str">
        <f t="shared" si="58"/>
        <v/>
      </c>
      <c r="AL148" t="str">
        <f t="shared" si="59"/>
        <v/>
      </c>
      <c r="AM148" t="str">
        <f t="shared" si="60"/>
        <v/>
      </c>
      <c r="AN148" t="str">
        <f t="shared" si="61"/>
        <v/>
      </c>
      <c r="AO148" t="str">
        <f t="shared" si="62"/>
        <v/>
      </c>
      <c r="AP148" t="str">
        <f t="shared" si="63"/>
        <v/>
      </c>
      <c r="AQ148" t="str">
        <f t="shared" si="64"/>
        <v/>
      </c>
      <c r="AR148" t="str">
        <f t="shared" si="65"/>
        <v/>
      </c>
      <c r="AS148" t="str">
        <f t="shared" si="66"/>
        <v/>
      </c>
      <c r="AT148" t="str">
        <f t="shared" si="67"/>
        <v/>
      </c>
      <c r="AU148" s="25" t="str">
        <f t="shared" si="71"/>
        <v/>
      </c>
      <c r="BA148">
        <f>'REGISTER SK'!F151</f>
        <v>0</v>
      </c>
    </row>
    <row r="149" spans="1:53" x14ac:dyDescent="0.35">
      <c r="A149" s="18">
        <v>148</v>
      </c>
      <c r="B149" s="36" t="s">
        <v>379</v>
      </c>
      <c r="C149" s="18" t="str">
        <f>IF(G149="","",IF(G149="Umum",G149,VLOOKUP(F149,'Data Induk Pegawai'!B:AE,4,FALSE)))</f>
        <v/>
      </c>
      <c r="D149" s="19" t="str">
        <f>IF('REGISTER SK'!A152="","",IF('REGISTER SK'!B152=0,D148,'REGISTER SK'!B152))</f>
        <v/>
      </c>
      <c r="E149" s="19" t="str">
        <f t="shared" si="68"/>
        <v/>
      </c>
      <c r="F149" s="29"/>
      <c r="G149" s="29"/>
      <c r="H149" s="31" t="str">
        <f>IF(F149="","",VLOOKUP(F149,'Data Induk Pegawai'!B:U,2,FALSE))</f>
        <v/>
      </c>
      <c r="I149" s="19" t="str">
        <f>IF('REGISTER SK'!C152="","",'REGISTER SK'!C152)</f>
        <v/>
      </c>
      <c r="J149" s="125"/>
      <c r="K149" s="125"/>
      <c r="L149" s="26" t="str">
        <f>IF('REGISTER SK'!D152="","",'REGISTER SK'!D152)</f>
        <v/>
      </c>
      <c r="M149" s="26" t="str">
        <f>IF('REGISTER SK'!E152="","",'REGISTER SK'!E152)</f>
        <v/>
      </c>
      <c r="N149" s="31" t="str">
        <f>IF(G149="","",IF(OR(G149="GTT",G149="PTT"),"--",VLOOKUP(F149,'Data Induk Pegawai'!B:AE,4,FALSE)))</f>
        <v/>
      </c>
      <c r="O149" s="18" t="s">
        <v>313</v>
      </c>
      <c r="P149" s="31" t="str">
        <f>IF(G149="","",VLOOKUP(F149,'Data Induk Pegawai'!B:AE,7,FALSE))</f>
        <v/>
      </c>
      <c r="Q149" s="30"/>
      <c r="R149" s="26" t="str">
        <f>IF(G149="","","Nomor "&amp;RIGHT(VLOOKUP(F149,'Data Induk Pegawai'!B:AE,12,FALSE),2)&amp;" Tahun "&amp;MID(VLOOKUP(F149,'Data Induk Pegawai'!B:AE,12,FALSE),5,4))</f>
        <v/>
      </c>
      <c r="S149" s="26" t="str">
        <f>IF(G149="","",VLOOKUP(F149,'Data Induk Pegawai'!B:AE,11,FALSE))</f>
        <v/>
      </c>
      <c r="T149" s="56"/>
      <c r="U149" s="18" t="str">
        <f t="shared" si="48"/>
        <v/>
      </c>
      <c r="V149" s="30"/>
      <c r="W149" s="18" t="str">
        <f t="shared" si="49"/>
        <v/>
      </c>
      <c r="X149" s="16"/>
      <c r="Y149" s="97" t="str">
        <f t="shared" si="50"/>
        <v/>
      </c>
      <c r="Z149" s="97" t="str">
        <f t="shared" si="51"/>
        <v/>
      </c>
      <c r="AA149" s="97" t="str">
        <f t="shared" si="52"/>
        <v/>
      </c>
      <c r="AB149" s="25" t="str">
        <f>COUNTIFS(AC149:AC$596,AC149)&amp;AC149</f>
        <v>448</v>
      </c>
      <c r="AC149" t="str">
        <f t="shared" si="69"/>
        <v/>
      </c>
      <c r="AD149" t="str">
        <f>COUNTIFS(AC$2:AC149,AC149)&amp;AC149</f>
        <v>148</v>
      </c>
      <c r="AE149" t="str">
        <f t="shared" si="53"/>
        <v/>
      </c>
      <c r="AF149" t="str">
        <f t="shared" si="70"/>
        <v>..</v>
      </c>
      <c r="AG149" s="28" t="str">
        <f t="shared" si="54"/>
        <v/>
      </c>
      <c r="AH149" s="28" t="str">
        <f t="shared" si="55"/>
        <v/>
      </c>
      <c r="AI149" t="str">
        <f t="shared" si="56"/>
        <v/>
      </c>
      <c r="AJ149" t="str">
        <f t="shared" si="57"/>
        <v/>
      </c>
      <c r="AK149" t="str">
        <f t="shared" si="58"/>
        <v/>
      </c>
      <c r="AL149" t="str">
        <f t="shared" si="59"/>
        <v/>
      </c>
      <c r="AM149" t="str">
        <f t="shared" si="60"/>
        <v/>
      </c>
      <c r="AN149" t="str">
        <f t="shared" si="61"/>
        <v/>
      </c>
      <c r="AO149" t="str">
        <f t="shared" si="62"/>
        <v/>
      </c>
      <c r="AP149" t="str">
        <f t="shared" si="63"/>
        <v/>
      </c>
      <c r="AQ149" t="str">
        <f t="shared" si="64"/>
        <v/>
      </c>
      <c r="AR149" t="str">
        <f t="shared" si="65"/>
        <v/>
      </c>
      <c r="AS149" t="str">
        <f t="shared" si="66"/>
        <v/>
      </c>
      <c r="AT149" t="str">
        <f t="shared" si="67"/>
        <v/>
      </c>
      <c r="AU149" s="25" t="str">
        <f t="shared" si="71"/>
        <v/>
      </c>
      <c r="BA149">
        <f>'REGISTER SK'!F152</f>
        <v>0</v>
      </c>
    </row>
    <row r="150" spans="1:53" x14ac:dyDescent="0.35">
      <c r="A150" s="18">
        <v>149</v>
      </c>
      <c r="B150" s="36" t="s">
        <v>379</v>
      </c>
      <c r="C150" s="18" t="str">
        <f>IF(G150="","",IF(G150="Umum",G150,VLOOKUP(F150,'Data Induk Pegawai'!B:AE,4,FALSE)))</f>
        <v/>
      </c>
      <c r="D150" s="19" t="str">
        <f>IF('REGISTER SK'!A153="","",IF('REGISTER SK'!B153=0,D149,'REGISTER SK'!B153))</f>
        <v/>
      </c>
      <c r="E150" s="19" t="str">
        <f t="shared" si="68"/>
        <v/>
      </c>
      <c r="F150" s="29"/>
      <c r="G150" s="29"/>
      <c r="H150" s="31" t="str">
        <f>IF(F150="","",VLOOKUP(F150,'Data Induk Pegawai'!B:U,2,FALSE))</f>
        <v/>
      </c>
      <c r="I150" s="19" t="str">
        <f>IF('REGISTER SK'!C153="","",'REGISTER SK'!C153)</f>
        <v/>
      </c>
      <c r="J150" s="125"/>
      <c r="K150" s="125"/>
      <c r="L150" s="26" t="str">
        <f>IF('REGISTER SK'!D153="","",'REGISTER SK'!D153)</f>
        <v/>
      </c>
      <c r="M150" s="26" t="str">
        <f>IF('REGISTER SK'!E153="","",'REGISTER SK'!E153)</f>
        <v/>
      </c>
      <c r="N150" s="31" t="str">
        <f>IF(G150="","",IF(OR(G150="GTT",G150="PTT"),"--",VLOOKUP(F150,'Data Induk Pegawai'!B:AE,4,FALSE)))</f>
        <v/>
      </c>
      <c r="O150" s="18" t="s">
        <v>317</v>
      </c>
      <c r="P150" s="31" t="str">
        <f>IF(G150="","",VLOOKUP(F150,'Data Induk Pegawai'!B:AE,7,FALSE))</f>
        <v/>
      </c>
      <c r="Q150" s="30"/>
      <c r="R150" s="26" t="str">
        <f>IF(G150="","","Nomor "&amp;RIGHT(VLOOKUP(F150,'Data Induk Pegawai'!B:AE,12,FALSE),2)&amp;" Tahun "&amp;MID(VLOOKUP(F150,'Data Induk Pegawai'!B:AE,12,FALSE),5,4))</f>
        <v/>
      </c>
      <c r="S150" s="26" t="str">
        <f>IF(G150="","",VLOOKUP(F150,'Data Induk Pegawai'!B:AE,11,FALSE))</f>
        <v/>
      </c>
      <c r="T150" s="56"/>
      <c r="U150" s="18" t="str">
        <f t="shared" si="48"/>
        <v/>
      </c>
      <c r="V150" s="30"/>
      <c r="W150" s="18" t="str">
        <f t="shared" si="49"/>
        <v/>
      </c>
      <c r="X150" s="16"/>
      <c r="Y150" s="97" t="str">
        <f t="shared" si="50"/>
        <v/>
      </c>
      <c r="Z150" s="97" t="str">
        <f t="shared" si="51"/>
        <v/>
      </c>
      <c r="AA150" s="97" t="str">
        <f t="shared" si="52"/>
        <v/>
      </c>
      <c r="AB150" s="25" t="str">
        <f>COUNTIFS(AC150:AC$596,AC150)&amp;AC150</f>
        <v>447</v>
      </c>
      <c r="AC150" t="str">
        <f t="shared" si="69"/>
        <v/>
      </c>
      <c r="AD150" t="str">
        <f>COUNTIFS(AC$2:AC150,AC150)&amp;AC150</f>
        <v>149</v>
      </c>
      <c r="AE150" t="str">
        <f t="shared" si="53"/>
        <v/>
      </c>
      <c r="AF150" t="str">
        <f t="shared" si="70"/>
        <v>..</v>
      </c>
      <c r="AG150" s="28" t="str">
        <f t="shared" si="54"/>
        <v/>
      </c>
      <c r="AH150" s="28" t="str">
        <f t="shared" si="55"/>
        <v/>
      </c>
      <c r="AI150" t="str">
        <f t="shared" si="56"/>
        <v/>
      </c>
      <c r="AJ150" t="str">
        <f t="shared" si="57"/>
        <v/>
      </c>
      <c r="AK150" t="str">
        <f t="shared" si="58"/>
        <v/>
      </c>
      <c r="AL150" t="str">
        <f t="shared" si="59"/>
        <v/>
      </c>
      <c r="AM150" t="str">
        <f t="shared" si="60"/>
        <v/>
      </c>
      <c r="AN150" t="str">
        <f t="shared" si="61"/>
        <v/>
      </c>
      <c r="AO150" t="str">
        <f t="shared" si="62"/>
        <v/>
      </c>
      <c r="AP150" t="str">
        <f t="shared" si="63"/>
        <v/>
      </c>
      <c r="AQ150" t="str">
        <f t="shared" si="64"/>
        <v/>
      </c>
      <c r="AR150" t="str">
        <f t="shared" si="65"/>
        <v/>
      </c>
      <c r="AS150" t="str">
        <f t="shared" si="66"/>
        <v/>
      </c>
      <c r="AT150" t="str">
        <f t="shared" si="67"/>
        <v/>
      </c>
      <c r="AU150" s="25" t="str">
        <f t="shared" si="71"/>
        <v/>
      </c>
      <c r="BA150">
        <f>'REGISTER SK'!F153</f>
        <v>0</v>
      </c>
    </row>
    <row r="151" spans="1:53" x14ac:dyDescent="0.35">
      <c r="A151" s="18">
        <v>150</v>
      </c>
      <c r="B151" s="36" t="s">
        <v>379</v>
      </c>
      <c r="C151" s="18" t="str">
        <f>IF(G151="","",IF(G151="Umum",G151,VLOOKUP(F151,'Data Induk Pegawai'!B:AE,4,FALSE)))</f>
        <v/>
      </c>
      <c r="D151" s="19" t="str">
        <f>IF('REGISTER SK'!A154="","",IF('REGISTER SK'!B154=0,D150,'REGISTER SK'!B154))</f>
        <v/>
      </c>
      <c r="E151" s="19" t="str">
        <f t="shared" si="68"/>
        <v/>
      </c>
      <c r="F151" s="29"/>
      <c r="G151" s="29"/>
      <c r="H151" s="31" t="str">
        <f>IF(F151="","",VLOOKUP(F151,'Data Induk Pegawai'!B:U,2,FALSE))</f>
        <v/>
      </c>
      <c r="I151" s="19" t="str">
        <f>IF('REGISTER SK'!C154="","",'REGISTER SK'!C154)</f>
        <v/>
      </c>
      <c r="J151" s="125"/>
      <c r="K151" s="125"/>
      <c r="L151" s="26" t="str">
        <f>IF('REGISTER SK'!D154="","",'REGISTER SK'!D154)</f>
        <v/>
      </c>
      <c r="M151" s="26" t="str">
        <f>IF('REGISTER SK'!E154="","",'REGISTER SK'!E154)</f>
        <v/>
      </c>
      <c r="N151" s="31" t="str">
        <f>IF(G151="","",IF(OR(G151="GTT",G151="PTT"),"--",VLOOKUP(F151,'Data Induk Pegawai'!B:AE,4,FALSE)))</f>
        <v/>
      </c>
      <c r="O151" s="18" t="s">
        <v>323</v>
      </c>
      <c r="P151" s="31" t="str">
        <f>IF(G151="","",VLOOKUP(F151,'Data Induk Pegawai'!B:AE,7,FALSE))</f>
        <v/>
      </c>
      <c r="Q151" s="30"/>
      <c r="R151" s="26" t="str">
        <f>IF(G151="","","Nomor "&amp;RIGHT(VLOOKUP(F151,'Data Induk Pegawai'!B:AE,12,FALSE),2)&amp;" Tahun "&amp;MID(VLOOKUP(F151,'Data Induk Pegawai'!B:AE,12,FALSE),5,4))</f>
        <v/>
      </c>
      <c r="S151" s="26" t="str">
        <f>IF(G151="","",VLOOKUP(F151,'Data Induk Pegawai'!B:AE,11,FALSE))</f>
        <v/>
      </c>
      <c r="T151" s="56"/>
      <c r="U151" s="18" t="str">
        <f t="shared" si="48"/>
        <v/>
      </c>
      <c r="V151" s="30"/>
      <c r="W151" s="18" t="str">
        <f t="shared" si="49"/>
        <v/>
      </c>
      <c r="X151" s="16"/>
      <c r="Y151" s="97" t="str">
        <f t="shared" si="50"/>
        <v/>
      </c>
      <c r="Z151" s="97" t="str">
        <f t="shared" si="51"/>
        <v/>
      </c>
      <c r="AA151" s="97" t="str">
        <f t="shared" si="52"/>
        <v/>
      </c>
      <c r="AB151" s="25" t="str">
        <f>COUNTIFS(AC151:AC$596,AC151)&amp;AC151</f>
        <v>446</v>
      </c>
      <c r="AC151" t="str">
        <f t="shared" si="69"/>
        <v/>
      </c>
      <c r="AD151" t="str">
        <f>COUNTIFS(AC$2:AC151,AC151)&amp;AC151</f>
        <v>150</v>
      </c>
      <c r="AE151" t="str">
        <f t="shared" si="53"/>
        <v/>
      </c>
      <c r="AF151" t="str">
        <f t="shared" si="70"/>
        <v>..</v>
      </c>
      <c r="AG151" s="28" t="str">
        <f t="shared" si="54"/>
        <v/>
      </c>
      <c r="AH151" s="28" t="str">
        <f t="shared" si="55"/>
        <v/>
      </c>
      <c r="AI151" t="str">
        <f t="shared" si="56"/>
        <v/>
      </c>
      <c r="AJ151" t="str">
        <f t="shared" si="57"/>
        <v/>
      </c>
      <c r="AK151" t="str">
        <f t="shared" si="58"/>
        <v/>
      </c>
      <c r="AL151" t="str">
        <f t="shared" si="59"/>
        <v/>
      </c>
      <c r="AM151" t="str">
        <f t="shared" si="60"/>
        <v/>
      </c>
      <c r="AN151" t="str">
        <f t="shared" si="61"/>
        <v/>
      </c>
      <c r="AO151" t="str">
        <f t="shared" si="62"/>
        <v/>
      </c>
      <c r="AP151" t="str">
        <f t="shared" si="63"/>
        <v/>
      </c>
      <c r="AQ151" t="str">
        <f t="shared" si="64"/>
        <v/>
      </c>
      <c r="AR151" t="str">
        <f t="shared" si="65"/>
        <v/>
      </c>
      <c r="AS151" t="str">
        <f t="shared" si="66"/>
        <v/>
      </c>
      <c r="AT151" t="str">
        <f t="shared" si="67"/>
        <v/>
      </c>
      <c r="AU151" s="25" t="str">
        <f t="shared" si="71"/>
        <v/>
      </c>
      <c r="BA151">
        <f>'REGISTER SK'!F154</f>
        <v>0</v>
      </c>
    </row>
    <row r="152" spans="1:53" x14ac:dyDescent="0.35">
      <c r="A152" s="18">
        <v>151</v>
      </c>
      <c r="B152" s="36" t="s">
        <v>379</v>
      </c>
      <c r="C152" s="18" t="str">
        <f>IF(G152="","",IF(G152="Umum",G152,VLOOKUP(F152,'Data Induk Pegawai'!B:AE,4,FALSE)))</f>
        <v/>
      </c>
      <c r="D152" s="19" t="str">
        <f>IF('REGISTER SK'!A155="","",IF('REGISTER SK'!B155=0,D151,'REGISTER SK'!B155))</f>
        <v/>
      </c>
      <c r="E152" s="19" t="str">
        <f t="shared" si="68"/>
        <v/>
      </c>
      <c r="F152" s="29"/>
      <c r="G152" s="29"/>
      <c r="H152" s="31" t="str">
        <f>IF(F152="","",VLOOKUP(F152,'Data Induk Pegawai'!B:U,2,FALSE))</f>
        <v/>
      </c>
      <c r="I152" s="19" t="str">
        <f>IF('REGISTER SK'!C155="","",'REGISTER SK'!C155)</f>
        <v/>
      </c>
      <c r="J152" s="125"/>
      <c r="K152" s="125"/>
      <c r="L152" s="26" t="str">
        <f>IF('REGISTER SK'!D155="","",'REGISTER SK'!D155)</f>
        <v/>
      </c>
      <c r="M152" s="26" t="str">
        <f>IF('REGISTER SK'!E155="","",'REGISTER SK'!E155)</f>
        <v/>
      </c>
      <c r="N152" s="31" t="str">
        <f>IF(G152="","",IF(OR(G152="GTT",G152="PTT"),"--",VLOOKUP(F152,'Data Induk Pegawai'!B:AE,4,FALSE)))</f>
        <v/>
      </c>
      <c r="O152" s="18" t="s">
        <v>316</v>
      </c>
      <c r="P152" s="31" t="str">
        <f>IF(G152="","",VLOOKUP(F152,'Data Induk Pegawai'!B:AE,7,FALSE))</f>
        <v/>
      </c>
      <c r="Q152" s="30"/>
      <c r="R152" s="26" t="str">
        <f>IF(G152="","","Nomor "&amp;RIGHT(VLOOKUP(F152,'Data Induk Pegawai'!B:AE,12,FALSE),2)&amp;" Tahun "&amp;MID(VLOOKUP(F152,'Data Induk Pegawai'!B:AE,12,FALSE),5,4))</f>
        <v/>
      </c>
      <c r="S152" s="26" t="str">
        <f>IF(G152="","",VLOOKUP(F152,'Data Induk Pegawai'!B:AE,11,FALSE))</f>
        <v/>
      </c>
      <c r="T152" s="56"/>
      <c r="U152" s="18" t="str">
        <f t="shared" si="48"/>
        <v/>
      </c>
      <c r="V152" s="30"/>
      <c r="W152" s="18" t="str">
        <f t="shared" si="49"/>
        <v/>
      </c>
      <c r="X152" s="16"/>
      <c r="Y152" s="97" t="str">
        <f t="shared" si="50"/>
        <v/>
      </c>
      <c r="Z152" s="97" t="str">
        <f t="shared" si="51"/>
        <v/>
      </c>
      <c r="AA152" s="97" t="str">
        <f t="shared" si="52"/>
        <v/>
      </c>
      <c r="AB152" s="25" t="str">
        <f>COUNTIFS(AC152:AC$596,AC152)&amp;AC152</f>
        <v>445</v>
      </c>
      <c r="AC152" t="str">
        <f t="shared" si="69"/>
        <v/>
      </c>
      <c r="AD152" t="str">
        <f>COUNTIFS(AC$2:AC152,AC152)&amp;AC152</f>
        <v>151</v>
      </c>
      <c r="AE152" t="str">
        <f t="shared" si="53"/>
        <v/>
      </c>
      <c r="AF152" t="str">
        <f t="shared" si="70"/>
        <v>..</v>
      </c>
      <c r="AG152" s="28" t="str">
        <f t="shared" si="54"/>
        <v/>
      </c>
      <c r="AH152" s="28" t="str">
        <f t="shared" si="55"/>
        <v/>
      </c>
      <c r="AI152" t="str">
        <f t="shared" si="56"/>
        <v/>
      </c>
      <c r="AJ152" t="str">
        <f t="shared" si="57"/>
        <v/>
      </c>
      <c r="AK152" t="str">
        <f t="shared" si="58"/>
        <v/>
      </c>
      <c r="AL152" t="str">
        <f t="shared" si="59"/>
        <v/>
      </c>
      <c r="AM152" t="str">
        <f t="shared" si="60"/>
        <v/>
      </c>
      <c r="AN152" t="str">
        <f t="shared" si="61"/>
        <v/>
      </c>
      <c r="AO152" t="str">
        <f t="shared" si="62"/>
        <v/>
      </c>
      <c r="AP152" t="str">
        <f t="shared" si="63"/>
        <v/>
      </c>
      <c r="AQ152" t="str">
        <f t="shared" si="64"/>
        <v/>
      </c>
      <c r="AR152" t="str">
        <f t="shared" si="65"/>
        <v/>
      </c>
      <c r="AS152" t="str">
        <f t="shared" si="66"/>
        <v/>
      </c>
      <c r="AT152" t="str">
        <f t="shared" si="67"/>
        <v/>
      </c>
      <c r="AU152" s="25" t="str">
        <f t="shared" si="71"/>
        <v/>
      </c>
      <c r="BA152">
        <f>'REGISTER SK'!F155</f>
        <v>0</v>
      </c>
    </row>
    <row r="153" spans="1:53" x14ac:dyDescent="0.35">
      <c r="A153" s="18">
        <v>152</v>
      </c>
      <c r="B153" s="36" t="s">
        <v>379</v>
      </c>
      <c r="C153" s="18" t="str">
        <f>IF(G153="","",IF(G153="Umum",G153,VLOOKUP(F153,'Data Induk Pegawai'!B:AE,4,FALSE)))</f>
        <v/>
      </c>
      <c r="D153" s="19" t="str">
        <f>IF('REGISTER SK'!A156="","",IF('REGISTER SK'!B156=0,D152,'REGISTER SK'!B156))</f>
        <v/>
      </c>
      <c r="E153" s="19" t="str">
        <f t="shared" si="68"/>
        <v/>
      </c>
      <c r="F153" s="29"/>
      <c r="G153" s="29"/>
      <c r="H153" s="31" t="str">
        <f>IF(F153="","",VLOOKUP(F153,'Data Induk Pegawai'!B:U,2,FALSE))</f>
        <v/>
      </c>
      <c r="I153" s="19" t="str">
        <f>IF('REGISTER SK'!C156="","",'REGISTER SK'!C156)</f>
        <v/>
      </c>
      <c r="J153" s="125"/>
      <c r="K153" s="125"/>
      <c r="L153" s="26" t="str">
        <f>IF('REGISTER SK'!D156="","",'REGISTER SK'!D156)</f>
        <v/>
      </c>
      <c r="M153" s="26" t="str">
        <f>IF('REGISTER SK'!E156="","",'REGISTER SK'!E156)</f>
        <v/>
      </c>
      <c r="N153" s="31" t="str">
        <f>IF(G153="","",IF(OR(G153="GTT",G153="PTT"),"--",VLOOKUP(F153,'Data Induk Pegawai'!B:AE,4,FALSE)))</f>
        <v/>
      </c>
      <c r="O153" s="18" t="s">
        <v>302</v>
      </c>
      <c r="P153" s="31" t="str">
        <f>IF(G153="","",VLOOKUP(F153,'Data Induk Pegawai'!B:AE,7,FALSE))</f>
        <v/>
      </c>
      <c r="Q153" s="30"/>
      <c r="R153" s="26" t="str">
        <f>IF(G153="","","Nomor "&amp;RIGHT(VLOOKUP(F153,'Data Induk Pegawai'!B:AE,12,FALSE),2)&amp;" Tahun "&amp;MID(VLOOKUP(F153,'Data Induk Pegawai'!B:AE,12,FALSE),5,4))</f>
        <v/>
      </c>
      <c r="S153" s="26" t="str">
        <f>IF(G153="","",VLOOKUP(F153,'Data Induk Pegawai'!B:AE,11,FALSE))</f>
        <v/>
      </c>
      <c r="T153" s="56"/>
      <c r="U153" s="18" t="str">
        <f t="shared" si="48"/>
        <v/>
      </c>
      <c r="V153" s="30"/>
      <c r="W153" s="18" t="str">
        <f t="shared" si="49"/>
        <v/>
      </c>
      <c r="X153" s="16"/>
      <c r="Y153" s="97" t="str">
        <f t="shared" si="50"/>
        <v/>
      </c>
      <c r="Z153" s="97" t="str">
        <f t="shared" si="51"/>
        <v/>
      </c>
      <c r="AA153" s="97" t="str">
        <f t="shared" si="52"/>
        <v/>
      </c>
      <c r="AB153" s="25" t="str">
        <f>COUNTIFS(AC153:AC$596,AC153)&amp;AC153</f>
        <v>444</v>
      </c>
      <c r="AC153" t="str">
        <f t="shared" si="69"/>
        <v/>
      </c>
      <c r="AD153" t="str">
        <f>COUNTIFS(AC$2:AC153,AC153)&amp;AC153</f>
        <v>152</v>
      </c>
      <c r="AE153" t="str">
        <f t="shared" si="53"/>
        <v/>
      </c>
      <c r="AF153" t="str">
        <f t="shared" si="70"/>
        <v>..</v>
      </c>
      <c r="AG153" s="28" t="str">
        <f t="shared" si="54"/>
        <v/>
      </c>
      <c r="AH153" s="28" t="str">
        <f t="shared" si="55"/>
        <v/>
      </c>
      <c r="AI153" t="str">
        <f t="shared" si="56"/>
        <v/>
      </c>
      <c r="AJ153" t="str">
        <f t="shared" si="57"/>
        <v/>
      </c>
      <c r="AK153" t="str">
        <f t="shared" si="58"/>
        <v/>
      </c>
      <c r="AL153" t="str">
        <f t="shared" si="59"/>
        <v/>
      </c>
      <c r="AM153" t="str">
        <f t="shared" si="60"/>
        <v/>
      </c>
      <c r="AN153" t="str">
        <f t="shared" si="61"/>
        <v/>
      </c>
      <c r="AO153" t="str">
        <f t="shared" si="62"/>
        <v/>
      </c>
      <c r="AP153" t="str">
        <f t="shared" si="63"/>
        <v/>
      </c>
      <c r="AQ153" t="str">
        <f t="shared" si="64"/>
        <v/>
      </c>
      <c r="AR153" t="str">
        <f t="shared" si="65"/>
        <v/>
      </c>
      <c r="AS153" t="str">
        <f t="shared" si="66"/>
        <v/>
      </c>
      <c r="AT153" t="str">
        <f t="shared" si="67"/>
        <v/>
      </c>
      <c r="AU153" s="25" t="str">
        <f t="shared" si="71"/>
        <v/>
      </c>
      <c r="BA153">
        <f>'REGISTER SK'!F156</f>
        <v>0</v>
      </c>
    </row>
    <row r="154" spans="1:53" x14ac:dyDescent="0.35">
      <c r="A154" s="18">
        <v>153</v>
      </c>
      <c r="B154" s="36" t="s">
        <v>379</v>
      </c>
      <c r="C154" s="18" t="str">
        <f>IF(G154="","",IF(G154="Umum",G154,VLOOKUP(F154,'Data Induk Pegawai'!B:AE,4,FALSE)))</f>
        <v/>
      </c>
      <c r="D154" s="19" t="str">
        <f>IF('REGISTER SK'!A157="","",IF('REGISTER SK'!B157=0,D153,'REGISTER SK'!B157))</f>
        <v/>
      </c>
      <c r="E154" s="19" t="str">
        <f t="shared" si="68"/>
        <v/>
      </c>
      <c r="F154" s="29"/>
      <c r="G154" s="29"/>
      <c r="H154" s="31" t="str">
        <f>IF(F154="","",VLOOKUP(F154,'Data Induk Pegawai'!B:U,2,FALSE))</f>
        <v/>
      </c>
      <c r="I154" s="19" t="str">
        <f>IF('REGISTER SK'!C157="","",'REGISTER SK'!C157)</f>
        <v/>
      </c>
      <c r="J154" s="125"/>
      <c r="K154" s="125"/>
      <c r="L154" s="26" t="str">
        <f>IF('REGISTER SK'!D157="","",'REGISTER SK'!D157)</f>
        <v/>
      </c>
      <c r="M154" s="26" t="str">
        <f>IF('REGISTER SK'!E157="","",'REGISTER SK'!E157)</f>
        <v/>
      </c>
      <c r="N154" s="31" t="str">
        <f>IF(G154="","",IF(OR(G154="GTT",G154="PTT"),"--",VLOOKUP(F154,'Data Induk Pegawai'!B:AE,4,FALSE)))</f>
        <v/>
      </c>
      <c r="O154" s="18" t="s">
        <v>303</v>
      </c>
      <c r="P154" s="31" t="str">
        <f>IF(G154="","",VLOOKUP(F154,'Data Induk Pegawai'!B:AE,7,FALSE))</f>
        <v/>
      </c>
      <c r="Q154" s="30"/>
      <c r="R154" s="26" t="str">
        <f>IF(G154="","","Nomor "&amp;RIGHT(VLOOKUP(F154,'Data Induk Pegawai'!B:AE,12,FALSE),2)&amp;" Tahun "&amp;MID(VLOOKUP(F154,'Data Induk Pegawai'!B:AE,12,FALSE),5,4))</f>
        <v/>
      </c>
      <c r="S154" s="26" t="str">
        <f>IF(G154="","",VLOOKUP(F154,'Data Induk Pegawai'!B:AE,11,FALSE))</f>
        <v/>
      </c>
      <c r="T154" s="56"/>
      <c r="U154" s="18" t="str">
        <f t="shared" si="48"/>
        <v/>
      </c>
      <c r="V154" s="30"/>
      <c r="W154" s="18" t="str">
        <f t="shared" si="49"/>
        <v/>
      </c>
      <c r="X154" s="16"/>
      <c r="Y154" s="97" t="str">
        <f t="shared" si="50"/>
        <v/>
      </c>
      <c r="Z154" s="97" t="str">
        <f t="shared" si="51"/>
        <v/>
      </c>
      <c r="AA154" s="97" t="str">
        <f t="shared" si="52"/>
        <v/>
      </c>
      <c r="AB154" s="25" t="str">
        <f>COUNTIFS(AC154:AC$596,AC154)&amp;AC154</f>
        <v>443</v>
      </c>
      <c r="AC154" t="str">
        <f t="shared" si="69"/>
        <v/>
      </c>
      <c r="AD154" t="str">
        <f>COUNTIFS(AC$2:AC154,AC154)&amp;AC154</f>
        <v>153</v>
      </c>
      <c r="AE154" t="str">
        <f t="shared" si="53"/>
        <v/>
      </c>
      <c r="AF154" t="str">
        <f t="shared" si="70"/>
        <v>..</v>
      </c>
      <c r="AG154" s="28" t="str">
        <f t="shared" si="54"/>
        <v/>
      </c>
      <c r="AH154" s="28" t="str">
        <f t="shared" si="55"/>
        <v/>
      </c>
      <c r="AI154" t="str">
        <f t="shared" si="56"/>
        <v/>
      </c>
      <c r="AJ154" t="str">
        <f t="shared" si="57"/>
        <v/>
      </c>
      <c r="AK154" t="str">
        <f t="shared" si="58"/>
        <v/>
      </c>
      <c r="AL154" t="str">
        <f t="shared" si="59"/>
        <v/>
      </c>
      <c r="AM154" t="str">
        <f t="shared" si="60"/>
        <v/>
      </c>
      <c r="AN154" t="str">
        <f t="shared" si="61"/>
        <v/>
      </c>
      <c r="AO154" t="str">
        <f t="shared" si="62"/>
        <v/>
      </c>
      <c r="AP154" t="str">
        <f t="shared" si="63"/>
        <v/>
      </c>
      <c r="AQ154" t="str">
        <f t="shared" si="64"/>
        <v/>
      </c>
      <c r="AR154" t="str">
        <f t="shared" si="65"/>
        <v/>
      </c>
      <c r="AS154" t="str">
        <f t="shared" si="66"/>
        <v/>
      </c>
      <c r="AT154" t="str">
        <f t="shared" si="67"/>
        <v/>
      </c>
      <c r="AU154" s="25" t="str">
        <f t="shared" si="71"/>
        <v/>
      </c>
      <c r="BA154">
        <f>'REGISTER SK'!F157</f>
        <v>0</v>
      </c>
    </row>
    <row r="155" spans="1:53" x14ac:dyDescent="0.35">
      <c r="A155" s="18">
        <v>154</v>
      </c>
      <c r="B155" s="36" t="s">
        <v>379</v>
      </c>
      <c r="C155" s="18" t="str">
        <f>IF(G155="","",IF(G155="Umum",G155,VLOOKUP(F155,'Data Induk Pegawai'!B:AE,4,FALSE)))</f>
        <v/>
      </c>
      <c r="D155" s="19" t="str">
        <f>IF('REGISTER SK'!A158="","",IF('REGISTER SK'!B158=0,D154,'REGISTER SK'!B158))</f>
        <v/>
      </c>
      <c r="E155" s="19" t="str">
        <f t="shared" si="68"/>
        <v/>
      </c>
      <c r="F155" s="29"/>
      <c r="G155" s="29"/>
      <c r="H155" s="31" t="str">
        <f>IF(F155="","",VLOOKUP(F155,'Data Induk Pegawai'!B:U,2,FALSE))</f>
        <v/>
      </c>
      <c r="I155" s="19" t="str">
        <f>IF('REGISTER SK'!C158="","",'REGISTER SK'!C158)</f>
        <v/>
      </c>
      <c r="J155" s="125"/>
      <c r="K155" s="125"/>
      <c r="L155" s="26" t="str">
        <f>IF('REGISTER SK'!D158="","",'REGISTER SK'!D158)</f>
        <v/>
      </c>
      <c r="M155" s="26" t="str">
        <f>IF('REGISTER SK'!E158="","",'REGISTER SK'!E158)</f>
        <v/>
      </c>
      <c r="N155" s="31" t="str">
        <f>IF(G155="","",IF(OR(G155="GTT",G155="PTT"),"--",VLOOKUP(F155,'Data Induk Pegawai'!B:AE,4,FALSE)))</f>
        <v/>
      </c>
      <c r="O155" s="18" t="s">
        <v>304</v>
      </c>
      <c r="P155" s="31" t="str">
        <f>IF(G155="","",VLOOKUP(F155,'Data Induk Pegawai'!B:AE,7,FALSE))</f>
        <v/>
      </c>
      <c r="Q155" s="30"/>
      <c r="R155" s="26" t="str">
        <f>IF(G155="","","Nomor "&amp;RIGHT(VLOOKUP(F155,'Data Induk Pegawai'!B:AE,12,FALSE),2)&amp;" Tahun "&amp;MID(VLOOKUP(F155,'Data Induk Pegawai'!B:AE,12,FALSE),5,4))</f>
        <v/>
      </c>
      <c r="S155" s="26" t="str">
        <f>IF(G155="","",VLOOKUP(F155,'Data Induk Pegawai'!B:AE,11,FALSE))</f>
        <v/>
      </c>
      <c r="T155" s="56"/>
      <c r="U155" s="18" t="str">
        <f t="shared" si="48"/>
        <v/>
      </c>
      <c r="V155" s="30"/>
      <c r="W155" s="18" t="str">
        <f t="shared" si="49"/>
        <v/>
      </c>
      <c r="X155" s="16"/>
      <c r="Y155" s="97" t="str">
        <f t="shared" si="50"/>
        <v/>
      </c>
      <c r="Z155" s="97" t="str">
        <f t="shared" si="51"/>
        <v/>
      </c>
      <c r="AA155" s="97" t="str">
        <f t="shared" si="52"/>
        <v/>
      </c>
      <c r="AB155" s="25" t="str">
        <f>COUNTIFS(AC155:AC$596,AC155)&amp;AC155</f>
        <v>442</v>
      </c>
      <c r="AC155" t="str">
        <f t="shared" si="69"/>
        <v/>
      </c>
      <c r="AD155" t="str">
        <f>COUNTIFS(AC$2:AC155,AC155)&amp;AC155</f>
        <v>154</v>
      </c>
      <c r="AE155" t="str">
        <f t="shared" si="53"/>
        <v/>
      </c>
      <c r="AF155" t="str">
        <f t="shared" si="70"/>
        <v>..</v>
      </c>
      <c r="AG155" s="28" t="str">
        <f t="shared" si="54"/>
        <v/>
      </c>
      <c r="AH155" s="28" t="str">
        <f t="shared" si="55"/>
        <v/>
      </c>
      <c r="AI155" t="str">
        <f t="shared" si="56"/>
        <v/>
      </c>
      <c r="AJ155" t="str">
        <f t="shared" si="57"/>
        <v/>
      </c>
      <c r="AK155" t="str">
        <f t="shared" si="58"/>
        <v/>
      </c>
      <c r="AL155" t="str">
        <f t="shared" si="59"/>
        <v/>
      </c>
      <c r="AM155" t="str">
        <f t="shared" si="60"/>
        <v/>
      </c>
      <c r="AN155" t="str">
        <f t="shared" si="61"/>
        <v/>
      </c>
      <c r="AO155" t="str">
        <f t="shared" si="62"/>
        <v/>
      </c>
      <c r="AP155" t="str">
        <f t="shared" si="63"/>
        <v/>
      </c>
      <c r="AQ155" t="str">
        <f t="shared" si="64"/>
        <v/>
      </c>
      <c r="AR155" t="str">
        <f t="shared" si="65"/>
        <v/>
      </c>
      <c r="AS155" t="str">
        <f t="shared" si="66"/>
        <v/>
      </c>
      <c r="AT155" t="str">
        <f t="shared" si="67"/>
        <v/>
      </c>
      <c r="AU155" s="25" t="str">
        <f t="shared" si="71"/>
        <v/>
      </c>
      <c r="BA155">
        <f>'REGISTER SK'!F158</f>
        <v>0</v>
      </c>
    </row>
    <row r="156" spans="1:53" x14ac:dyDescent="0.35">
      <c r="A156" s="18">
        <v>155</v>
      </c>
      <c r="B156" s="36" t="s">
        <v>379</v>
      </c>
      <c r="C156" s="18" t="str">
        <f>IF(G156="","",IF(G156="Umum",G156,VLOOKUP(F156,'Data Induk Pegawai'!B:AE,4,FALSE)))</f>
        <v/>
      </c>
      <c r="D156" s="19" t="str">
        <f>IF('REGISTER SK'!A159="","",IF('REGISTER SK'!B159=0,D155,'REGISTER SK'!B159))</f>
        <v/>
      </c>
      <c r="E156" s="19" t="str">
        <f t="shared" si="68"/>
        <v/>
      </c>
      <c r="F156" s="29"/>
      <c r="G156" s="29"/>
      <c r="H156" s="31" t="str">
        <f>IF(F156="","",VLOOKUP(F156,'Data Induk Pegawai'!B:U,2,FALSE))</f>
        <v/>
      </c>
      <c r="I156" s="19" t="str">
        <f>IF('REGISTER SK'!C159="","",'REGISTER SK'!C159)</f>
        <v/>
      </c>
      <c r="J156" s="125"/>
      <c r="K156" s="125"/>
      <c r="L156" s="26" t="str">
        <f>IF('REGISTER SK'!D159="","",'REGISTER SK'!D159)</f>
        <v/>
      </c>
      <c r="M156" s="26" t="str">
        <f>IF('REGISTER SK'!E159="","",'REGISTER SK'!E159)</f>
        <v/>
      </c>
      <c r="N156" s="31" t="str">
        <f>IF(G156="","",IF(OR(G156="GTT",G156="PTT"),"--",VLOOKUP(F156,'Data Induk Pegawai'!B:AE,4,FALSE)))</f>
        <v/>
      </c>
      <c r="O156" s="18" t="s">
        <v>305</v>
      </c>
      <c r="P156" s="31" t="str">
        <f>IF(G156="","",VLOOKUP(F156,'Data Induk Pegawai'!B:AE,7,FALSE))</f>
        <v/>
      </c>
      <c r="Q156" s="30"/>
      <c r="R156" s="26" t="str">
        <f>IF(G156="","","Nomor "&amp;RIGHT(VLOOKUP(F156,'Data Induk Pegawai'!B:AE,12,FALSE),2)&amp;" Tahun "&amp;MID(VLOOKUP(F156,'Data Induk Pegawai'!B:AE,12,FALSE),5,4))</f>
        <v/>
      </c>
      <c r="S156" s="26" t="str">
        <f>IF(G156="","",VLOOKUP(F156,'Data Induk Pegawai'!B:AE,11,FALSE))</f>
        <v/>
      </c>
      <c r="T156" s="56"/>
      <c r="U156" s="18" t="str">
        <f t="shared" si="48"/>
        <v/>
      </c>
      <c r="V156" s="30"/>
      <c r="W156" s="18" t="str">
        <f t="shared" si="49"/>
        <v/>
      </c>
      <c r="X156" s="16"/>
      <c r="Y156" s="97" t="str">
        <f t="shared" si="50"/>
        <v/>
      </c>
      <c r="Z156" s="97" t="str">
        <f t="shared" si="51"/>
        <v/>
      </c>
      <c r="AA156" s="97" t="str">
        <f t="shared" si="52"/>
        <v/>
      </c>
      <c r="AB156" s="25" t="str">
        <f>COUNTIFS(AC156:AC$596,AC156)&amp;AC156</f>
        <v>441</v>
      </c>
      <c r="AC156" t="str">
        <f t="shared" si="69"/>
        <v/>
      </c>
      <c r="AD156" t="str">
        <f>COUNTIFS(AC$2:AC156,AC156)&amp;AC156</f>
        <v>155</v>
      </c>
      <c r="AE156" t="str">
        <f t="shared" si="53"/>
        <v/>
      </c>
      <c r="AF156" t="str">
        <f t="shared" si="70"/>
        <v>..</v>
      </c>
      <c r="AG156" s="28" t="str">
        <f t="shared" si="54"/>
        <v/>
      </c>
      <c r="AH156" s="28" t="str">
        <f t="shared" si="55"/>
        <v/>
      </c>
      <c r="AI156" t="str">
        <f t="shared" si="56"/>
        <v/>
      </c>
      <c r="AJ156" t="str">
        <f t="shared" si="57"/>
        <v/>
      </c>
      <c r="AK156" t="str">
        <f t="shared" si="58"/>
        <v/>
      </c>
      <c r="AL156" t="str">
        <f t="shared" si="59"/>
        <v/>
      </c>
      <c r="AM156" t="str">
        <f t="shared" si="60"/>
        <v/>
      </c>
      <c r="AN156" t="str">
        <f t="shared" si="61"/>
        <v/>
      </c>
      <c r="AO156" t="str">
        <f t="shared" si="62"/>
        <v/>
      </c>
      <c r="AP156" t="str">
        <f t="shared" si="63"/>
        <v/>
      </c>
      <c r="AQ156" t="str">
        <f t="shared" si="64"/>
        <v/>
      </c>
      <c r="AR156" t="str">
        <f t="shared" si="65"/>
        <v/>
      </c>
      <c r="AS156" t="str">
        <f t="shared" si="66"/>
        <v/>
      </c>
      <c r="AT156" t="str">
        <f t="shared" si="67"/>
        <v/>
      </c>
      <c r="AU156" s="25" t="str">
        <f t="shared" si="71"/>
        <v/>
      </c>
      <c r="BA156">
        <f>'REGISTER SK'!F159</f>
        <v>0</v>
      </c>
    </row>
    <row r="157" spans="1:53" x14ac:dyDescent="0.35">
      <c r="A157" s="18">
        <v>156</v>
      </c>
      <c r="B157" s="36" t="s">
        <v>379</v>
      </c>
      <c r="C157" s="18" t="str">
        <f>IF(G157="","",IF(G157="Umum",G157,VLOOKUP(F157,'Data Induk Pegawai'!B:AE,4,FALSE)))</f>
        <v/>
      </c>
      <c r="D157" s="19" t="str">
        <f>IF('REGISTER SK'!A160="","",IF('REGISTER SK'!B160=0,D156,'REGISTER SK'!B160))</f>
        <v/>
      </c>
      <c r="E157" s="19" t="str">
        <f t="shared" si="68"/>
        <v/>
      </c>
      <c r="F157" s="29"/>
      <c r="G157" s="29"/>
      <c r="H157" s="31" t="str">
        <f>IF(F157="","",VLOOKUP(F157,'Data Induk Pegawai'!B:U,2,FALSE))</f>
        <v/>
      </c>
      <c r="I157" s="19" t="str">
        <f>IF('REGISTER SK'!C160="","",'REGISTER SK'!C160)</f>
        <v/>
      </c>
      <c r="J157" s="125"/>
      <c r="K157" s="125"/>
      <c r="L157" s="26" t="str">
        <f>IF('REGISTER SK'!D160="","",'REGISTER SK'!D160)</f>
        <v/>
      </c>
      <c r="M157" s="26" t="str">
        <f>IF('REGISTER SK'!E160="","",'REGISTER SK'!E160)</f>
        <v/>
      </c>
      <c r="N157" s="31" t="str">
        <f>IF(G157="","",IF(OR(G157="GTT",G157="PTT"),"--",VLOOKUP(F157,'Data Induk Pegawai'!B:AE,4,FALSE)))</f>
        <v/>
      </c>
      <c r="O157" s="18" t="e">
        <v>#N/A</v>
      </c>
      <c r="P157" s="31" t="str">
        <f>IF(G157="","",VLOOKUP(F157,'Data Induk Pegawai'!B:AE,7,FALSE))</f>
        <v/>
      </c>
      <c r="Q157" s="30"/>
      <c r="R157" s="26" t="str">
        <f>IF(G157="","","Nomor "&amp;RIGHT(VLOOKUP(F157,'Data Induk Pegawai'!B:AE,12,FALSE),2)&amp;" Tahun "&amp;MID(VLOOKUP(F157,'Data Induk Pegawai'!B:AE,12,FALSE),5,4))</f>
        <v/>
      </c>
      <c r="S157" s="26" t="str">
        <f>IF(G157="","",VLOOKUP(F157,'Data Induk Pegawai'!B:AE,11,FALSE))</f>
        <v/>
      </c>
      <c r="T157" s="56"/>
      <c r="U157" s="18" t="str">
        <f t="shared" si="48"/>
        <v/>
      </c>
      <c r="V157" s="30"/>
      <c r="W157" s="18" t="str">
        <f t="shared" si="49"/>
        <v/>
      </c>
      <c r="X157" s="16"/>
      <c r="Y157" s="97" t="str">
        <f t="shared" si="50"/>
        <v/>
      </c>
      <c r="Z157" s="97" t="str">
        <f t="shared" si="51"/>
        <v/>
      </c>
      <c r="AA157" s="97" t="str">
        <f t="shared" si="52"/>
        <v/>
      </c>
      <c r="AB157" s="25" t="str">
        <f>COUNTIFS(AC157:AC$596,AC157)&amp;AC157</f>
        <v>440</v>
      </c>
      <c r="AC157" t="str">
        <f t="shared" si="69"/>
        <v/>
      </c>
      <c r="AD157" t="str">
        <f>COUNTIFS(AC$2:AC157,AC157)&amp;AC157</f>
        <v>156</v>
      </c>
      <c r="AE157" t="str">
        <f t="shared" si="53"/>
        <v/>
      </c>
      <c r="AF157" t="str">
        <f t="shared" si="70"/>
        <v>..</v>
      </c>
      <c r="AG157" s="28" t="str">
        <f t="shared" si="54"/>
        <v/>
      </c>
      <c r="AH157" s="28" t="str">
        <f t="shared" si="55"/>
        <v/>
      </c>
      <c r="AI157" t="str">
        <f t="shared" si="56"/>
        <v/>
      </c>
      <c r="AJ157" t="str">
        <f t="shared" si="57"/>
        <v/>
      </c>
      <c r="AK157" t="str">
        <f t="shared" si="58"/>
        <v/>
      </c>
      <c r="AL157" t="str">
        <f t="shared" si="59"/>
        <v/>
      </c>
      <c r="AM157" t="str">
        <f t="shared" si="60"/>
        <v/>
      </c>
      <c r="AN157" t="str">
        <f t="shared" si="61"/>
        <v/>
      </c>
      <c r="AO157" t="str">
        <f t="shared" si="62"/>
        <v/>
      </c>
      <c r="AP157" t="str">
        <f t="shared" si="63"/>
        <v/>
      </c>
      <c r="AQ157" t="str">
        <f t="shared" si="64"/>
        <v/>
      </c>
      <c r="AR157" t="str">
        <f t="shared" si="65"/>
        <v/>
      </c>
      <c r="AS157" t="str">
        <f t="shared" si="66"/>
        <v/>
      </c>
      <c r="AT157" t="str">
        <f t="shared" si="67"/>
        <v/>
      </c>
      <c r="AU157" s="25" t="str">
        <f t="shared" si="71"/>
        <v/>
      </c>
      <c r="BA157">
        <f>'REGISTER SK'!F160</f>
        <v>0</v>
      </c>
    </row>
    <row r="158" spans="1:53" x14ac:dyDescent="0.35">
      <c r="A158" s="18">
        <v>157</v>
      </c>
      <c r="B158" s="36"/>
      <c r="C158" s="18" t="str">
        <f>IF(G158="","",IF(G158="Umum",G158,VLOOKUP(F158,'Data Induk Pegawai'!B:AE,4,FALSE)))</f>
        <v/>
      </c>
      <c r="D158" s="19" t="str">
        <f>IF('REGISTER SK'!A161="","",IF('REGISTER SK'!B161=0,D157,'REGISTER SK'!B161))</f>
        <v/>
      </c>
      <c r="E158" s="19" t="str">
        <f t="shared" si="68"/>
        <v/>
      </c>
      <c r="F158" s="29"/>
      <c r="G158" s="29"/>
      <c r="H158" s="31" t="str">
        <f>IF(F158="","",VLOOKUP(F158,'Data Induk Pegawai'!B:U,2,FALSE))</f>
        <v/>
      </c>
      <c r="I158" s="19" t="str">
        <f>IF('REGISTER SK'!C161="","",'REGISTER SK'!C161)</f>
        <v/>
      </c>
      <c r="J158" s="125"/>
      <c r="K158" s="125"/>
      <c r="L158" s="26" t="str">
        <f>IF('REGISTER SK'!D161="","",'REGISTER SK'!D161)</f>
        <v/>
      </c>
      <c r="M158" s="26" t="str">
        <f>IF('REGISTER SK'!E161="","",'REGISTER SK'!E161)</f>
        <v/>
      </c>
      <c r="N158" s="31" t="str">
        <f>IF(G158="","",IF(OR(G158="GTT",G158="PTT"),"--",VLOOKUP(F158,'Data Induk Pegawai'!B:AE,4,FALSE)))</f>
        <v/>
      </c>
      <c r="O158" s="18" t="s">
        <v>378</v>
      </c>
      <c r="P158" s="31" t="str">
        <f>IF(G158="","",VLOOKUP(F158,'Data Induk Pegawai'!B:AE,7,FALSE))</f>
        <v/>
      </c>
      <c r="Q158" s="30"/>
      <c r="R158" s="26" t="str">
        <f>IF(G158="","","Nomor "&amp;RIGHT(VLOOKUP(F158,'Data Induk Pegawai'!B:AE,12,FALSE),2)&amp;" Tahun "&amp;MID(VLOOKUP(F158,'Data Induk Pegawai'!B:AE,12,FALSE),5,4))</f>
        <v/>
      </c>
      <c r="S158" s="26" t="str">
        <f>IF(G158="","",VLOOKUP(F158,'Data Induk Pegawai'!B:AE,11,FALSE))</f>
        <v/>
      </c>
      <c r="T158" s="56"/>
      <c r="U158" s="18" t="str">
        <f t="shared" si="48"/>
        <v/>
      </c>
      <c r="V158" s="30"/>
      <c r="W158" s="18" t="str">
        <f t="shared" si="49"/>
        <v/>
      </c>
      <c r="X158" s="16"/>
      <c r="Y158" t="str">
        <f t="shared" si="50"/>
        <v/>
      </c>
      <c r="Z158" t="str">
        <f t="shared" si="51"/>
        <v/>
      </c>
      <c r="AA158" t="str">
        <f t="shared" si="52"/>
        <v/>
      </c>
      <c r="AB158" t="str">
        <f>COUNTIFS(AC158:AC$596,AC158)&amp;AC158</f>
        <v>439</v>
      </c>
      <c r="AC158" t="str">
        <f t="shared" si="69"/>
        <v/>
      </c>
      <c r="AD158" t="str">
        <f>COUNTIFS(AC$2:AC158,AC158)&amp;AC158</f>
        <v>157</v>
      </c>
      <c r="AE158" t="str">
        <f t="shared" si="53"/>
        <v/>
      </c>
      <c r="AF158" t="str">
        <f t="shared" si="70"/>
        <v>..</v>
      </c>
      <c r="AG158" s="28" t="str">
        <f t="shared" si="54"/>
        <v/>
      </c>
      <c r="AH158" s="28" t="str">
        <f t="shared" si="55"/>
        <v/>
      </c>
      <c r="AI158" t="str">
        <f t="shared" si="56"/>
        <v/>
      </c>
      <c r="AJ158" t="str">
        <f t="shared" si="57"/>
        <v/>
      </c>
      <c r="AK158" t="str">
        <f t="shared" si="58"/>
        <v/>
      </c>
      <c r="AL158" t="str">
        <f t="shared" si="59"/>
        <v/>
      </c>
      <c r="AM158" t="str">
        <f t="shared" si="60"/>
        <v/>
      </c>
      <c r="AN158" t="str">
        <f t="shared" si="61"/>
        <v/>
      </c>
      <c r="AO158" t="str">
        <f t="shared" si="62"/>
        <v/>
      </c>
      <c r="AP158" t="str">
        <f t="shared" si="63"/>
        <v/>
      </c>
      <c r="AQ158" t="str">
        <f t="shared" si="64"/>
        <v/>
      </c>
      <c r="AR158" t="str">
        <f t="shared" si="65"/>
        <v/>
      </c>
      <c r="AS158" t="str">
        <f t="shared" si="66"/>
        <v/>
      </c>
      <c r="AT158" t="str">
        <f t="shared" si="67"/>
        <v/>
      </c>
      <c r="AU158" s="25" t="str">
        <f t="shared" si="71"/>
        <v/>
      </c>
      <c r="BA158">
        <f>'REGISTER SK'!F161</f>
        <v>0</v>
      </c>
    </row>
    <row r="159" spans="1:53" x14ac:dyDescent="0.35">
      <c r="A159" s="18">
        <v>158</v>
      </c>
      <c r="B159" s="36" t="s">
        <v>379</v>
      </c>
      <c r="C159" s="18" t="str">
        <f>IF(G159="","",IF(G159="Umum",G159,VLOOKUP(F159,'Data Induk Pegawai'!B:AE,4,FALSE)))</f>
        <v/>
      </c>
      <c r="D159" s="19" t="str">
        <f>IF('REGISTER SK'!A162="","",IF('REGISTER SK'!B162=0,D158,'REGISTER SK'!B162))</f>
        <v/>
      </c>
      <c r="E159" s="19" t="str">
        <f t="shared" si="68"/>
        <v/>
      </c>
      <c r="F159" s="29"/>
      <c r="G159" s="29"/>
      <c r="H159" s="31" t="str">
        <f>IF(F159="","",VLOOKUP(F159,'Data Induk Pegawai'!B:U,2,FALSE))</f>
        <v/>
      </c>
      <c r="I159" s="19" t="str">
        <f>IF('REGISTER SK'!C162="","",'REGISTER SK'!C162)</f>
        <v/>
      </c>
      <c r="J159" s="125"/>
      <c r="K159" s="125"/>
      <c r="L159" s="26" t="str">
        <f>IF('REGISTER SK'!D162="","",'REGISTER SK'!D162)</f>
        <v/>
      </c>
      <c r="M159" s="26" t="str">
        <f>IF('REGISTER SK'!E162="","",'REGISTER SK'!E162)</f>
        <v/>
      </c>
      <c r="N159" s="31" t="str">
        <f>IF(G159="","",IF(OR(G159="GTT",G159="PTT"),"--",VLOOKUP(F159,'Data Induk Pegawai'!B:AE,4,FALSE)))</f>
        <v/>
      </c>
      <c r="O159" s="18" t="s">
        <v>319</v>
      </c>
      <c r="P159" s="31" t="str">
        <f>IF(G159="","",VLOOKUP(F159,'Data Induk Pegawai'!B:AE,7,FALSE))</f>
        <v/>
      </c>
      <c r="Q159" s="30"/>
      <c r="R159" s="26" t="str">
        <f>IF(G159="","","Nomor "&amp;RIGHT(VLOOKUP(F159,'Data Induk Pegawai'!B:AE,12,FALSE),2)&amp;" Tahun "&amp;MID(VLOOKUP(F159,'Data Induk Pegawai'!B:AE,12,FALSE),5,4))</f>
        <v/>
      </c>
      <c r="S159" s="26" t="str">
        <f>IF(G159="","",VLOOKUP(F159,'Data Induk Pegawai'!B:AE,11,FALSE))</f>
        <v/>
      </c>
      <c r="T159" s="56"/>
      <c r="U159" s="18" t="str">
        <f t="shared" si="48"/>
        <v/>
      </c>
      <c r="V159" s="30"/>
      <c r="W159" s="18" t="str">
        <f t="shared" si="49"/>
        <v/>
      </c>
      <c r="X159" s="16"/>
      <c r="Y159" t="str">
        <f t="shared" si="50"/>
        <v/>
      </c>
      <c r="Z159" t="str">
        <f t="shared" si="51"/>
        <v/>
      </c>
      <c r="AA159" t="str">
        <f t="shared" si="52"/>
        <v/>
      </c>
      <c r="AB159" t="str">
        <f>COUNTIFS(AC159:AC$596,AC159)&amp;AC159</f>
        <v>438</v>
      </c>
      <c r="AC159" t="str">
        <f t="shared" si="69"/>
        <v/>
      </c>
      <c r="AD159" t="str">
        <f>COUNTIFS(AC$2:AC159,AC159)&amp;AC159</f>
        <v>158</v>
      </c>
      <c r="AE159" t="str">
        <f t="shared" si="53"/>
        <v/>
      </c>
      <c r="AF159" t="str">
        <f t="shared" si="70"/>
        <v>..</v>
      </c>
      <c r="AG159" s="28" t="str">
        <f t="shared" si="54"/>
        <v/>
      </c>
      <c r="AH159" s="28" t="str">
        <f t="shared" si="55"/>
        <v/>
      </c>
      <c r="AI159" t="str">
        <f t="shared" si="56"/>
        <v/>
      </c>
      <c r="AJ159" t="str">
        <f t="shared" si="57"/>
        <v/>
      </c>
      <c r="AK159" t="str">
        <f t="shared" si="58"/>
        <v/>
      </c>
      <c r="AL159" t="str">
        <f t="shared" si="59"/>
        <v/>
      </c>
      <c r="AM159" t="str">
        <f t="shared" si="60"/>
        <v/>
      </c>
      <c r="AN159" t="str">
        <f t="shared" si="61"/>
        <v/>
      </c>
      <c r="AO159" t="str">
        <f t="shared" si="62"/>
        <v/>
      </c>
      <c r="AP159" t="str">
        <f t="shared" si="63"/>
        <v/>
      </c>
      <c r="AQ159" t="str">
        <f t="shared" si="64"/>
        <v/>
      </c>
      <c r="AR159" t="str">
        <f t="shared" si="65"/>
        <v/>
      </c>
      <c r="AS159" t="str">
        <f t="shared" si="66"/>
        <v/>
      </c>
      <c r="AT159" t="str">
        <f t="shared" si="67"/>
        <v/>
      </c>
      <c r="AU159" s="25" t="str">
        <f t="shared" si="71"/>
        <v/>
      </c>
      <c r="BA159">
        <f>'REGISTER SK'!F162</f>
        <v>0</v>
      </c>
    </row>
    <row r="160" spans="1:53" x14ac:dyDescent="0.35">
      <c r="A160" s="18">
        <v>159</v>
      </c>
      <c r="B160" s="36" t="s">
        <v>379</v>
      </c>
      <c r="C160" s="18" t="str">
        <f>IF(G160="","",IF(G160="Umum",G160,VLOOKUP(F160,'Data Induk Pegawai'!B:AE,4,FALSE)))</f>
        <v/>
      </c>
      <c r="D160" s="19" t="str">
        <f>IF('REGISTER SK'!A163="","",IF('REGISTER SK'!B163=0,D159,'REGISTER SK'!B163))</f>
        <v/>
      </c>
      <c r="E160" s="19" t="str">
        <f t="shared" si="68"/>
        <v/>
      </c>
      <c r="F160" s="29"/>
      <c r="G160" s="29"/>
      <c r="H160" s="31" t="str">
        <f>IF(F160="","",VLOOKUP(F160,'Data Induk Pegawai'!B:U,2,FALSE))</f>
        <v/>
      </c>
      <c r="I160" s="19" t="str">
        <f>IF('REGISTER SK'!C163="","",'REGISTER SK'!C163)</f>
        <v/>
      </c>
      <c r="J160" s="125"/>
      <c r="K160" s="125"/>
      <c r="L160" s="26" t="str">
        <f>IF('REGISTER SK'!D163="","",'REGISTER SK'!D163)</f>
        <v/>
      </c>
      <c r="M160" s="26" t="str">
        <f>IF('REGISTER SK'!E163="","",'REGISTER SK'!E163)</f>
        <v/>
      </c>
      <c r="N160" s="31" t="str">
        <f>IF(G160="","",IF(OR(G160="GTT",G160="PTT"),"--",VLOOKUP(F160,'Data Induk Pegawai'!B:AE,4,FALSE)))</f>
        <v/>
      </c>
      <c r="O160" s="18" t="s">
        <v>318</v>
      </c>
      <c r="P160" s="31" t="str">
        <f>IF(G160="","",VLOOKUP(F160,'Data Induk Pegawai'!B:AE,7,FALSE))</f>
        <v/>
      </c>
      <c r="Q160" s="30"/>
      <c r="R160" s="26" t="str">
        <f>IF(G160="","","Nomor "&amp;RIGHT(VLOOKUP(F160,'Data Induk Pegawai'!B:AE,12,FALSE),2)&amp;" Tahun "&amp;MID(VLOOKUP(F160,'Data Induk Pegawai'!B:AE,12,FALSE),5,4))</f>
        <v/>
      </c>
      <c r="S160" s="26" t="str">
        <f>IF(G160="","",VLOOKUP(F160,'Data Induk Pegawai'!B:AE,11,FALSE))</f>
        <v/>
      </c>
      <c r="T160" s="56"/>
      <c r="U160" s="18" t="str">
        <f t="shared" si="48"/>
        <v/>
      </c>
      <c r="V160" s="30"/>
      <c r="W160" s="18" t="str">
        <f t="shared" si="49"/>
        <v/>
      </c>
      <c r="X160" s="16"/>
      <c r="Y160" t="str">
        <f t="shared" si="50"/>
        <v/>
      </c>
      <c r="Z160" t="str">
        <f t="shared" si="51"/>
        <v/>
      </c>
      <c r="AA160" t="str">
        <f t="shared" si="52"/>
        <v/>
      </c>
      <c r="AB160" t="str">
        <f>COUNTIFS(AC160:AC$596,AC160)&amp;AC160</f>
        <v>437</v>
      </c>
      <c r="AC160" t="str">
        <f t="shared" si="69"/>
        <v/>
      </c>
      <c r="AD160" t="str">
        <f>COUNTIFS(AC$2:AC160,AC160)&amp;AC160</f>
        <v>159</v>
      </c>
      <c r="AE160" t="str">
        <f t="shared" si="53"/>
        <v/>
      </c>
      <c r="AF160" t="str">
        <f t="shared" si="70"/>
        <v>..</v>
      </c>
      <c r="AG160" s="28" t="str">
        <f t="shared" si="54"/>
        <v/>
      </c>
      <c r="AH160" s="28" t="str">
        <f t="shared" si="55"/>
        <v/>
      </c>
      <c r="AI160" t="str">
        <f t="shared" si="56"/>
        <v/>
      </c>
      <c r="AJ160" t="str">
        <f t="shared" si="57"/>
        <v/>
      </c>
      <c r="AK160" t="str">
        <f t="shared" si="58"/>
        <v/>
      </c>
      <c r="AL160" t="str">
        <f t="shared" si="59"/>
        <v/>
      </c>
      <c r="AM160" t="str">
        <f t="shared" si="60"/>
        <v/>
      </c>
      <c r="AN160" t="str">
        <f t="shared" si="61"/>
        <v/>
      </c>
      <c r="AO160" t="str">
        <f t="shared" si="62"/>
        <v/>
      </c>
      <c r="AP160" t="str">
        <f t="shared" si="63"/>
        <v/>
      </c>
      <c r="AQ160" t="str">
        <f t="shared" si="64"/>
        <v/>
      </c>
      <c r="AR160" t="str">
        <f t="shared" si="65"/>
        <v/>
      </c>
      <c r="AS160" t="str">
        <f t="shared" si="66"/>
        <v/>
      </c>
      <c r="AT160" t="str">
        <f t="shared" si="67"/>
        <v/>
      </c>
      <c r="AU160" s="25" t="str">
        <f t="shared" si="71"/>
        <v/>
      </c>
      <c r="BA160">
        <f>'REGISTER SK'!F163</f>
        <v>0</v>
      </c>
    </row>
    <row r="161" spans="1:53" x14ac:dyDescent="0.35">
      <c r="A161" s="18">
        <v>160</v>
      </c>
      <c r="B161" s="36" t="s">
        <v>379</v>
      </c>
      <c r="C161" s="18" t="str">
        <f>IF(G161="","",IF(G161="Umum",G161,VLOOKUP(F161,'Data Induk Pegawai'!B:AE,4,FALSE)))</f>
        <v/>
      </c>
      <c r="D161" s="19" t="str">
        <f>IF('REGISTER SK'!A164="","",IF('REGISTER SK'!B164=0,D160,'REGISTER SK'!B164))</f>
        <v/>
      </c>
      <c r="E161" s="19" t="str">
        <f t="shared" si="68"/>
        <v/>
      </c>
      <c r="F161" s="29"/>
      <c r="G161" s="29"/>
      <c r="H161" s="31" t="str">
        <f>IF(F161="","",VLOOKUP(F161,'Data Induk Pegawai'!B:U,2,FALSE))</f>
        <v/>
      </c>
      <c r="I161" s="19" t="str">
        <f>IF('REGISTER SK'!C164="","",'REGISTER SK'!C164)</f>
        <v/>
      </c>
      <c r="J161" s="125"/>
      <c r="K161" s="125"/>
      <c r="L161" s="26" t="str">
        <f>IF('REGISTER SK'!D164="","",'REGISTER SK'!D164)</f>
        <v/>
      </c>
      <c r="M161" s="26" t="str">
        <f>IF('REGISTER SK'!E164="","",'REGISTER SK'!E164)</f>
        <v/>
      </c>
      <c r="N161" s="31" t="str">
        <f>IF(G161="","",IF(OR(G161="GTT",G161="PTT"),"--",VLOOKUP(F161,'Data Induk Pegawai'!B:AE,4,FALSE)))</f>
        <v/>
      </c>
      <c r="O161" s="18" t="s">
        <v>321</v>
      </c>
      <c r="P161" s="31" t="str">
        <f>IF(G161="","",VLOOKUP(F161,'Data Induk Pegawai'!B:AE,7,FALSE))</f>
        <v/>
      </c>
      <c r="Q161" s="30"/>
      <c r="R161" s="26" t="str">
        <f>IF(G161="","","Nomor "&amp;RIGHT(VLOOKUP(F161,'Data Induk Pegawai'!B:AE,12,FALSE),2)&amp;" Tahun "&amp;MID(VLOOKUP(F161,'Data Induk Pegawai'!B:AE,12,FALSE),5,4))</f>
        <v/>
      </c>
      <c r="S161" s="26" t="str">
        <f>IF(G161="","",VLOOKUP(F161,'Data Induk Pegawai'!B:AE,11,FALSE))</f>
        <v/>
      </c>
      <c r="T161" s="56"/>
      <c r="U161" s="18" t="str">
        <f t="shared" si="48"/>
        <v/>
      </c>
      <c r="V161" s="30"/>
      <c r="W161" s="18" t="str">
        <f t="shared" si="49"/>
        <v/>
      </c>
      <c r="X161" s="16"/>
      <c r="Y161" t="str">
        <f t="shared" si="50"/>
        <v/>
      </c>
      <c r="Z161" t="str">
        <f t="shared" si="51"/>
        <v/>
      </c>
      <c r="AA161" t="str">
        <f t="shared" si="52"/>
        <v/>
      </c>
      <c r="AB161" t="str">
        <f>COUNTIFS(AC161:AC$596,AC161)&amp;AC161</f>
        <v>436</v>
      </c>
      <c r="AC161" t="str">
        <f t="shared" si="69"/>
        <v/>
      </c>
      <c r="AD161" t="str">
        <f>COUNTIFS(AC$2:AC161,AC161)&amp;AC161</f>
        <v>160</v>
      </c>
      <c r="AE161" t="str">
        <f t="shared" si="53"/>
        <v/>
      </c>
      <c r="AF161" t="str">
        <f t="shared" si="70"/>
        <v>..</v>
      </c>
      <c r="AG161" s="28" t="str">
        <f t="shared" si="54"/>
        <v/>
      </c>
      <c r="AH161" s="28" t="str">
        <f t="shared" si="55"/>
        <v/>
      </c>
      <c r="AI161" t="str">
        <f t="shared" si="56"/>
        <v/>
      </c>
      <c r="AJ161" t="str">
        <f t="shared" si="57"/>
        <v/>
      </c>
      <c r="AK161" t="str">
        <f t="shared" si="58"/>
        <v/>
      </c>
      <c r="AL161" t="str">
        <f t="shared" si="59"/>
        <v/>
      </c>
      <c r="AM161" t="str">
        <f t="shared" si="60"/>
        <v/>
      </c>
      <c r="AN161" t="str">
        <f t="shared" si="61"/>
        <v/>
      </c>
      <c r="AO161" t="str">
        <f t="shared" si="62"/>
        <v/>
      </c>
      <c r="AP161" t="str">
        <f t="shared" si="63"/>
        <v/>
      </c>
      <c r="AQ161" t="str">
        <f t="shared" si="64"/>
        <v/>
      </c>
      <c r="AR161" t="str">
        <f t="shared" si="65"/>
        <v/>
      </c>
      <c r="AS161" t="str">
        <f t="shared" si="66"/>
        <v/>
      </c>
      <c r="AT161" t="str">
        <f t="shared" si="67"/>
        <v/>
      </c>
      <c r="AU161" s="25" t="str">
        <f t="shared" si="71"/>
        <v/>
      </c>
      <c r="BA161">
        <f>'REGISTER SK'!F164</f>
        <v>0</v>
      </c>
    </row>
    <row r="162" spans="1:53" x14ac:dyDescent="0.35">
      <c r="A162" s="18">
        <v>161</v>
      </c>
      <c r="B162" s="36" t="s">
        <v>379</v>
      </c>
      <c r="C162" s="18" t="str">
        <f>IF(G162="","",IF(G162="Umum",G162,VLOOKUP(F162,'Data Induk Pegawai'!B:AE,4,FALSE)))</f>
        <v/>
      </c>
      <c r="D162" s="19" t="str">
        <f>IF('REGISTER SK'!A165="","",IF('REGISTER SK'!B165=0,D161,'REGISTER SK'!B165))</f>
        <v/>
      </c>
      <c r="E162" s="19" t="str">
        <f t="shared" si="68"/>
        <v/>
      </c>
      <c r="F162" s="29"/>
      <c r="G162" s="29"/>
      <c r="H162" s="31" t="str">
        <f>IF(F162="","",VLOOKUP(F162,'Data Induk Pegawai'!B:U,2,FALSE))</f>
        <v/>
      </c>
      <c r="I162" s="19" t="str">
        <f>IF('REGISTER SK'!C165="","",'REGISTER SK'!C165)</f>
        <v/>
      </c>
      <c r="J162" s="125"/>
      <c r="K162" s="125"/>
      <c r="L162" s="26" t="str">
        <f>IF('REGISTER SK'!D165="","",'REGISTER SK'!D165)</f>
        <v/>
      </c>
      <c r="M162" s="26" t="str">
        <f>IF('REGISTER SK'!E165="","",'REGISTER SK'!E165)</f>
        <v/>
      </c>
      <c r="N162" s="31" t="str">
        <f>IF(G162="","",IF(OR(G162="GTT",G162="PTT"),"--",VLOOKUP(F162,'Data Induk Pegawai'!B:AE,4,FALSE)))</f>
        <v/>
      </c>
      <c r="O162" s="18" t="s">
        <v>274</v>
      </c>
      <c r="P162" s="31" t="str">
        <f>IF(G162="","",VLOOKUP(F162,'Data Induk Pegawai'!B:AE,7,FALSE))</f>
        <v/>
      </c>
      <c r="Q162" s="30"/>
      <c r="R162" s="26" t="str">
        <f>IF(G162="","","Nomor "&amp;RIGHT(VLOOKUP(F162,'Data Induk Pegawai'!B:AE,12,FALSE),2)&amp;" Tahun "&amp;MID(VLOOKUP(F162,'Data Induk Pegawai'!B:AE,12,FALSE),5,4))</f>
        <v/>
      </c>
      <c r="S162" s="26" t="str">
        <f>IF(G162="","",VLOOKUP(F162,'Data Induk Pegawai'!B:AE,11,FALSE))</f>
        <v/>
      </c>
      <c r="T162" s="56"/>
      <c r="U162" s="18" t="str">
        <f t="shared" si="48"/>
        <v/>
      </c>
      <c r="V162" s="30"/>
      <c r="W162" s="18" t="str">
        <f t="shared" si="49"/>
        <v/>
      </c>
      <c r="X162" s="16"/>
      <c r="Y162" t="str">
        <f t="shared" si="50"/>
        <v/>
      </c>
      <c r="Z162" t="str">
        <f t="shared" si="51"/>
        <v/>
      </c>
      <c r="AA162" t="str">
        <f t="shared" si="52"/>
        <v/>
      </c>
      <c r="AB162" t="str">
        <f>COUNTIFS(AC162:AC$596,AC162)&amp;AC162</f>
        <v>435</v>
      </c>
      <c r="AC162" t="str">
        <f t="shared" si="69"/>
        <v/>
      </c>
      <c r="AD162" t="str">
        <f>COUNTIFS(AC$2:AC162,AC162)&amp;AC162</f>
        <v>161</v>
      </c>
      <c r="AE162" t="str">
        <f t="shared" si="53"/>
        <v/>
      </c>
      <c r="AF162" t="str">
        <f t="shared" si="70"/>
        <v>..</v>
      </c>
      <c r="AG162" s="28" t="str">
        <f t="shared" si="54"/>
        <v/>
      </c>
      <c r="AH162" s="28" t="str">
        <f t="shared" si="55"/>
        <v/>
      </c>
      <c r="AI162" t="str">
        <f t="shared" si="56"/>
        <v/>
      </c>
      <c r="AJ162" t="str">
        <f t="shared" si="57"/>
        <v/>
      </c>
      <c r="AK162" t="str">
        <f t="shared" si="58"/>
        <v/>
      </c>
      <c r="AL162" t="str">
        <f t="shared" si="59"/>
        <v/>
      </c>
      <c r="AM162" t="str">
        <f t="shared" si="60"/>
        <v/>
      </c>
      <c r="AN162" t="str">
        <f t="shared" si="61"/>
        <v/>
      </c>
      <c r="AO162" t="str">
        <f t="shared" si="62"/>
        <v/>
      </c>
      <c r="AP162" t="str">
        <f t="shared" si="63"/>
        <v/>
      </c>
      <c r="AQ162" t="str">
        <f t="shared" si="64"/>
        <v/>
      </c>
      <c r="AR162" t="str">
        <f t="shared" si="65"/>
        <v/>
      </c>
      <c r="AS162" t="str">
        <f t="shared" si="66"/>
        <v/>
      </c>
      <c r="AT162" t="str">
        <f t="shared" si="67"/>
        <v/>
      </c>
      <c r="AU162" s="25" t="str">
        <f t="shared" si="71"/>
        <v/>
      </c>
      <c r="BA162">
        <f>'REGISTER SK'!F165</f>
        <v>0</v>
      </c>
    </row>
    <row r="163" spans="1:53" x14ac:dyDescent="0.35">
      <c r="A163" s="18">
        <v>162</v>
      </c>
      <c r="B163" s="36" t="s">
        <v>379</v>
      </c>
      <c r="C163" s="18" t="str">
        <f>IF(G163="","",IF(G163="Umum",G163,VLOOKUP(F163,'Data Induk Pegawai'!B:AE,4,FALSE)))</f>
        <v/>
      </c>
      <c r="D163" s="19" t="str">
        <f>IF('REGISTER SK'!A166="","",IF('REGISTER SK'!B166=0,D162,'REGISTER SK'!B166))</f>
        <v/>
      </c>
      <c r="E163" s="19" t="str">
        <f t="shared" si="68"/>
        <v/>
      </c>
      <c r="F163" s="29"/>
      <c r="G163" s="29"/>
      <c r="H163" s="31" t="str">
        <f>IF(F163="","",VLOOKUP(F163,'Data Induk Pegawai'!B:U,2,FALSE))</f>
        <v/>
      </c>
      <c r="I163" s="19" t="str">
        <f>IF('REGISTER SK'!C166="","",'REGISTER SK'!C166)</f>
        <v/>
      </c>
      <c r="J163" s="125"/>
      <c r="K163" s="125"/>
      <c r="L163" s="26" t="str">
        <f>IF('REGISTER SK'!D166="","",'REGISTER SK'!D166)</f>
        <v/>
      </c>
      <c r="M163" s="26" t="str">
        <f>IF('REGISTER SK'!E166="","",'REGISTER SK'!E166)</f>
        <v/>
      </c>
      <c r="N163" s="31" t="str">
        <f>IF(G163="","",IF(OR(G163="GTT",G163="PTT"),"--",VLOOKUP(F163,'Data Induk Pegawai'!B:AE,4,FALSE)))</f>
        <v/>
      </c>
      <c r="O163" s="18" t="s">
        <v>257</v>
      </c>
      <c r="P163" s="31" t="str">
        <f>IF(G163="","",VLOOKUP(F163,'Data Induk Pegawai'!B:AE,7,FALSE))</f>
        <v/>
      </c>
      <c r="Q163" s="30"/>
      <c r="R163" s="26" t="str">
        <f>IF(G163="","","Nomor "&amp;RIGHT(VLOOKUP(F163,'Data Induk Pegawai'!B:AE,12,FALSE),2)&amp;" Tahun "&amp;MID(VLOOKUP(F163,'Data Induk Pegawai'!B:AE,12,FALSE),5,4))</f>
        <v/>
      </c>
      <c r="S163" s="26" t="str">
        <f>IF(G163="","",VLOOKUP(F163,'Data Induk Pegawai'!B:AE,11,FALSE))</f>
        <v/>
      </c>
      <c r="T163" s="56"/>
      <c r="U163" s="18" t="str">
        <f t="shared" si="48"/>
        <v/>
      </c>
      <c r="V163" s="30"/>
      <c r="W163" s="18" t="str">
        <f t="shared" si="49"/>
        <v/>
      </c>
      <c r="X163" s="16"/>
      <c r="Y163" t="str">
        <f t="shared" si="50"/>
        <v/>
      </c>
      <c r="Z163" t="str">
        <f t="shared" si="51"/>
        <v/>
      </c>
      <c r="AA163" t="str">
        <f t="shared" si="52"/>
        <v/>
      </c>
      <c r="AB163" t="str">
        <f>COUNTIFS(AC163:AC$596,AC163)&amp;AC163</f>
        <v>434</v>
      </c>
      <c r="AC163" t="str">
        <f t="shared" si="69"/>
        <v/>
      </c>
      <c r="AD163" t="str">
        <f>COUNTIFS(AC$2:AC163,AC163)&amp;AC163</f>
        <v>162</v>
      </c>
      <c r="AE163" t="str">
        <f t="shared" si="53"/>
        <v/>
      </c>
      <c r="AF163" t="str">
        <f t="shared" si="70"/>
        <v>..</v>
      </c>
      <c r="AG163" s="28" t="str">
        <f t="shared" si="54"/>
        <v/>
      </c>
      <c r="AH163" s="28" t="str">
        <f t="shared" si="55"/>
        <v/>
      </c>
      <c r="AI163" t="str">
        <f t="shared" si="56"/>
        <v/>
      </c>
      <c r="AJ163" t="str">
        <f t="shared" si="57"/>
        <v/>
      </c>
      <c r="AK163" t="str">
        <f t="shared" si="58"/>
        <v/>
      </c>
      <c r="AL163" t="str">
        <f t="shared" si="59"/>
        <v/>
      </c>
      <c r="AM163" t="str">
        <f t="shared" si="60"/>
        <v/>
      </c>
      <c r="AN163" t="str">
        <f t="shared" si="61"/>
        <v/>
      </c>
      <c r="AO163" t="str">
        <f t="shared" si="62"/>
        <v/>
      </c>
      <c r="AP163" t="str">
        <f t="shared" si="63"/>
        <v/>
      </c>
      <c r="AQ163" t="str">
        <f t="shared" si="64"/>
        <v/>
      </c>
      <c r="AR163" t="str">
        <f t="shared" si="65"/>
        <v/>
      </c>
      <c r="AS163" t="str">
        <f t="shared" si="66"/>
        <v/>
      </c>
      <c r="AT163" t="str">
        <f t="shared" si="67"/>
        <v/>
      </c>
      <c r="AU163" s="25" t="str">
        <f t="shared" si="71"/>
        <v/>
      </c>
      <c r="BA163">
        <f>'REGISTER SK'!F166</f>
        <v>0</v>
      </c>
    </row>
    <row r="164" spans="1:53" x14ac:dyDescent="0.35">
      <c r="A164" s="18">
        <v>163</v>
      </c>
      <c r="B164" s="36" t="s">
        <v>379</v>
      </c>
      <c r="C164" s="18" t="str">
        <f>IF(G164="","",IF(G164="Umum",G164,VLOOKUP(F164,'Data Induk Pegawai'!B:AE,4,FALSE)))</f>
        <v/>
      </c>
      <c r="D164" s="19" t="str">
        <f>IF('REGISTER SK'!A167="","",IF('REGISTER SK'!B167=0,D163,'REGISTER SK'!B167))</f>
        <v/>
      </c>
      <c r="E164" s="19" t="str">
        <f t="shared" si="68"/>
        <v/>
      </c>
      <c r="F164" s="29"/>
      <c r="G164" s="29"/>
      <c r="H164" s="31" t="str">
        <f>IF(F164="","",VLOOKUP(F164,'Data Induk Pegawai'!B:U,2,FALSE))</f>
        <v/>
      </c>
      <c r="I164" s="19" t="str">
        <f>IF('REGISTER SK'!C167="","",'REGISTER SK'!C167)</f>
        <v/>
      </c>
      <c r="J164" s="125"/>
      <c r="K164" s="125"/>
      <c r="L164" s="26" t="str">
        <f>IF('REGISTER SK'!D167="","",'REGISTER SK'!D167)</f>
        <v/>
      </c>
      <c r="M164" s="26" t="str">
        <f>IF('REGISTER SK'!E167="","",'REGISTER SK'!E167)</f>
        <v/>
      </c>
      <c r="N164" s="31" t="str">
        <f>IF(G164="","",IF(OR(G164="GTT",G164="PTT"),"--",VLOOKUP(F164,'Data Induk Pegawai'!B:AE,4,FALSE)))</f>
        <v/>
      </c>
      <c r="O164" s="18" t="s">
        <v>264</v>
      </c>
      <c r="P164" s="31" t="str">
        <f>IF(G164="","",VLOOKUP(F164,'Data Induk Pegawai'!B:AE,7,FALSE))</f>
        <v/>
      </c>
      <c r="Q164" s="30"/>
      <c r="R164" s="26" t="str">
        <f>IF(G164="","","Nomor "&amp;RIGHT(VLOOKUP(F164,'Data Induk Pegawai'!B:AE,12,FALSE),2)&amp;" Tahun "&amp;MID(VLOOKUP(F164,'Data Induk Pegawai'!B:AE,12,FALSE),5,4))</f>
        <v/>
      </c>
      <c r="S164" s="26" t="str">
        <f>IF(G164="","",VLOOKUP(F164,'Data Induk Pegawai'!B:AE,11,FALSE))</f>
        <v/>
      </c>
      <c r="T164" s="56"/>
      <c r="U164" s="18" t="str">
        <f t="shared" si="48"/>
        <v/>
      </c>
      <c r="V164" s="30"/>
      <c r="W164" s="18" t="str">
        <f t="shared" si="49"/>
        <v/>
      </c>
      <c r="X164" s="16"/>
      <c r="Y164" t="str">
        <f t="shared" si="50"/>
        <v/>
      </c>
      <c r="Z164" t="str">
        <f t="shared" si="51"/>
        <v/>
      </c>
      <c r="AA164" t="str">
        <f t="shared" si="52"/>
        <v/>
      </c>
      <c r="AB164" t="str">
        <f>COUNTIFS(AC164:AC$596,AC164)&amp;AC164</f>
        <v>433</v>
      </c>
      <c r="AC164" t="str">
        <f t="shared" si="69"/>
        <v/>
      </c>
      <c r="AD164" t="str">
        <f>COUNTIFS(AC$2:AC164,AC164)&amp;AC164</f>
        <v>163</v>
      </c>
      <c r="AE164" t="str">
        <f t="shared" si="53"/>
        <v/>
      </c>
      <c r="AF164" t="str">
        <f t="shared" si="70"/>
        <v>..</v>
      </c>
      <c r="AG164" s="28" t="str">
        <f t="shared" si="54"/>
        <v/>
      </c>
      <c r="AH164" s="28" t="str">
        <f t="shared" si="55"/>
        <v/>
      </c>
      <c r="AI164" t="str">
        <f t="shared" si="56"/>
        <v/>
      </c>
      <c r="AJ164" t="str">
        <f t="shared" si="57"/>
        <v/>
      </c>
      <c r="AK164" t="str">
        <f t="shared" si="58"/>
        <v/>
      </c>
      <c r="AL164" t="str">
        <f t="shared" si="59"/>
        <v/>
      </c>
      <c r="AM164" t="str">
        <f t="shared" si="60"/>
        <v/>
      </c>
      <c r="AN164" t="str">
        <f t="shared" si="61"/>
        <v/>
      </c>
      <c r="AO164" t="str">
        <f t="shared" si="62"/>
        <v/>
      </c>
      <c r="AP164" t="str">
        <f t="shared" si="63"/>
        <v/>
      </c>
      <c r="AQ164" t="str">
        <f t="shared" si="64"/>
        <v/>
      </c>
      <c r="AR164" t="str">
        <f t="shared" si="65"/>
        <v/>
      </c>
      <c r="AS164" t="str">
        <f t="shared" si="66"/>
        <v/>
      </c>
      <c r="AT164" t="str">
        <f t="shared" si="67"/>
        <v/>
      </c>
      <c r="AU164" s="25" t="str">
        <f t="shared" si="71"/>
        <v/>
      </c>
      <c r="BA164">
        <f>'REGISTER SK'!F167</f>
        <v>0</v>
      </c>
    </row>
    <row r="165" spans="1:53" x14ac:dyDescent="0.35">
      <c r="A165" s="18">
        <v>164</v>
      </c>
      <c r="B165" s="36" t="s">
        <v>379</v>
      </c>
      <c r="C165" s="18" t="str">
        <f>IF(G165="","",IF(G165="Umum",G165,VLOOKUP(F165,'Data Induk Pegawai'!B:AE,4,FALSE)))</f>
        <v/>
      </c>
      <c r="D165" s="19" t="str">
        <f>IF('REGISTER SK'!A168="","",IF('REGISTER SK'!B168=0,D164,'REGISTER SK'!B168))</f>
        <v/>
      </c>
      <c r="E165" s="19" t="str">
        <f t="shared" si="68"/>
        <v/>
      </c>
      <c r="F165" s="29"/>
      <c r="G165" s="29"/>
      <c r="H165" s="31" t="str">
        <f>IF(F165="","",VLOOKUP(F165,'Data Induk Pegawai'!B:U,2,FALSE))</f>
        <v/>
      </c>
      <c r="I165" s="19" t="str">
        <f>IF('REGISTER SK'!C168="","",'REGISTER SK'!C168)</f>
        <v/>
      </c>
      <c r="J165" s="125"/>
      <c r="K165" s="125"/>
      <c r="L165" s="26" t="str">
        <f>IF('REGISTER SK'!D168="","",'REGISTER SK'!D168)</f>
        <v/>
      </c>
      <c r="M165" s="26" t="str">
        <f>IF('REGISTER SK'!E168="","",'REGISTER SK'!E168)</f>
        <v/>
      </c>
      <c r="N165" s="31" t="str">
        <f>IF(G165="","",IF(OR(G165="GTT",G165="PTT"),"--",VLOOKUP(F165,'Data Induk Pegawai'!B:AE,4,FALSE)))</f>
        <v/>
      </c>
      <c r="O165" s="18" t="s">
        <v>267</v>
      </c>
      <c r="P165" s="31" t="str">
        <f>IF(G165="","",VLOOKUP(F165,'Data Induk Pegawai'!B:AE,7,FALSE))</f>
        <v/>
      </c>
      <c r="Q165" s="30"/>
      <c r="R165" s="26" t="str">
        <f>IF(G165="","","Nomor "&amp;RIGHT(VLOOKUP(F165,'Data Induk Pegawai'!B:AE,12,FALSE),2)&amp;" Tahun "&amp;MID(VLOOKUP(F165,'Data Induk Pegawai'!B:AE,12,FALSE),5,4))</f>
        <v/>
      </c>
      <c r="S165" s="26" t="str">
        <f>IF(G165="","",VLOOKUP(F165,'Data Induk Pegawai'!B:AE,11,FALSE))</f>
        <v/>
      </c>
      <c r="T165" s="56"/>
      <c r="U165" s="18" t="str">
        <f t="shared" si="48"/>
        <v/>
      </c>
      <c r="V165" s="30"/>
      <c r="W165" s="18" t="str">
        <f t="shared" si="49"/>
        <v/>
      </c>
      <c r="X165" s="16"/>
      <c r="Y165" t="str">
        <f t="shared" si="50"/>
        <v/>
      </c>
      <c r="Z165" t="str">
        <f t="shared" si="51"/>
        <v/>
      </c>
      <c r="AA165" t="str">
        <f t="shared" si="52"/>
        <v/>
      </c>
      <c r="AB165" t="str">
        <f>COUNTIFS(AC165:AC$596,AC165)&amp;AC165</f>
        <v>432</v>
      </c>
      <c r="AC165" t="str">
        <f t="shared" si="69"/>
        <v/>
      </c>
      <c r="AD165" t="str">
        <f>COUNTIFS(AC$2:AC165,AC165)&amp;AC165</f>
        <v>164</v>
      </c>
      <c r="AE165" t="str">
        <f t="shared" si="53"/>
        <v/>
      </c>
      <c r="AF165" t="str">
        <f t="shared" si="70"/>
        <v>..</v>
      </c>
      <c r="AG165" s="28" t="str">
        <f t="shared" si="54"/>
        <v/>
      </c>
      <c r="AH165" s="28" t="str">
        <f t="shared" si="55"/>
        <v/>
      </c>
      <c r="AI165" t="str">
        <f t="shared" si="56"/>
        <v/>
      </c>
      <c r="AJ165" t="str">
        <f t="shared" si="57"/>
        <v/>
      </c>
      <c r="AK165" t="str">
        <f t="shared" si="58"/>
        <v/>
      </c>
      <c r="AL165" t="str">
        <f t="shared" si="59"/>
        <v/>
      </c>
      <c r="AM165" t="str">
        <f t="shared" si="60"/>
        <v/>
      </c>
      <c r="AN165" t="str">
        <f t="shared" si="61"/>
        <v/>
      </c>
      <c r="AO165" t="str">
        <f t="shared" si="62"/>
        <v/>
      </c>
      <c r="AP165" t="str">
        <f t="shared" si="63"/>
        <v/>
      </c>
      <c r="AQ165" t="str">
        <f t="shared" si="64"/>
        <v/>
      </c>
      <c r="AR165" t="str">
        <f t="shared" si="65"/>
        <v/>
      </c>
      <c r="AS165" t="str">
        <f t="shared" si="66"/>
        <v/>
      </c>
      <c r="AT165" t="str">
        <f t="shared" si="67"/>
        <v/>
      </c>
      <c r="AU165" s="25" t="str">
        <f t="shared" si="71"/>
        <v/>
      </c>
      <c r="BA165">
        <f>'REGISTER SK'!F168</f>
        <v>0</v>
      </c>
    </row>
    <row r="166" spans="1:53" x14ac:dyDescent="0.35">
      <c r="A166" s="18">
        <v>165</v>
      </c>
      <c r="B166" s="36" t="s">
        <v>379</v>
      </c>
      <c r="C166" s="18" t="str">
        <f>IF(G166="","",IF(G166="Umum",G166,VLOOKUP(F166,'Data Induk Pegawai'!B:AE,4,FALSE)))</f>
        <v/>
      </c>
      <c r="D166" s="19" t="str">
        <f>IF('REGISTER SK'!A169="","",IF('REGISTER SK'!B169=0,D165,'REGISTER SK'!B169))</f>
        <v/>
      </c>
      <c r="E166" s="19" t="str">
        <f t="shared" si="68"/>
        <v/>
      </c>
      <c r="F166" s="29"/>
      <c r="G166" s="29"/>
      <c r="H166" s="31" t="str">
        <f>IF(F166="","",VLOOKUP(F166,'Data Induk Pegawai'!B:U,2,FALSE))</f>
        <v/>
      </c>
      <c r="I166" s="19" t="str">
        <f>IF('REGISTER SK'!C169="","",'REGISTER SK'!C169)</f>
        <v/>
      </c>
      <c r="J166" s="125"/>
      <c r="K166" s="125"/>
      <c r="L166" s="26" t="str">
        <f>IF('REGISTER SK'!D169="","",'REGISTER SK'!D169)</f>
        <v/>
      </c>
      <c r="M166" s="26" t="str">
        <f>IF('REGISTER SK'!E169="","",'REGISTER SK'!E169)</f>
        <v/>
      </c>
      <c r="N166" s="31" t="str">
        <f>IF(G166="","",IF(OR(G166="GTT",G166="PTT"),"--",VLOOKUP(F166,'Data Induk Pegawai'!B:AE,4,FALSE)))</f>
        <v/>
      </c>
      <c r="O166" s="18" t="s">
        <v>271</v>
      </c>
      <c r="P166" s="31" t="str">
        <f>IF(G166="","",VLOOKUP(F166,'Data Induk Pegawai'!B:AE,7,FALSE))</f>
        <v/>
      </c>
      <c r="Q166" s="30"/>
      <c r="R166" s="26" t="str">
        <f>IF(G166="","","Nomor "&amp;RIGHT(VLOOKUP(F166,'Data Induk Pegawai'!B:AE,12,FALSE),2)&amp;" Tahun "&amp;MID(VLOOKUP(F166,'Data Induk Pegawai'!B:AE,12,FALSE),5,4))</f>
        <v/>
      </c>
      <c r="S166" s="26" t="str">
        <f>IF(G166="","",VLOOKUP(F166,'Data Induk Pegawai'!B:AE,11,FALSE))</f>
        <v/>
      </c>
      <c r="T166" s="56"/>
      <c r="U166" s="18" t="str">
        <f t="shared" si="48"/>
        <v/>
      </c>
      <c r="V166" s="30"/>
      <c r="W166" s="18" t="str">
        <f t="shared" si="49"/>
        <v/>
      </c>
      <c r="X166" s="16"/>
      <c r="Y166" t="str">
        <f t="shared" si="50"/>
        <v/>
      </c>
      <c r="Z166" t="str">
        <f t="shared" si="51"/>
        <v/>
      </c>
      <c r="AA166" t="str">
        <f t="shared" si="52"/>
        <v/>
      </c>
      <c r="AB166" t="str">
        <f>COUNTIFS(AC166:AC$596,AC166)&amp;AC166</f>
        <v>431</v>
      </c>
      <c r="AC166" t="str">
        <f t="shared" si="69"/>
        <v/>
      </c>
      <c r="AD166" t="str">
        <f>COUNTIFS(AC$2:AC166,AC166)&amp;AC166</f>
        <v>165</v>
      </c>
      <c r="AE166" t="str">
        <f t="shared" si="53"/>
        <v/>
      </c>
      <c r="AF166" t="str">
        <f t="shared" si="70"/>
        <v>..</v>
      </c>
      <c r="AG166" s="28" t="str">
        <f t="shared" si="54"/>
        <v/>
      </c>
      <c r="AH166" s="28" t="str">
        <f t="shared" si="55"/>
        <v/>
      </c>
      <c r="AI166" t="str">
        <f t="shared" si="56"/>
        <v/>
      </c>
      <c r="AJ166" t="str">
        <f t="shared" si="57"/>
        <v/>
      </c>
      <c r="AK166" t="str">
        <f t="shared" si="58"/>
        <v/>
      </c>
      <c r="AL166" t="str">
        <f t="shared" si="59"/>
        <v/>
      </c>
      <c r="AM166" t="str">
        <f t="shared" si="60"/>
        <v/>
      </c>
      <c r="AN166" t="str">
        <f t="shared" si="61"/>
        <v/>
      </c>
      <c r="AO166" t="str">
        <f t="shared" si="62"/>
        <v/>
      </c>
      <c r="AP166" t="str">
        <f t="shared" si="63"/>
        <v/>
      </c>
      <c r="AQ166" t="str">
        <f t="shared" si="64"/>
        <v/>
      </c>
      <c r="AR166" t="str">
        <f t="shared" si="65"/>
        <v/>
      </c>
      <c r="AS166" t="str">
        <f t="shared" si="66"/>
        <v/>
      </c>
      <c r="AT166" t="str">
        <f t="shared" si="67"/>
        <v/>
      </c>
      <c r="AU166" s="25" t="str">
        <f t="shared" si="71"/>
        <v/>
      </c>
      <c r="BA166">
        <f>'REGISTER SK'!F169</f>
        <v>0</v>
      </c>
    </row>
    <row r="167" spans="1:53" x14ac:dyDescent="0.35">
      <c r="A167" s="18">
        <v>166</v>
      </c>
      <c r="B167" s="36" t="s">
        <v>379</v>
      </c>
      <c r="C167" s="18" t="str">
        <f>IF(G167="","",IF(G167="Umum",G167,VLOOKUP(F167,'Data Induk Pegawai'!B:AE,4,FALSE)))</f>
        <v/>
      </c>
      <c r="D167" s="19" t="str">
        <f>IF('REGISTER SK'!A170="","",IF('REGISTER SK'!B170=0,D166,'REGISTER SK'!B170))</f>
        <v/>
      </c>
      <c r="E167" s="19" t="str">
        <f t="shared" si="68"/>
        <v/>
      </c>
      <c r="F167" s="29"/>
      <c r="G167" s="29"/>
      <c r="H167" s="31" t="str">
        <f>IF(F167="","",VLOOKUP(F167,'Data Induk Pegawai'!B:U,2,FALSE))</f>
        <v/>
      </c>
      <c r="I167" s="19" t="str">
        <f>IF('REGISTER SK'!C170="","",'REGISTER SK'!C170)</f>
        <v/>
      </c>
      <c r="J167" s="125"/>
      <c r="K167" s="125"/>
      <c r="L167" s="26" t="str">
        <f>IF('REGISTER SK'!D170="","",'REGISTER SK'!D170)</f>
        <v/>
      </c>
      <c r="M167" s="26" t="str">
        <f>IF('REGISTER SK'!E170="","",'REGISTER SK'!E170)</f>
        <v/>
      </c>
      <c r="N167" s="31" t="str">
        <f>IF(G167="","",IF(OR(G167="GTT",G167="PTT"),"--",VLOOKUP(F167,'Data Induk Pegawai'!B:AE,4,FALSE)))</f>
        <v/>
      </c>
      <c r="O167" s="18" t="s">
        <v>273</v>
      </c>
      <c r="P167" s="31" t="str">
        <f>IF(G167="","",VLOOKUP(F167,'Data Induk Pegawai'!B:AE,7,FALSE))</f>
        <v/>
      </c>
      <c r="Q167" s="30"/>
      <c r="R167" s="26" t="str">
        <f>IF(G167="","","Nomor "&amp;RIGHT(VLOOKUP(F167,'Data Induk Pegawai'!B:AE,12,FALSE),2)&amp;" Tahun "&amp;MID(VLOOKUP(F167,'Data Induk Pegawai'!B:AE,12,FALSE),5,4))</f>
        <v/>
      </c>
      <c r="S167" s="26" t="str">
        <f>IF(G167="","",VLOOKUP(F167,'Data Induk Pegawai'!B:AE,11,FALSE))</f>
        <v/>
      </c>
      <c r="T167" s="56"/>
      <c r="U167" s="18" t="str">
        <f t="shared" si="48"/>
        <v/>
      </c>
      <c r="V167" s="30"/>
      <c r="W167" s="18" t="str">
        <f t="shared" si="49"/>
        <v/>
      </c>
      <c r="X167" s="16"/>
      <c r="Y167" t="str">
        <f t="shared" si="50"/>
        <v/>
      </c>
      <c r="Z167" t="str">
        <f t="shared" si="51"/>
        <v/>
      </c>
      <c r="AA167" t="str">
        <f t="shared" si="52"/>
        <v/>
      </c>
      <c r="AB167" t="str">
        <f>COUNTIFS(AC167:AC$596,AC167)&amp;AC167</f>
        <v>430</v>
      </c>
      <c r="AC167" t="str">
        <f t="shared" si="69"/>
        <v/>
      </c>
      <c r="AD167" t="str">
        <f>COUNTIFS(AC$2:AC167,AC167)&amp;AC167</f>
        <v>166</v>
      </c>
      <c r="AE167" t="str">
        <f t="shared" si="53"/>
        <v/>
      </c>
      <c r="AF167" t="str">
        <f t="shared" si="70"/>
        <v>..</v>
      </c>
      <c r="AG167" s="28" t="str">
        <f t="shared" si="54"/>
        <v/>
      </c>
      <c r="AH167" s="28" t="str">
        <f t="shared" si="55"/>
        <v/>
      </c>
      <c r="AI167" t="str">
        <f t="shared" si="56"/>
        <v/>
      </c>
      <c r="AJ167" t="str">
        <f t="shared" si="57"/>
        <v/>
      </c>
      <c r="AK167" t="str">
        <f t="shared" si="58"/>
        <v/>
      </c>
      <c r="AL167" t="str">
        <f t="shared" si="59"/>
        <v/>
      </c>
      <c r="AM167" t="str">
        <f t="shared" si="60"/>
        <v/>
      </c>
      <c r="AN167" t="str">
        <f t="shared" si="61"/>
        <v/>
      </c>
      <c r="AO167" t="str">
        <f t="shared" si="62"/>
        <v/>
      </c>
      <c r="AP167" t="str">
        <f t="shared" si="63"/>
        <v/>
      </c>
      <c r="AQ167" t="str">
        <f t="shared" si="64"/>
        <v/>
      </c>
      <c r="AR167" t="str">
        <f t="shared" si="65"/>
        <v/>
      </c>
      <c r="AS167" t="str">
        <f t="shared" si="66"/>
        <v/>
      </c>
      <c r="AT167" t="str">
        <f t="shared" si="67"/>
        <v/>
      </c>
      <c r="AU167" s="25" t="str">
        <f t="shared" si="71"/>
        <v/>
      </c>
      <c r="BA167">
        <f>'REGISTER SK'!F170</f>
        <v>0</v>
      </c>
    </row>
    <row r="168" spans="1:53" x14ac:dyDescent="0.35">
      <c r="A168" s="18">
        <v>167</v>
      </c>
      <c r="B168" s="36" t="s">
        <v>379</v>
      </c>
      <c r="C168" s="18" t="str">
        <f>IF(G168="","",IF(G168="Umum",G168,VLOOKUP(F168,'Data Induk Pegawai'!B:AE,4,FALSE)))</f>
        <v/>
      </c>
      <c r="D168" s="19" t="str">
        <f>IF('REGISTER SK'!A171="","",IF('REGISTER SK'!B171=0,D167,'REGISTER SK'!B171))</f>
        <v/>
      </c>
      <c r="E168" s="19" t="str">
        <f t="shared" si="68"/>
        <v/>
      </c>
      <c r="F168" s="29"/>
      <c r="G168" s="29"/>
      <c r="H168" s="31" t="str">
        <f>IF(F168="","",VLOOKUP(F168,'Data Induk Pegawai'!B:U,2,FALSE))</f>
        <v/>
      </c>
      <c r="I168" s="19" t="str">
        <f>IF('REGISTER SK'!C171="","",'REGISTER SK'!C171)</f>
        <v/>
      </c>
      <c r="J168" s="125"/>
      <c r="K168" s="125"/>
      <c r="L168" s="26" t="str">
        <f>IF('REGISTER SK'!D171="","",'REGISTER SK'!D171)</f>
        <v/>
      </c>
      <c r="M168" s="26" t="str">
        <f>IF('REGISTER SK'!E171="","",'REGISTER SK'!E171)</f>
        <v/>
      </c>
      <c r="N168" s="31" t="str">
        <f>IF(G168="","",IF(OR(G168="GTT",G168="PTT"),"--",VLOOKUP(F168,'Data Induk Pegawai'!B:AE,4,FALSE)))</f>
        <v/>
      </c>
      <c r="O168" s="18" t="s">
        <v>275</v>
      </c>
      <c r="P168" s="31" t="str">
        <f>IF(G168="","",VLOOKUP(F168,'Data Induk Pegawai'!B:AE,7,FALSE))</f>
        <v/>
      </c>
      <c r="Q168" s="30"/>
      <c r="R168" s="26" t="str">
        <f>IF(G168="","","Nomor "&amp;RIGHT(VLOOKUP(F168,'Data Induk Pegawai'!B:AE,12,FALSE),2)&amp;" Tahun "&amp;MID(VLOOKUP(F168,'Data Induk Pegawai'!B:AE,12,FALSE),5,4))</f>
        <v/>
      </c>
      <c r="S168" s="26" t="str">
        <f>IF(G168="","",VLOOKUP(F168,'Data Induk Pegawai'!B:AE,11,FALSE))</f>
        <v/>
      </c>
      <c r="T168" s="56"/>
      <c r="U168" s="18" t="str">
        <f t="shared" si="48"/>
        <v/>
      </c>
      <c r="V168" s="30"/>
      <c r="W168" s="18" t="str">
        <f t="shared" si="49"/>
        <v/>
      </c>
      <c r="X168" s="16"/>
      <c r="Y168" t="str">
        <f t="shared" si="50"/>
        <v/>
      </c>
      <c r="Z168" t="str">
        <f t="shared" si="51"/>
        <v/>
      </c>
      <c r="AA168" t="str">
        <f t="shared" si="52"/>
        <v/>
      </c>
      <c r="AB168" t="str">
        <f>COUNTIFS(AC168:AC$596,AC168)&amp;AC168</f>
        <v>429</v>
      </c>
      <c r="AC168" t="str">
        <f t="shared" si="69"/>
        <v/>
      </c>
      <c r="AD168" t="str">
        <f>COUNTIFS(AC$2:AC168,AC168)&amp;AC168</f>
        <v>167</v>
      </c>
      <c r="AE168" t="str">
        <f t="shared" si="53"/>
        <v/>
      </c>
      <c r="AF168" t="str">
        <f t="shared" si="70"/>
        <v>..</v>
      </c>
      <c r="AG168" s="28" t="str">
        <f t="shared" si="54"/>
        <v/>
      </c>
      <c r="AH168" s="28" t="str">
        <f t="shared" si="55"/>
        <v/>
      </c>
      <c r="AI168" t="str">
        <f t="shared" si="56"/>
        <v/>
      </c>
      <c r="AJ168" t="str">
        <f t="shared" si="57"/>
        <v/>
      </c>
      <c r="AK168" t="str">
        <f t="shared" si="58"/>
        <v/>
      </c>
      <c r="AL168" t="str">
        <f t="shared" si="59"/>
        <v/>
      </c>
      <c r="AM168" t="str">
        <f t="shared" si="60"/>
        <v/>
      </c>
      <c r="AN168" t="str">
        <f t="shared" si="61"/>
        <v/>
      </c>
      <c r="AO168" t="str">
        <f t="shared" si="62"/>
        <v/>
      </c>
      <c r="AP168" t="str">
        <f t="shared" si="63"/>
        <v/>
      </c>
      <c r="AQ168" t="str">
        <f t="shared" si="64"/>
        <v/>
      </c>
      <c r="AR168" t="str">
        <f t="shared" si="65"/>
        <v/>
      </c>
      <c r="AS168" t="str">
        <f t="shared" si="66"/>
        <v/>
      </c>
      <c r="AT168" t="str">
        <f t="shared" si="67"/>
        <v/>
      </c>
      <c r="AU168" s="25" t="str">
        <f t="shared" si="71"/>
        <v/>
      </c>
      <c r="BA168">
        <f>'REGISTER SK'!F171</f>
        <v>0</v>
      </c>
    </row>
    <row r="169" spans="1:53" x14ac:dyDescent="0.35">
      <c r="A169" s="18">
        <v>168</v>
      </c>
      <c r="B169" s="36" t="s">
        <v>379</v>
      </c>
      <c r="C169" s="18" t="str">
        <f>IF(G169="","",IF(G169="Umum",G169,VLOOKUP(F169,'Data Induk Pegawai'!B:AE,4,FALSE)))</f>
        <v/>
      </c>
      <c r="D169" s="19" t="str">
        <f>IF('REGISTER SK'!A172="","",IF('REGISTER SK'!B172=0,D168,'REGISTER SK'!B172))</f>
        <v/>
      </c>
      <c r="E169" s="19" t="str">
        <f t="shared" si="68"/>
        <v/>
      </c>
      <c r="F169" s="29"/>
      <c r="G169" s="29"/>
      <c r="H169" s="31" t="str">
        <f>IF(F169="","",VLOOKUP(F169,'Data Induk Pegawai'!B:U,2,FALSE))</f>
        <v/>
      </c>
      <c r="I169" s="19" t="str">
        <f>IF('REGISTER SK'!C172="","",'REGISTER SK'!C172)</f>
        <v/>
      </c>
      <c r="J169" s="125"/>
      <c r="K169" s="125"/>
      <c r="L169" s="26" t="str">
        <f>IF('REGISTER SK'!D172="","",'REGISTER SK'!D172)</f>
        <v/>
      </c>
      <c r="M169" s="26" t="str">
        <f>IF('REGISTER SK'!E172="","",'REGISTER SK'!E172)</f>
        <v/>
      </c>
      <c r="N169" s="31" t="str">
        <f>IF(G169="","",IF(OR(G169="GTT",G169="PTT"),"--",VLOOKUP(F169,'Data Induk Pegawai'!B:AE,4,FALSE)))</f>
        <v/>
      </c>
      <c r="O169" s="18" t="s">
        <v>500</v>
      </c>
      <c r="P169" s="31" t="str">
        <f>IF(G169="","",VLOOKUP(F169,'Data Induk Pegawai'!B:AE,7,FALSE))</f>
        <v/>
      </c>
      <c r="Q169" s="30"/>
      <c r="R169" s="26" t="str">
        <f>IF(G169="","","Nomor "&amp;RIGHT(VLOOKUP(F169,'Data Induk Pegawai'!B:AE,12,FALSE),2)&amp;" Tahun "&amp;MID(VLOOKUP(F169,'Data Induk Pegawai'!B:AE,12,FALSE),5,4))</f>
        <v/>
      </c>
      <c r="S169" s="26" t="str">
        <f>IF(G169="","",VLOOKUP(F169,'Data Induk Pegawai'!B:AE,11,FALSE))</f>
        <v/>
      </c>
      <c r="T169" s="56"/>
      <c r="U169" s="18" t="str">
        <f t="shared" si="48"/>
        <v/>
      </c>
      <c r="V169" s="30"/>
      <c r="W169" s="18" t="str">
        <f t="shared" si="49"/>
        <v/>
      </c>
      <c r="X169" s="16"/>
      <c r="Y169" t="str">
        <f t="shared" si="50"/>
        <v/>
      </c>
      <c r="Z169" t="str">
        <f t="shared" si="51"/>
        <v/>
      </c>
      <c r="AA169" t="str">
        <f t="shared" si="52"/>
        <v/>
      </c>
      <c r="AB169" t="str">
        <f>COUNTIFS(AC169:AC$596,AC169)&amp;AC169</f>
        <v>428</v>
      </c>
      <c r="AC169" t="str">
        <f t="shared" si="69"/>
        <v/>
      </c>
      <c r="AD169" t="str">
        <f>COUNTIFS(AC$2:AC169,AC169)&amp;AC169</f>
        <v>168</v>
      </c>
      <c r="AE169" t="str">
        <f t="shared" si="53"/>
        <v/>
      </c>
      <c r="AF169" t="str">
        <f t="shared" si="70"/>
        <v>..</v>
      </c>
      <c r="AG169" s="28" t="str">
        <f t="shared" si="54"/>
        <v/>
      </c>
      <c r="AH169" s="28" t="str">
        <f t="shared" si="55"/>
        <v/>
      </c>
      <c r="AI169" t="str">
        <f t="shared" si="56"/>
        <v/>
      </c>
      <c r="AJ169" t="str">
        <f t="shared" si="57"/>
        <v/>
      </c>
      <c r="AK169" t="str">
        <f t="shared" si="58"/>
        <v/>
      </c>
      <c r="AL169" t="str">
        <f t="shared" si="59"/>
        <v/>
      </c>
      <c r="AM169" t="str">
        <f t="shared" si="60"/>
        <v/>
      </c>
      <c r="AN169" t="str">
        <f t="shared" si="61"/>
        <v/>
      </c>
      <c r="AO169" t="str">
        <f t="shared" si="62"/>
        <v/>
      </c>
      <c r="AP169" t="str">
        <f t="shared" si="63"/>
        <v/>
      </c>
      <c r="AQ169" t="str">
        <f t="shared" si="64"/>
        <v/>
      </c>
      <c r="AR169" t="str">
        <f t="shared" si="65"/>
        <v/>
      </c>
      <c r="AS169" t="str">
        <f t="shared" si="66"/>
        <v/>
      </c>
      <c r="AT169" t="str">
        <f t="shared" si="67"/>
        <v/>
      </c>
      <c r="AU169" s="25" t="str">
        <f t="shared" si="71"/>
        <v/>
      </c>
      <c r="BA169">
        <f>'REGISTER SK'!F172</f>
        <v>0</v>
      </c>
    </row>
    <row r="170" spans="1:53" x14ac:dyDescent="0.35">
      <c r="A170" s="18">
        <v>169</v>
      </c>
      <c r="B170" s="36" t="s">
        <v>379</v>
      </c>
      <c r="C170" s="18" t="str">
        <f>IF(G170="","",IF(G170="Umum",G170,VLOOKUP(F170,'Data Induk Pegawai'!B:AE,4,FALSE)))</f>
        <v/>
      </c>
      <c r="D170" s="19" t="str">
        <f>IF('REGISTER SK'!A173="","",IF('REGISTER SK'!B173=0,D169,'REGISTER SK'!B173))</f>
        <v/>
      </c>
      <c r="E170" s="19" t="str">
        <f t="shared" si="68"/>
        <v/>
      </c>
      <c r="F170" s="29"/>
      <c r="G170" s="29"/>
      <c r="H170" s="31" t="str">
        <f>IF(F170="","",VLOOKUP(F170,'Data Induk Pegawai'!B:U,2,FALSE))</f>
        <v/>
      </c>
      <c r="I170" s="19" t="str">
        <f>IF('REGISTER SK'!C173="","",'REGISTER SK'!C173)</f>
        <v/>
      </c>
      <c r="J170" s="125"/>
      <c r="K170" s="125"/>
      <c r="L170" s="26" t="str">
        <f>IF('REGISTER SK'!D173="","",'REGISTER SK'!D173)</f>
        <v/>
      </c>
      <c r="M170" s="26" t="str">
        <f>IF('REGISTER SK'!E173="","",'REGISTER SK'!E173)</f>
        <v/>
      </c>
      <c r="N170" s="31" t="str">
        <f>IF(G170="","",IF(OR(G170="GTT",G170="PTT"),"--",VLOOKUP(F170,'Data Induk Pegawai'!B:AE,4,FALSE)))</f>
        <v/>
      </c>
      <c r="O170" s="18" t="s">
        <v>277</v>
      </c>
      <c r="P170" s="31" t="str">
        <f>IF(G170="","",VLOOKUP(F170,'Data Induk Pegawai'!B:AE,7,FALSE))</f>
        <v/>
      </c>
      <c r="Q170" s="30"/>
      <c r="R170" s="26" t="str">
        <f>IF(G170="","","Nomor "&amp;RIGHT(VLOOKUP(F170,'Data Induk Pegawai'!B:AE,12,FALSE),2)&amp;" Tahun "&amp;MID(VLOOKUP(F170,'Data Induk Pegawai'!B:AE,12,FALSE),5,4))</f>
        <v/>
      </c>
      <c r="S170" s="26" t="str">
        <f>IF(G170="","",VLOOKUP(F170,'Data Induk Pegawai'!B:AE,11,FALSE))</f>
        <v/>
      </c>
      <c r="T170" s="56"/>
      <c r="U170" s="18" t="str">
        <f t="shared" si="48"/>
        <v/>
      </c>
      <c r="V170" s="30"/>
      <c r="W170" s="18" t="str">
        <f t="shared" si="49"/>
        <v/>
      </c>
      <c r="X170" s="16"/>
      <c r="Y170" t="str">
        <f t="shared" si="50"/>
        <v/>
      </c>
      <c r="Z170" t="str">
        <f t="shared" si="51"/>
        <v/>
      </c>
      <c r="AA170" t="str">
        <f t="shared" si="52"/>
        <v/>
      </c>
      <c r="AB170" t="str">
        <f>COUNTIFS(AC170:AC$596,AC170)&amp;AC170</f>
        <v>427</v>
      </c>
      <c r="AC170" t="str">
        <f t="shared" si="69"/>
        <v/>
      </c>
      <c r="AD170" t="str">
        <f>COUNTIFS(AC$2:AC170,AC170)&amp;AC170</f>
        <v>169</v>
      </c>
      <c r="AE170" t="str">
        <f t="shared" si="53"/>
        <v/>
      </c>
      <c r="AF170" t="str">
        <f t="shared" si="70"/>
        <v>..</v>
      </c>
      <c r="AG170" s="28" t="str">
        <f t="shared" si="54"/>
        <v/>
      </c>
      <c r="AH170" s="28" t="str">
        <f t="shared" si="55"/>
        <v/>
      </c>
      <c r="AI170" t="str">
        <f t="shared" si="56"/>
        <v/>
      </c>
      <c r="AJ170" t="str">
        <f t="shared" si="57"/>
        <v/>
      </c>
      <c r="AK170" t="str">
        <f t="shared" si="58"/>
        <v/>
      </c>
      <c r="AL170" t="str">
        <f t="shared" si="59"/>
        <v/>
      </c>
      <c r="AM170" t="str">
        <f t="shared" si="60"/>
        <v/>
      </c>
      <c r="AN170" t="str">
        <f t="shared" si="61"/>
        <v/>
      </c>
      <c r="AO170" t="str">
        <f t="shared" si="62"/>
        <v/>
      </c>
      <c r="AP170" t="str">
        <f t="shared" si="63"/>
        <v/>
      </c>
      <c r="AQ170" t="str">
        <f t="shared" si="64"/>
        <v/>
      </c>
      <c r="AR170" t="str">
        <f t="shared" si="65"/>
        <v/>
      </c>
      <c r="AS170" t="str">
        <f t="shared" si="66"/>
        <v/>
      </c>
      <c r="AT170" t="str">
        <f t="shared" si="67"/>
        <v/>
      </c>
      <c r="AU170" s="25" t="str">
        <f t="shared" si="71"/>
        <v/>
      </c>
      <c r="BA170">
        <f>'REGISTER SK'!F173</f>
        <v>0</v>
      </c>
    </row>
    <row r="171" spans="1:53" x14ac:dyDescent="0.35">
      <c r="A171" s="18">
        <v>170</v>
      </c>
      <c r="B171" s="36" t="s">
        <v>379</v>
      </c>
      <c r="C171" s="18" t="str">
        <f>IF(G171="","",IF(G171="Umum",G171,VLOOKUP(F171,'Data Induk Pegawai'!B:AE,4,FALSE)))</f>
        <v/>
      </c>
      <c r="D171" s="19" t="str">
        <f>IF('REGISTER SK'!A174="","",IF('REGISTER SK'!B174=0,D170,'REGISTER SK'!B174))</f>
        <v/>
      </c>
      <c r="E171" s="19" t="str">
        <f t="shared" si="68"/>
        <v/>
      </c>
      <c r="F171" s="29"/>
      <c r="G171" s="29"/>
      <c r="H171" s="31" t="str">
        <f>IF(F171="","",VLOOKUP(F171,'Data Induk Pegawai'!B:U,2,FALSE))</f>
        <v/>
      </c>
      <c r="I171" s="19" t="str">
        <f>IF('REGISTER SK'!C174="","",'REGISTER SK'!C174)</f>
        <v/>
      </c>
      <c r="J171" s="125"/>
      <c r="K171" s="125"/>
      <c r="L171" s="26" t="str">
        <f>IF('REGISTER SK'!D174="","",'REGISTER SK'!D174)</f>
        <v/>
      </c>
      <c r="M171" s="26" t="str">
        <f>IF('REGISTER SK'!E174="","",'REGISTER SK'!E174)</f>
        <v/>
      </c>
      <c r="N171" s="31" t="str">
        <f>IF(G171="","",IF(OR(G171="GTT",G171="PTT"),"--",VLOOKUP(F171,'Data Induk Pegawai'!B:AE,4,FALSE)))</f>
        <v/>
      </c>
      <c r="O171" s="18" t="s">
        <v>284</v>
      </c>
      <c r="P171" s="31" t="str">
        <f>IF(G171="","",VLOOKUP(F171,'Data Induk Pegawai'!B:AE,7,FALSE))</f>
        <v/>
      </c>
      <c r="Q171" s="30"/>
      <c r="R171" s="26" t="str">
        <f>IF(G171="","","Nomor "&amp;RIGHT(VLOOKUP(F171,'Data Induk Pegawai'!B:AE,12,FALSE),2)&amp;" Tahun "&amp;MID(VLOOKUP(F171,'Data Induk Pegawai'!B:AE,12,FALSE),5,4))</f>
        <v/>
      </c>
      <c r="S171" s="26" t="str">
        <f>IF(G171="","",VLOOKUP(F171,'Data Induk Pegawai'!B:AE,11,FALSE))</f>
        <v/>
      </c>
      <c r="T171" s="56"/>
      <c r="U171" s="18" t="str">
        <f t="shared" si="48"/>
        <v/>
      </c>
      <c r="V171" s="30"/>
      <c r="W171" s="18" t="str">
        <f t="shared" si="49"/>
        <v/>
      </c>
      <c r="X171" s="16"/>
      <c r="Y171" t="str">
        <f t="shared" si="50"/>
        <v/>
      </c>
      <c r="Z171" t="str">
        <f t="shared" si="51"/>
        <v/>
      </c>
      <c r="AA171" t="str">
        <f t="shared" si="52"/>
        <v/>
      </c>
      <c r="AB171" t="str">
        <f>COUNTIFS(AC171:AC$596,AC171)&amp;AC171</f>
        <v>426</v>
      </c>
      <c r="AC171" t="str">
        <f t="shared" si="69"/>
        <v/>
      </c>
      <c r="AD171" t="str">
        <f>COUNTIFS(AC$2:AC171,AC171)&amp;AC171</f>
        <v>170</v>
      </c>
      <c r="AE171" t="str">
        <f t="shared" si="53"/>
        <v/>
      </c>
      <c r="AF171" t="str">
        <f t="shared" si="70"/>
        <v>..</v>
      </c>
      <c r="AG171" s="28" t="str">
        <f t="shared" si="54"/>
        <v/>
      </c>
      <c r="AH171" s="28" t="str">
        <f t="shared" si="55"/>
        <v/>
      </c>
      <c r="AI171" t="str">
        <f t="shared" si="56"/>
        <v/>
      </c>
      <c r="AJ171" t="str">
        <f t="shared" si="57"/>
        <v/>
      </c>
      <c r="AK171" t="str">
        <f t="shared" si="58"/>
        <v/>
      </c>
      <c r="AL171" t="str">
        <f t="shared" si="59"/>
        <v/>
      </c>
      <c r="AM171" t="str">
        <f t="shared" si="60"/>
        <v/>
      </c>
      <c r="AN171" t="str">
        <f t="shared" si="61"/>
        <v/>
      </c>
      <c r="AO171" t="str">
        <f t="shared" si="62"/>
        <v/>
      </c>
      <c r="AP171" t="str">
        <f t="shared" si="63"/>
        <v/>
      </c>
      <c r="AQ171" t="str">
        <f t="shared" si="64"/>
        <v/>
      </c>
      <c r="AR171" t="str">
        <f t="shared" si="65"/>
        <v/>
      </c>
      <c r="AS171" t="str">
        <f t="shared" si="66"/>
        <v/>
      </c>
      <c r="AT171" t="str">
        <f t="shared" si="67"/>
        <v/>
      </c>
      <c r="AU171" s="25" t="str">
        <f t="shared" si="71"/>
        <v/>
      </c>
      <c r="BA171">
        <f>'REGISTER SK'!F174</f>
        <v>0</v>
      </c>
    </row>
    <row r="172" spans="1:53" x14ac:dyDescent="0.35">
      <c r="A172" s="18">
        <v>171</v>
      </c>
      <c r="B172" s="36" t="s">
        <v>379</v>
      </c>
      <c r="C172" s="18" t="str">
        <f>IF(G172="","",IF(G172="Umum",G172,VLOOKUP(F172,'Data Induk Pegawai'!B:AE,4,FALSE)))</f>
        <v/>
      </c>
      <c r="D172" s="19" t="str">
        <f>IF('REGISTER SK'!A175="","",IF('REGISTER SK'!B175=0,D171,'REGISTER SK'!B175))</f>
        <v/>
      </c>
      <c r="E172" s="19" t="str">
        <f t="shared" si="68"/>
        <v/>
      </c>
      <c r="F172" s="29"/>
      <c r="G172" s="29"/>
      <c r="H172" s="31" t="str">
        <f>IF(F172="","",VLOOKUP(F172,'Data Induk Pegawai'!B:U,2,FALSE))</f>
        <v/>
      </c>
      <c r="I172" s="19" t="str">
        <f>IF('REGISTER SK'!C175="","",'REGISTER SK'!C175)</f>
        <v/>
      </c>
      <c r="J172" s="125"/>
      <c r="K172" s="125"/>
      <c r="L172" s="26" t="str">
        <f>IF('REGISTER SK'!D175="","",'REGISTER SK'!D175)</f>
        <v/>
      </c>
      <c r="M172" s="26" t="str">
        <f>IF('REGISTER SK'!E175="","",'REGISTER SK'!E175)</f>
        <v/>
      </c>
      <c r="N172" s="31" t="str">
        <f>IF(G172="","",IF(OR(G172="GTT",G172="PTT"),"--",VLOOKUP(F172,'Data Induk Pegawai'!B:AE,4,FALSE)))</f>
        <v/>
      </c>
      <c r="O172" s="18" t="s">
        <v>285</v>
      </c>
      <c r="P172" s="31" t="str">
        <f>IF(G172="","",VLOOKUP(F172,'Data Induk Pegawai'!B:AE,7,FALSE))</f>
        <v/>
      </c>
      <c r="Q172" s="30"/>
      <c r="R172" s="26" t="str">
        <f>IF(G172="","","Nomor "&amp;RIGHT(VLOOKUP(F172,'Data Induk Pegawai'!B:AE,12,FALSE),2)&amp;" Tahun "&amp;MID(VLOOKUP(F172,'Data Induk Pegawai'!B:AE,12,FALSE),5,4))</f>
        <v/>
      </c>
      <c r="S172" s="26" t="str">
        <f>IF(G172="","",VLOOKUP(F172,'Data Induk Pegawai'!B:AE,11,FALSE))</f>
        <v/>
      </c>
      <c r="T172" s="56"/>
      <c r="U172" s="18" t="str">
        <f t="shared" si="48"/>
        <v/>
      </c>
      <c r="V172" s="30"/>
      <c r="W172" s="18" t="str">
        <f t="shared" si="49"/>
        <v/>
      </c>
      <c r="X172" s="16"/>
      <c r="Y172" t="str">
        <f t="shared" si="50"/>
        <v/>
      </c>
      <c r="Z172" t="str">
        <f t="shared" si="51"/>
        <v/>
      </c>
      <c r="AA172" t="str">
        <f t="shared" si="52"/>
        <v/>
      </c>
      <c r="AB172" t="str">
        <f>COUNTIFS(AC172:AC$596,AC172)&amp;AC172</f>
        <v>425</v>
      </c>
      <c r="AC172" t="str">
        <f t="shared" si="69"/>
        <v/>
      </c>
      <c r="AD172" t="str">
        <f>COUNTIFS(AC$2:AC172,AC172)&amp;AC172</f>
        <v>171</v>
      </c>
      <c r="AE172" t="str">
        <f t="shared" si="53"/>
        <v/>
      </c>
      <c r="AF172" t="str">
        <f t="shared" si="70"/>
        <v>..</v>
      </c>
      <c r="AG172" s="28" t="str">
        <f t="shared" si="54"/>
        <v/>
      </c>
      <c r="AH172" s="28" t="str">
        <f t="shared" si="55"/>
        <v/>
      </c>
      <c r="AI172" t="str">
        <f t="shared" si="56"/>
        <v/>
      </c>
      <c r="AJ172" t="str">
        <f t="shared" si="57"/>
        <v/>
      </c>
      <c r="AK172" t="str">
        <f t="shared" si="58"/>
        <v/>
      </c>
      <c r="AL172" t="str">
        <f t="shared" si="59"/>
        <v/>
      </c>
      <c r="AM172" t="str">
        <f t="shared" si="60"/>
        <v/>
      </c>
      <c r="AN172" t="str">
        <f t="shared" si="61"/>
        <v/>
      </c>
      <c r="AO172" t="str">
        <f t="shared" si="62"/>
        <v/>
      </c>
      <c r="AP172" t="str">
        <f t="shared" si="63"/>
        <v/>
      </c>
      <c r="AQ172" t="str">
        <f t="shared" si="64"/>
        <v/>
      </c>
      <c r="AR172" t="str">
        <f t="shared" si="65"/>
        <v/>
      </c>
      <c r="AS172" t="str">
        <f t="shared" si="66"/>
        <v/>
      </c>
      <c r="AT172" t="str">
        <f t="shared" si="67"/>
        <v/>
      </c>
      <c r="AU172" s="25" t="str">
        <f t="shared" si="71"/>
        <v/>
      </c>
      <c r="BA172">
        <f>'REGISTER SK'!F175</f>
        <v>0</v>
      </c>
    </row>
    <row r="173" spans="1:53" x14ac:dyDescent="0.35">
      <c r="A173" s="18">
        <v>172</v>
      </c>
      <c r="B173" s="36" t="s">
        <v>379</v>
      </c>
      <c r="C173" s="18" t="str">
        <f>IF(G173="","",IF(G173="Umum",G173,VLOOKUP(F173,'Data Induk Pegawai'!B:AE,4,FALSE)))</f>
        <v/>
      </c>
      <c r="D173" s="19" t="str">
        <f>IF('REGISTER SK'!A176="","",IF('REGISTER SK'!B176=0,D172,'REGISTER SK'!B176))</f>
        <v/>
      </c>
      <c r="E173" s="19" t="str">
        <f t="shared" si="68"/>
        <v/>
      </c>
      <c r="F173" s="29"/>
      <c r="G173" s="29"/>
      <c r="H173" s="31" t="str">
        <f>IF(F173="","",VLOOKUP(F173,'Data Induk Pegawai'!B:U,2,FALSE))</f>
        <v/>
      </c>
      <c r="I173" s="19" t="str">
        <f>IF('REGISTER SK'!C176="","",'REGISTER SK'!C176)</f>
        <v/>
      </c>
      <c r="J173" s="125"/>
      <c r="K173" s="125"/>
      <c r="L173" s="26" t="str">
        <f>IF('REGISTER SK'!D176="","",'REGISTER SK'!D176)</f>
        <v/>
      </c>
      <c r="M173" s="26" t="str">
        <f>IF('REGISTER SK'!E176="","",'REGISTER SK'!E176)</f>
        <v/>
      </c>
      <c r="N173" s="31" t="str">
        <f>IF(G173="","",IF(OR(G173="GTT",G173="PTT"),"--",VLOOKUP(F173,'Data Induk Pegawai'!B:AE,4,FALSE)))</f>
        <v/>
      </c>
      <c r="O173" s="18" t="s">
        <v>286</v>
      </c>
      <c r="P173" s="31" t="str">
        <f>IF(G173="","",VLOOKUP(F173,'Data Induk Pegawai'!B:AE,7,FALSE))</f>
        <v/>
      </c>
      <c r="Q173" s="30"/>
      <c r="R173" s="26" t="str">
        <f>IF(G173="","","Nomor "&amp;RIGHT(VLOOKUP(F173,'Data Induk Pegawai'!B:AE,12,FALSE),2)&amp;" Tahun "&amp;MID(VLOOKUP(F173,'Data Induk Pegawai'!B:AE,12,FALSE),5,4))</f>
        <v/>
      </c>
      <c r="S173" s="26" t="str">
        <f>IF(G173="","",VLOOKUP(F173,'Data Induk Pegawai'!B:AE,11,FALSE))</f>
        <v/>
      </c>
      <c r="T173" s="56"/>
      <c r="U173" s="18" t="str">
        <f t="shared" si="48"/>
        <v/>
      </c>
      <c r="V173" s="30"/>
      <c r="W173" s="18" t="str">
        <f t="shared" si="49"/>
        <v/>
      </c>
      <c r="X173" s="16"/>
      <c r="Y173" t="str">
        <f t="shared" si="50"/>
        <v/>
      </c>
      <c r="Z173" t="str">
        <f t="shared" si="51"/>
        <v/>
      </c>
      <c r="AA173" t="str">
        <f t="shared" si="52"/>
        <v/>
      </c>
      <c r="AB173" t="str">
        <f>COUNTIFS(AC173:AC$596,AC173)&amp;AC173</f>
        <v>424</v>
      </c>
      <c r="AC173" t="str">
        <f t="shared" si="69"/>
        <v/>
      </c>
      <c r="AD173" t="str">
        <f>COUNTIFS(AC$2:AC173,AC173)&amp;AC173</f>
        <v>172</v>
      </c>
      <c r="AE173" t="str">
        <f t="shared" si="53"/>
        <v/>
      </c>
      <c r="AF173" t="str">
        <f t="shared" si="70"/>
        <v>..</v>
      </c>
      <c r="AG173" s="28" t="str">
        <f t="shared" si="54"/>
        <v/>
      </c>
      <c r="AH173" s="28" t="str">
        <f t="shared" si="55"/>
        <v/>
      </c>
      <c r="AI173" t="str">
        <f t="shared" si="56"/>
        <v/>
      </c>
      <c r="AJ173" t="str">
        <f t="shared" si="57"/>
        <v/>
      </c>
      <c r="AK173" t="str">
        <f t="shared" si="58"/>
        <v/>
      </c>
      <c r="AL173" t="str">
        <f t="shared" si="59"/>
        <v/>
      </c>
      <c r="AM173" t="str">
        <f t="shared" si="60"/>
        <v/>
      </c>
      <c r="AN173" t="str">
        <f t="shared" si="61"/>
        <v/>
      </c>
      <c r="AO173" t="str">
        <f t="shared" si="62"/>
        <v/>
      </c>
      <c r="AP173" t="str">
        <f t="shared" si="63"/>
        <v/>
      </c>
      <c r="AQ173" t="str">
        <f t="shared" si="64"/>
        <v/>
      </c>
      <c r="AR173" t="str">
        <f t="shared" si="65"/>
        <v/>
      </c>
      <c r="AS173" t="str">
        <f t="shared" si="66"/>
        <v/>
      </c>
      <c r="AT173" t="str">
        <f t="shared" si="67"/>
        <v/>
      </c>
      <c r="AU173" s="25" t="str">
        <f t="shared" si="71"/>
        <v/>
      </c>
      <c r="BA173">
        <f>'REGISTER SK'!F176</f>
        <v>0</v>
      </c>
    </row>
    <row r="174" spans="1:53" x14ac:dyDescent="0.35">
      <c r="A174" s="18">
        <v>173</v>
      </c>
      <c r="B174" s="36" t="s">
        <v>379</v>
      </c>
      <c r="C174" s="18" t="str">
        <f>IF(G174="","",IF(G174="Umum",G174,VLOOKUP(F174,'Data Induk Pegawai'!B:AE,4,FALSE)))</f>
        <v/>
      </c>
      <c r="D174" s="19" t="str">
        <f>IF('REGISTER SK'!A177="","",IF('REGISTER SK'!B177=0,D173,'REGISTER SK'!B177))</f>
        <v/>
      </c>
      <c r="E174" s="19" t="str">
        <f t="shared" si="68"/>
        <v/>
      </c>
      <c r="F174" s="29"/>
      <c r="G174" s="29"/>
      <c r="H174" s="31" t="str">
        <f>IF(F174="","",VLOOKUP(F174,'Data Induk Pegawai'!B:U,2,FALSE))</f>
        <v/>
      </c>
      <c r="I174" s="19" t="str">
        <f>IF('REGISTER SK'!C177="","",'REGISTER SK'!C177)</f>
        <v/>
      </c>
      <c r="J174" s="125"/>
      <c r="K174" s="125"/>
      <c r="L174" s="26" t="str">
        <f>IF('REGISTER SK'!D177="","",'REGISTER SK'!D177)</f>
        <v/>
      </c>
      <c r="M174" s="26" t="str">
        <f>IF('REGISTER SK'!E177="","",'REGISTER SK'!E177)</f>
        <v/>
      </c>
      <c r="N174" s="31" t="str">
        <f>IF(G174="","",IF(OR(G174="GTT",G174="PTT"),"--",VLOOKUP(F174,'Data Induk Pegawai'!B:AE,4,FALSE)))</f>
        <v/>
      </c>
      <c r="O174" s="18" t="s">
        <v>290</v>
      </c>
      <c r="P174" s="31" t="str">
        <f>IF(G174="","",VLOOKUP(F174,'Data Induk Pegawai'!B:AE,7,FALSE))</f>
        <v/>
      </c>
      <c r="Q174" s="30"/>
      <c r="R174" s="26" t="str">
        <f>IF(G174="","","Nomor "&amp;RIGHT(VLOOKUP(F174,'Data Induk Pegawai'!B:AE,12,FALSE),2)&amp;" Tahun "&amp;MID(VLOOKUP(F174,'Data Induk Pegawai'!B:AE,12,FALSE),5,4))</f>
        <v/>
      </c>
      <c r="S174" s="26" t="str">
        <f>IF(G174="","",VLOOKUP(F174,'Data Induk Pegawai'!B:AE,11,FALSE))</f>
        <v/>
      </c>
      <c r="T174" s="56"/>
      <c r="U174" s="18" t="str">
        <f t="shared" si="48"/>
        <v/>
      </c>
      <c r="V174" s="30"/>
      <c r="W174" s="18" t="str">
        <f t="shared" si="49"/>
        <v/>
      </c>
      <c r="X174" s="16"/>
      <c r="Y174" t="str">
        <f t="shared" si="50"/>
        <v/>
      </c>
      <c r="Z174" t="str">
        <f t="shared" si="51"/>
        <v/>
      </c>
      <c r="AA174" t="str">
        <f t="shared" si="52"/>
        <v/>
      </c>
      <c r="AB174" t="str">
        <f>COUNTIFS(AC174:AC$596,AC174)&amp;AC174</f>
        <v>423</v>
      </c>
      <c r="AC174" t="str">
        <f t="shared" si="69"/>
        <v/>
      </c>
      <c r="AD174" t="str">
        <f>COUNTIFS(AC$2:AC174,AC174)&amp;AC174</f>
        <v>173</v>
      </c>
      <c r="AE174" t="str">
        <f t="shared" si="53"/>
        <v/>
      </c>
      <c r="AF174" t="str">
        <f t="shared" si="70"/>
        <v>..</v>
      </c>
      <c r="AG174" s="28" t="str">
        <f t="shared" si="54"/>
        <v/>
      </c>
      <c r="AH174" s="28" t="str">
        <f t="shared" si="55"/>
        <v/>
      </c>
      <c r="AI174" t="str">
        <f t="shared" si="56"/>
        <v/>
      </c>
      <c r="AJ174" t="str">
        <f t="shared" si="57"/>
        <v/>
      </c>
      <c r="AK174" t="str">
        <f t="shared" si="58"/>
        <v/>
      </c>
      <c r="AL174" t="str">
        <f t="shared" si="59"/>
        <v/>
      </c>
      <c r="AM174" t="str">
        <f t="shared" si="60"/>
        <v/>
      </c>
      <c r="AN174" t="str">
        <f t="shared" si="61"/>
        <v/>
      </c>
      <c r="AO174" t="str">
        <f t="shared" si="62"/>
        <v/>
      </c>
      <c r="AP174" t="str">
        <f t="shared" si="63"/>
        <v/>
      </c>
      <c r="AQ174" t="str">
        <f t="shared" si="64"/>
        <v/>
      </c>
      <c r="AR174" t="str">
        <f t="shared" si="65"/>
        <v/>
      </c>
      <c r="AS174" t="str">
        <f t="shared" si="66"/>
        <v/>
      </c>
      <c r="AT174" t="str">
        <f t="shared" si="67"/>
        <v/>
      </c>
      <c r="AU174" s="25" t="str">
        <f t="shared" si="71"/>
        <v/>
      </c>
      <c r="BA174">
        <f>'REGISTER SK'!F177</f>
        <v>0</v>
      </c>
    </row>
    <row r="175" spans="1:53" x14ac:dyDescent="0.35">
      <c r="A175" s="18">
        <v>174</v>
      </c>
      <c r="B175" s="36" t="s">
        <v>379</v>
      </c>
      <c r="C175" s="18" t="str">
        <f>IF(G175="","",IF(G175="Umum",G175,VLOOKUP(F175,'Data Induk Pegawai'!B:AE,4,FALSE)))</f>
        <v/>
      </c>
      <c r="D175" s="19" t="str">
        <f>IF('REGISTER SK'!A178="","",IF('REGISTER SK'!B178=0,D174,'REGISTER SK'!B178))</f>
        <v/>
      </c>
      <c r="E175" s="19" t="str">
        <f t="shared" si="68"/>
        <v/>
      </c>
      <c r="F175" s="29"/>
      <c r="G175" s="29"/>
      <c r="H175" s="31" t="str">
        <f>IF(F175="","",VLOOKUP(F175,'Data Induk Pegawai'!B:U,2,FALSE))</f>
        <v/>
      </c>
      <c r="I175" s="19" t="str">
        <f>IF('REGISTER SK'!C178="","",'REGISTER SK'!C178)</f>
        <v/>
      </c>
      <c r="J175" s="125"/>
      <c r="K175" s="125"/>
      <c r="L175" s="26" t="str">
        <f>IF('REGISTER SK'!D178="","",'REGISTER SK'!D178)</f>
        <v/>
      </c>
      <c r="M175" s="26" t="str">
        <f>IF('REGISTER SK'!E178="","",'REGISTER SK'!E178)</f>
        <v/>
      </c>
      <c r="N175" s="31" t="str">
        <f>IF(G175="","",IF(OR(G175="GTT",G175="PTT"),"--",VLOOKUP(F175,'Data Induk Pegawai'!B:AE,4,FALSE)))</f>
        <v/>
      </c>
      <c r="O175" s="18" t="s">
        <v>291</v>
      </c>
      <c r="P175" s="31" t="str">
        <f>IF(G175="","",VLOOKUP(F175,'Data Induk Pegawai'!B:AE,7,FALSE))</f>
        <v/>
      </c>
      <c r="Q175" s="30"/>
      <c r="R175" s="26" t="str">
        <f>IF(G175="","","Nomor "&amp;RIGHT(VLOOKUP(F175,'Data Induk Pegawai'!B:AE,12,FALSE),2)&amp;" Tahun "&amp;MID(VLOOKUP(F175,'Data Induk Pegawai'!B:AE,12,FALSE),5,4))</f>
        <v/>
      </c>
      <c r="S175" s="26" t="str">
        <f>IF(G175="","",VLOOKUP(F175,'Data Induk Pegawai'!B:AE,11,FALSE))</f>
        <v/>
      </c>
      <c r="T175" s="56"/>
      <c r="U175" s="18" t="str">
        <f t="shared" si="48"/>
        <v/>
      </c>
      <c r="V175" s="30"/>
      <c r="W175" s="18" t="str">
        <f t="shared" si="49"/>
        <v/>
      </c>
      <c r="X175" s="16"/>
      <c r="Y175" t="str">
        <f t="shared" si="50"/>
        <v/>
      </c>
      <c r="Z175" t="str">
        <f t="shared" si="51"/>
        <v/>
      </c>
      <c r="AA175" t="str">
        <f t="shared" si="52"/>
        <v/>
      </c>
      <c r="AB175" t="str">
        <f>COUNTIFS(AC175:AC$596,AC175)&amp;AC175</f>
        <v>422</v>
      </c>
      <c r="AC175" t="str">
        <f t="shared" si="69"/>
        <v/>
      </c>
      <c r="AD175" t="str">
        <f>COUNTIFS(AC$2:AC175,AC175)&amp;AC175</f>
        <v>174</v>
      </c>
      <c r="AE175" t="str">
        <f t="shared" si="53"/>
        <v/>
      </c>
      <c r="AF175" t="str">
        <f t="shared" si="70"/>
        <v>..</v>
      </c>
      <c r="AG175" s="28" t="str">
        <f t="shared" si="54"/>
        <v/>
      </c>
      <c r="AH175" s="28" t="str">
        <f t="shared" si="55"/>
        <v/>
      </c>
      <c r="AI175" t="str">
        <f t="shared" si="56"/>
        <v/>
      </c>
      <c r="AJ175" t="str">
        <f t="shared" si="57"/>
        <v/>
      </c>
      <c r="AK175" t="str">
        <f t="shared" si="58"/>
        <v/>
      </c>
      <c r="AL175" t="str">
        <f t="shared" si="59"/>
        <v/>
      </c>
      <c r="AM175" t="str">
        <f t="shared" si="60"/>
        <v/>
      </c>
      <c r="AN175" t="str">
        <f t="shared" si="61"/>
        <v/>
      </c>
      <c r="AO175" t="str">
        <f t="shared" si="62"/>
        <v/>
      </c>
      <c r="AP175" t="str">
        <f t="shared" si="63"/>
        <v/>
      </c>
      <c r="AQ175" t="str">
        <f t="shared" si="64"/>
        <v/>
      </c>
      <c r="AR175" t="str">
        <f t="shared" si="65"/>
        <v/>
      </c>
      <c r="AS175" t="str">
        <f t="shared" si="66"/>
        <v/>
      </c>
      <c r="AT175" t="str">
        <f t="shared" si="67"/>
        <v/>
      </c>
      <c r="AU175" s="25" t="str">
        <f t="shared" si="71"/>
        <v/>
      </c>
      <c r="BA175">
        <f>'REGISTER SK'!F178</f>
        <v>0</v>
      </c>
    </row>
    <row r="176" spans="1:53" x14ac:dyDescent="0.35">
      <c r="A176" s="18">
        <v>175</v>
      </c>
      <c r="B176" s="36" t="s">
        <v>379</v>
      </c>
      <c r="C176" s="18" t="str">
        <f>IF(G176="","",IF(G176="Umum",G176,VLOOKUP(F176,'Data Induk Pegawai'!B:AE,4,FALSE)))</f>
        <v/>
      </c>
      <c r="D176" s="19" t="str">
        <f>IF('REGISTER SK'!A179="","",IF('REGISTER SK'!B179=0,D175,'REGISTER SK'!B179))</f>
        <v/>
      </c>
      <c r="E176" s="19" t="str">
        <f t="shared" si="68"/>
        <v/>
      </c>
      <c r="F176" s="29"/>
      <c r="G176" s="29"/>
      <c r="H176" s="31" t="str">
        <f>IF(F176="","",VLOOKUP(F176,'Data Induk Pegawai'!B:U,2,FALSE))</f>
        <v/>
      </c>
      <c r="I176" s="19" t="str">
        <f>IF('REGISTER SK'!C179="","",'REGISTER SK'!C179)</f>
        <v/>
      </c>
      <c r="J176" s="125"/>
      <c r="K176" s="125"/>
      <c r="L176" s="26" t="str">
        <f>IF('REGISTER SK'!D179="","",'REGISTER SK'!D179)</f>
        <v/>
      </c>
      <c r="M176" s="26" t="str">
        <f>IF('REGISTER SK'!E179="","",'REGISTER SK'!E179)</f>
        <v/>
      </c>
      <c r="N176" s="31" t="str">
        <f>IF(G176="","",IF(OR(G176="GTT",G176="PTT"),"--",VLOOKUP(F176,'Data Induk Pegawai'!B:AE,4,FALSE)))</f>
        <v/>
      </c>
      <c r="O176" s="18" t="s">
        <v>293</v>
      </c>
      <c r="P176" s="31" t="str">
        <f>IF(G176="","",VLOOKUP(F176,'Data Induk Pegawai'!B:AE,7,FALSE))</f>
        <v/>
      </c>
      <c r="Q176" s="30"/>
      <c r="R176" s="26" t="str">
        <f>IF(G176="","","Nomor "&amp;RIGHT(VLOOKUP(F176,'Data Induk Pegawai'!B:AE,12,FALSE),2)&amp;" Tahun "&amp;MID(VLOOKUP(F176,'Data Induk Pegawai'!B:AE,12,FALSE),5,4))</f>
        <v/>
      </c>
      <c r="S176" s="26" t="str">
        <f>IF(G176="","",VLOOKUP(F176,'Data Induk Pegawai'!B:AE,11,FALSE))</f>
        <v/>
      </c>
      <c r="T176" s="56"/>
      <c r="U176" s="18" t="str">
        <f t="shared" si="48"/>
        <v/>
      </c>
      <c r="V176" s="30"/>
      <c r="W176" s="18" t="str">
        <f t="shared" si="49"/>
        <v/>
      </c>
      <c r="X176" s="16"/>
      <c r="Y176" t="str">
        <f t="shared" si="50"/>
        <v/>
      </c>
      <c r="Z176" t="str">
        <f t="shared" si="51"/>
        <v/>
      </c>
      <c r="AA176" t="str">
        <f t="shared" si="52"/>
        <v/>
      </c>
      <c r="AB176" t="str">
        <f>COUNTIFS(AC176:AC$596,AC176)&amp;AC176</f>
        <v>421</v>
      </c>
      <c r="AC176" t="str">
        <f t="shared" si="69"/>
        <v/>
      </c>
      <c r="AD176" t="str">
        <f>COUNTIFS(AC$2:AC176,AC176)&amp;AC176</f>
        <v>175</v>
      </c>
      <c r="AE176" t="str">
        <f t="shared" si="53"/>
        <v/>
      </c>
      <c r="AF176" t="str">
        <f t="shared" si="70"/>
        <v>..</v>
      </c>
      <c r="AG176" s="28" t="str">
        <f t="shared" si="54"/>
        <v/>
      </c>
      <c r="AH176" s="28" t="str">
        <f t="shared" si="55"/>
        <v/>
      </c>
      <c r="AI176" t="str">
        <f t="shared" si="56"/>
        <v/>
      </c>
      <c r="AJ176" t="str">
        <f t="shared" si="57"/>
        <v/>
      </c>
      <c r="AK176" t="str">
        <f t="shared" si="58"/>
        <v/>
      </c>
      <c r="AL176" t="str">
        <f t="shared" si="59"/>
        <v/>
      </c>
      <c r="AM176" t="str">
        <f t="shared" si="60"/>
        <v/>
      </c>
      <c r="AN176" t="str">
        <f t="shared" si="61"/>
        <v/>
      </c>
      <c r="AO176" t="str">
        <f t="shared" si="62"/>
        <v/>
      </c>
      <c r="AP176" t="str">
        <f t="shared" si="63"/>
        <v/>
      </c>
      <c r="AQ176" t="str">
        <f t="shared" si="64"/>
        <v/>
      </c>
      <c r="AR176" t="str">
        <f t="shared" si="65"/>
        <v/>
      </c>
      <c r="AS176" t="str">
        <f t="shared" si="66"/>
        <v/>
      </c>
      <c r="AT176" t="str">
        <f t="shared" si="67"/>
        <v/>
      </c>
      <c r="AU176" s="25" t="str">
        <f t="shared" si="71"/>
        <v/>
      </c>
      <c r="BA176">
        <f>'REGISTER SK'!F179</f>
        <v>0</v>
      </c>
    </row>
    <row r="177" spans="1:53" x14ac:dyDescent="0.35">
      <c r="A177" s="18">
        <v>176</v>
      </c>
      <c r="B177" s="36" t="s">
        <v>379</v>
      </c>
      <c r="C177" s="18" t="str">
        <f>IF(G177="","",IF(G177="Umum",G177,VLOOKUP(F177,'Data Induk Pegawai'!B:AE,4,FALSE)))</f>
        <v/>
      </c>
      <c r="D177" s="19" t="str">
        <f>IF('REGISTER SK'!A180="","",IF('REGISTER SK'!B180=0,D176,'REGISTER SK'!B180))</f>
        <v/>
      </c>
      <c r="E177" s="19" t="str">
        <f t="shared" si="68"/>
        <v/>
      </c>
      <c r="F177" s="29"/>
      <c r="G177" s="29"/>
      <c r="H177" s="31" t="str">
        <f>IF(F177="","",VLOOKUP(F177,'Data Induk Pegawai'!B:U,2,FALSE))</f>
        <v/>
      </c>
      <c r="I177" s="19" t="str">
        <f>IF('REGISTER SK'!C180="","",'REGISTER SK'!C180)</f>
        <v/>
      </c>
      <c r="J177" s="125"/>
      <c r="K177" s="125"/>
      <c r="L177" s="26" t="str">
        <f>IF('REGISTER SK'!D180="","",'REGISTER SK'!D180)</f>
        <v/>
      </c>
      <c r="M177" s="26" t="str">
        <f>IF('REGISTER SK'!E180="","",'REGISTER SK'!E180)</f>
        <v/>
      </c>
      <c r="N177" s="31" t="str">
        <f>IF(G177="","",IF(OR(G177="GTT",G177="PTT"),"--",VLOOKUP(F177,'Data Induk Pegawai'!B:AE,4,FALSE)))</f>
        <v/>
      </c>
      <c r="O177" s="18" t="s">
        <v>295</v>
      </c>
      <c r="P177" s="31" t="str">
        <f>IF(G177="","",VLOOKUP(F177,'Data Induk Pegawai'!B:AE,7,FALSE))</f>
        <v/>
      </c>
      <c r="Q177" s="30"/>
      <c r="R177" s="26" t="str">
        <f>IF(G177="","","Nomor "&amp;RIGHT(VLOOKUP(F177,'Data Induk Pegawai'!B:AE,12,FALSE),2)&amp;" Tahun "&amp;MID(VLOOKUP(F177,'Data Induk Pegawai'!B:AE,12,FALSE),5,4))</f>
        <v/>
      </c>
      <c r="S177" s="26" t="str">
        <f>IF(G177="","",VLOOKUP(F177,'Data Induk Pegawai'!B:AE,11,FALSE))</f>
        <v/>
      </c>
      <c r="T177" s="56"/>
      <c r="U177" s="18" t="str">
        <f t="shared" si="48"/>
        <v/>
      </c>
      <c r="V177" s="30"/>
      <c r="W177" s="18" t="str">
        <f t="shared" si="49"/>
        <v/>
      </c>
      <c r="X177" s="16"/>
      <c r="Y177" t="str">
        <f t="shared" si="50"/>
        <v/>
      </c>
      <c r="Z177" t="str">
        <f t="shared" si="51"/>
        <v/>
      </c>
      <c r="AA177" t="str">
        <f t="shared" si="52"/>
        <v/>
      </c>
      <c r="AB177" t="str">
        <f>COUNTIFS(AC177:AC$596,AC177)&amp;AC177</f>
        <v>420</v>
      </c>
      <c r="AC177" t="str">
        <f t="shared" si="69"/>
        <v/>
      </c>
      <c r="AD177" t="str">
        <f>COUNTIFS(AC$2:AC177,AC177)&amp;AC177</f>
        <v>176</v>
      </c>
      <c r="AE177" t="str">
        <f t="shared" si="53"/>
        <v/>
      </c>
      <c r="AF177" t="str">
        <f t="shared" si="70"/>
        <v>..</v>
      </c>
      <c r="AG177" s="28" t="str">
        <f t="shared" si="54"/>
        <v/>
      </c>
      <c r="AH177" s="28" t="str">
        <f t="shared" si="55"/>
        <v/>
      </c>
      <c r="AI177" t="str">
        <f t="shared" si="56"/>
        <v/>
      </c>
      <c r="AJ177" t="str">
        <f t="shared" si="57"/>
        <v/>
      </c>
      <c r="AK177" t="str">
        <f t="shared" si="58"/>
        <v/>
      </c>
      <c r="AL177" t="str">
        <f t="shared" si="59"/>
        <v/>
      </c>
      <c r="AM177" t="str">
        <f t="shared" si="60"/>
        <v/>
      </c>
      <c r="AN177" t="str">
        <f t="shared" si="61"/>
        <v/>
      </c>
      <c r="AO177" t="str">
        <f t="shared" si="62"/>
        <v/>
      </c>
      <c r="AP177" t="str">
        <f t="shared" si="63"/>
        <v/>
      </c>
      <c r="AQ177" t="str">
        <f t="shared" si="64"/>
        <v/>
      </c>
      <c r="AR177" t="str">
        <f t="shared" si="65"/>
        <v/>
      </c>
      <c r="AS177" t="str">
        <f t="shared" si="66"/>
        <v/>
      </c>
      <c r="AT177" t="str">
        <f t="shared" si="67"/>
        <v/>
      </c>
      <c r="AU177" s="25" t="str">
        <f t="shared" si="71"/>
        <v/>
      </c>
      <c r="BA177">
        <f>'REGISTER SK'!F180</f>
        <v>0</v>
      </c>
    </row>
    <row r="178" spans="1:53" x14ac:dyDescent="0.35">
      <c r="A178" s="18">
        <v>177</v>
      </c>
      <c r="B178" s="36" t="s">
        <v>379</v>
      </c>
      <c r="C178" s="18" t="str">
        <f>IF(G178="","",IF(G178="Umum",G178,VLOOKUP(F178,'Data Induk Pegawai'!B:AE,4,FALSE)))</f>
        <v/>
      </c>
      <c r="D178" s="19" t="str">
        <f>IF('REGISTER SK'!A181="","",IF('REGISTER SK'!B181=0,D177,'REGISTER SK'!B181))</f>
        <v/>
      </c>
      <c r="E178" s="19" t="str">
        <f t="shared" si="68"/>
        <v/>
      </c>
      <c r="F178" s="29"/>
      <c r="G178" s="29"/>
      <c r="H178" s="31" t="str">
        <f>IF(F178="","",VLOOKUP(F178,'Data Induk Pegawai'!B:U,2,FALSE))</f>
        <v/>
      </c>
      <c r="I178" s="19" t="str">
        <f>IF('REGISTER SK'!C181="","",'REGISTER SK'!C181)</f>
        <v/>
      </c>
      <c r="J178" s="125"/>
      <c r="K178" s="125"/>
      <c r="L178" s="26" t="str">
        <f>IF('REGISTER SK'!D181="","",'REGISTER SK'!D181)</f>
        <v/>
      </c>
      <c r="M178" s="26" t="str">
        <f>IF('REGISTER SK'!E181="","",'REGISTER SK'!E181)</f>
        <v/>
      </c>
      <c r="N178" s="31" t="str">
        <f>IF(G178="","",IF(OR(G178="GTT",G178="PTT"),"--",VLOOKUP(F178,'Data Induk Pegawai'!B:AE,4,FALSE)))</f>
        <v/>
      </c>
      <c r="O178" s="18" t="s">
        <v>297</v>
      </c>
      <c r="P178" s="31" t="str">
        <f>IF(G178="","",VLOOKUP(F178,'Data Induk Pegawai'!B:AE,7,FALSE))</f>
        <v/>
      </c>
      <c r="Q178" s="30"/>
      <c r="R178" s="26" t="str">
        <f>IF(G178="","","Nomor "&amp;RIGHT(VLOOKUP(F178,'Data Induk Pegawai'!B:AE,12,FALSE),2)&amp;" Tahun "&amp;MID(VLOOKUP(F178,'Data Induk Pegawai'!B:AE,12,FALSE),5,4))</f>
        <v/>
      </c>
      <c r="S178" s="26" t="str">
        <f>IF(G178="","",VLOOKUP(F178,'Data Induk Pegawai'!B:AE,11,FALSE))</f>
        <v/>
      </c>
      <c r="T178" s="56"/>
      <c r="U178" s="18" t="str">
        <f t="shared" si="48"/>
        <v/>
      </c>
      <c r="V178" s="30"/>
      <c r="W178" s="18" t="str">
        <f t="shared" si="49"/>
        <v/>
      </c>
      <c r="X178" s="16"/>
      <c r="Y178" t="str">
        <f t="shared" si="50"/>
        <v/>
      </c>
      <c r="Z178" t="str">
        <f t="shared" si="51"/>
        <v/>
      </c>
      <c r="AA178" t="str">
        <f t="shared" si="52"/>
        <v/>
      </c>
      <c r="AB178" t="str">
        <f>COUNTIFS(AC178:AC$596,AC178)&amp;AC178</f>
        <v>419</v>
      </c>
      <c r="AC178" t="str">
        <f t="shared" si="69"/>
        <v/>
      </c>
      <c r="AD178" t="str">
        <f>COUNTIFS(AC$2:AC178,AC178)&amp;AC178</f>
        <v>177</v>
      </c>
      <c r="AE178" t="str">
        <f t="shared" si="53"/>
        <v/>
      </c>
      <c r="AF178" t="str">
        <f t="shared" si="70"/>
        <v>..</v>
      </c>
      <c r="AG178" s="28" t="str">
        <f t="shared" si="54"/>
        <v/>
      </c>
      <c r="AH178" s="28" t="str">
        <f t="shared" si="55"/>
        <v/>
      </c>
      <c r="AI178" t="str">
        <f t="shared" si="56"/>
        <v/>
      </c>
      <c r="AJ178" t="str">
        <f t="shared" si="57"/>
        <v/>
      </c>
      <c r="AK178" t="str">
        <f t="shared" si="58"/>
        <v/>
      </c>
      <c r="AL178" t="str">
        <f t="shared" si="59"/>
        <v/>
      </c>
      <c r="AM178" t="str">
        <f t="shared" si="60"/>
        <v/>
      </c>
      <c r="AN178" t="str">
        <f t="shared" si="61"/>
        <v/>
      </c>
      <c r="AO178" t="str">
        <f t="shared" si="62"/>
        <v/>
      </c>
      <c r="AP178" t="str">
        <f t="shared" si="63"/>
        <v/>
      </c>
      <c r="AQ178" t="str">
        <f t="shared" si="64"/>
        <v/>
      </c>
      <c r="AR178" t="str">
        <f t="shared" si="65"/>
        <v/>
      </c>
      <c r="AS178" t="str">
        <f t="shared" si="66"/>
        <v/>
      </c>
      <c r="AT178" t="str">
        <f t="shared" si="67"/>
        <v/>
      </c>
      <c r="AU178" s="25" t="str">
        <f t="shared" si="71"/>
        <v/>
      </c>
      <c r="BA178">
        <f>'REGISTER SK'!F181</f>
        <v>0</v>
      </c>
    </row>
    <row r="179" spans="1:53" x14ac:dyDescent="0.35">
      <c r="A179" s="18">
        <v>178</v>
      </c>
      <c r="B179" s="36" t="s">
        <v>379</v>
      </c>
      <c r="C179" s="18" t="str">
        <f>IF(G179="","",IF(G179="Umum",G179,VLOOKUP(F179,'Data Induk Pegawai'!B:AE,4,FALSE)))</f>
        <v/>
      </c>
      <c r="D179" s="19" t="str">
        <f>IF('REGISTER SK'!A182="","",IF('REGISTER SK'!B182=0,D178,'REGISTER SK'!B182))</f>
        <v/>
      </c>
      <c r="E179" s="19" t="str">
        <f t="shared" si="68"/>
        <v/>
      </c>
      <c r="F179" s="29"/>
      <c r="G179" s="29"/>
      <c r="H179" s="31" t="str">
        <f>IF(F179="","",VLOOKUP(F179,'Data Induk Pegawai'!B:U,2,FALSE))</f>
        <v/>
      </c>
      <c r="I179" s="19" t="str">
        <f>IF('REGISTER SK'!C182="","",'REGISTER SK'!C182)</f>
        <v/>
      </c>
      <c r="J179" s="125"/>
      <c r="K179" s="125"/>
      <c r="L179" s="26" t="str">
        <f>IF('REGISTER SK'!D182="","",'REGISTER SK'!D182)</f>
        <v/>
      </c>
      <c r="M179" s="26" t="str">
        <f>IF('REGISTER SK'!E182="","",'REGISTER SK'!E182)</f>
        <v/>
      </c>
      <c r="N179" s="31" t="str">
        <f>IF(G179="","",IF(OR(G179="GTT",G179="PTT"),"--",VLOOKUP(F179,'Data Induk Pegawai'!B:AE,4,FALSE)))</f>
        <v/>
      </c>
      <c r="O179" s="18" t="s">
        <v>298</v>
      </c>
      <c r="P179" s="31" t="str">
        <f>IF(G179="","",VLOOKUP(F179,'Data Induk Pegawai'!B:AE,7,FALSE))</f>
        <v/>
      </c>
      <c r="Q179" s="30"/>
      <c r="R179" s="26" t="str">
        <f>IF(G179="","","Nomor "&amp;RIGHT(VLOOKUP(F179,'Data Induk Pegawai'!B:AE,12,FALSE),2)&amp;" Tahun "&amp;MID(VLOOKUP(F179,'Data Induk Pegawai'!B:AE,12,FALSE),5,4))</f>
        <v/>
      </c>
      <c r="S179" s="26" t="str">
        <f>IF(G179="","",VLOOKUP(F179,'Data Induk Pegawai'!B:AE,11,FALSE))</f>
        <v/>
      </c>
      <c r="T179" s="56"/>
      <c r="U179" s="18" t="str">
        <f t="shared" si="48"/>
        <v/>
      </c>
      <c r="V179" s="30"/>
      <c r="W179" s="18" t="str">
        <f t="shared" si="49"/>
        <v/>
      </c>
      <c r="X179" s="16"/>
      <c r="Y179" t="str">
        <f t="shared" si="50"/>
        <v/>
      </c>
      <c r="Z179" t="str">
        <f t="shared" si="51"/>
        <v/>
      </c>
      <c r="AA179" t="str">
        <f t="shared" si="52"/>
        <v/>
      </c>
      <c r="AB179" t="str">
        <f>COUNTIFS(AC179:AC$596,AC179)&amp;AC179</f>
        <v>418</v>
      </c>
      <c r="AC179" t="str">
        <f t="shared" si="69"/>
        <v/>
      </c>
      <c r="AD179" t="str">
        <f>COUNTIFS(AC$2:AC179,AC179)&amp;AC179</f>
        <v>178</v>
      </c>
      <c r="AE179" t="str">
        <f t="shared" si="53"/>
        <v/>
      </c>
      <c r="AF179" t="str">
        <f t="shared" si="70"/>
        <v>..</v>
      </c>
      <c r="AG179" s="28" t="str">
        <f t="shared" si="54"/>
        <v/>
      </c>
      <c r="AH179" s="28" t="str">
        <f t="shared" si="55"/>
        <v/>
      </c>
      <c r="AI179" t="str">
        <f t="shared" si="56"/>
        <v/>
      </c>
      <c r="AJ179" t="str">
        <f t="shared" si="57"/>
        <v/>
      </c>
      <c r="AK179" t="str">
        <f t="shared" si="58"/>
        <v/>
      </c>
      <c r="AL179" t="str">
        <f t="shared" si="59"/>
        <v/>
      </c>
      <c r="AM179" t="str">
        <f t="shared" si="60"/>
        <v/>
      </c>
      <c r="AN179" t="str">
        <f t="shared" si="61"/>
        <v/>
      </c>
      <c r="AO179" t="str">
        <f t="shared" si="62"/>
        <v/>
      </c>
      <c r="AP179" t="str">
        <f t="shared" si="63"/>
        <v/>
      </c>
      <c r="AQ179" t="str">
        <f t="shared" si="64"/>
        <v/>
      </c>
      <c r="AR179" t="str">
        <f t="shared" si="65"/>
        <v/>
      </c>
      <c r="AS179" t="str">
        <f t="shared" si="66"/>
        <v/>
      </c>
      <c r="AT179" t="str">
        <f t="shared" si="67"/>
        <v/>
      </c>
      <c r="AU179" s="25" t="str">
        <f t="shared" si="71"/>
        <v/>
      </c>
      <c r="BA179">
        <f>'REGISTER SK'!F182</f>
        <v>0</v>
      </c>
    </row>
    <row r="180" spans="1:53" x14ac:dyDescent="0.35">
      <c r="A180" s="18">
        <v>179</v>
      </c>
      <c r="B180" s="36" t="s">
        <v>379</v>
      </c>
      <c r="C180" s="18" t="str">
        <f>IF(G180="","",IF(G180="Umum",G180,VLOOKUP(F180,'Data Induk Pegawai'!B:AE,4,FALSE)))</f>
        <v/>
      </c>
      <c r="D180" s="19" t="str">
        <f>IF('REGISTER SK'!A183="","",IF('REGISTER SK'!B183=0,D179,'REGISTER SK'!B183))</f>
        <v/>
      </c>
      <c r="E180" s="19" t="str">
        <f t="shared" si="68"/>
        <v/>
      </c>
      <c r="F180" s="29"/>
      <c r="G180" s="29"/>
      <c r="H180" s="31" t="str">
        <f>IF(F180="","",VLOOKUP(F180,'Data Induk Pegawai'!B:U,2,FALSE))</f>
        <v/>
      </c>
      <c r="I180" s="19" t="str">
        <f>IF('REGISTER SK'!C183="","",'REGISTER SK'!C183)</f>
        <v/>
      </c>
      <c r="J180" s="125"/>
      <c r="K180" s="125"/>
      <c r="L180" s="26" t="str">
        <f>IF('REGISTER SK'!D183="","",'REGISTER SK'!D183)</f>
        <v/>
      </c>
      <c r="M180" s="26" t="str">
        <f>IF('REGISTER SK'!E183="","",'REGISTER SK'!E183)</f>
        <v/>
      </c>
      <c r="N180" s="31" t="str">
        <f>IF(G180="","",IF(OR(G180="GTT",G180="PTT"),"--",VLOOKUP(F180,'Data Induk Pegawai'!B:AE,4,FALSE)))</f>
        <v/>
      </c>
      <c r="O180" s="18" t="s">
        <v>300</v>
      </c>
      <c r="P180" s="31" t="str">
        <f>IF(G180="","",VLOOKUP(F180,'Data Induk Pegawai'!B:AE,7,FALSE))</f>
        <v/>
      </c>
      <c r="Q180" s="30"/>
      <c r="R180" s="26" t="str">
        <f>IF(G180="","","Nomor "&amp;RIGHT(VLOOKUP(F180,'Data Induk Pegawai'!B:AE,12,FALSE),2)&amp;" Tahun "&amp;MID(VLOOKUP(F180,'Data Induk Pegawai'!B:AE,12,FALSE),5,4))</f>
        <v/>
      </c>
      <c r="S180" s="26" t="str">
        <f>IF(G180="","",VLOOKUP(F180,'Data Induk Pegawai'!B:AE,11,FALSE))</f>
        <v/>
      </c>
      <c r="T180" s="56"/>
      <c r="U180" s="18" t="str">
        <f t="shared" si="48"/>
        <v/>
      </c>
      <c r="V180" s="30"/>
      <c r="W180" s="18" t="str">
        <f t="shared" si="49"/>
        <v/>
      </c>
      <c r="X180" s="16"/>
      <c r="Y180" t="str">
        <f t="shared" si="50"/>
        <v/>
      </c>
      <c r="Z180" t="str">
        <f t="shared" si="51"/>
        <v/>
      </c>
      <c r="AA180" t="str">
        <f t="shared" si="52"/>
        <v/>
      </c>
      <c r="AB180" t="str">
        <f>COUNTIFS(AC180:AC$596,AC180)&amp;AC180</f>
        <v>417</v>
      </c>
      <c r="AC180" t="str">
        <f t="shared" si="69"/>
        <v/>
      </c>
      <c r="AD180" t="str">
        <f>COUNTIFS(AC$2:AC180,AC180)&amp;AC180</f>
        <v>179</v>
      </c>
      <c r="AE180" t="str">
        <f t="shared" si="53"/>
        <v/>
      </c>
      <c r="AF180" t="str">
        <f t="shared" si="70"/>
        <v>..</v>
      </c>
      <c r="AG180" s="28" t="str">
        <f t="shared" si="54"/>
        <v/>
      </c>
      <c r="AH180" s="28" t="str">
        <f t="shared" si="55"/>
        <v/>
      </c>
      <c r="AI180" t="str">
        <f t="shared" si="56"/>
        <v/>
      </c>
      <c r="AJ180" t="str">
        <f t="shared" si="57"/>
        <v/>
      </c>
      <c r="AK180" t="str">
        <f t="shared" si="58"/>
        <v/>
      </c>
      <c r="AL180" t="str">
        <f t="shared" si="59"/>
        <v/>
      </c>
      <c r="AM180" t="str">
        <f t="shared" si="60"/>
        <v/>
      </c>
      <c r="AN180" t="str">
        <f t="shared" si="61"/>
        <v/>
      </c>
      <c r="AO180" t="str">
        <f t="shared" si="62"/>
        <v/>
      </c>
      <c r="AP180" t="str">
        <f t="shared" si="63"/>
        <v/>
      </c>
      <c r="AQ180" t="str">
        <f t="shared" si="64"/>
        <v/>
      </c>
      <c r="AR180" t="str">
        <f t="shared" si="65"/>
        <v/>
      </c>
      <c r="AS180" t="str">
        <f t="shared" si="66"/>
        <v/>
      </c>
      <c r="AT180" t="str">
        <f t="shared" si="67"/>
        <v/>
      </c>
      <c r="AU180" s="25" t="str">
        <f t="shared" si="71"/>
        <v/>
      </c>
      <c r="BA180">
        <f>'REGISTER SK'!F183</f>
        <v>0</v>
      </c>
    </row>
    <row r="181" spans="1:53" x14ac:dyDescent="0.35">
      <c r="A181" s="18">
        <v>180</v>
      </c>
      <c r="B181" s="36" t="s">
        <v>379</v>
      </c>
      <c r="C181" s="18" t="str">
        <f>IF(G181="","",IF(G181="Umum",G181,VLOOKUP(F181,'Data Induk Pegawai'!B:AE,4,FALSE)))</f>
        <v/>
      </c>
      <c r="D181" s="19" t="str">
        <f>IF('REGISTER SK'!A184="","",IF('REGISTER SK'!B184=0,D180,'REGISTER SK'!B184))</f>
        <v/>
      </c>
      <c r="E181" s="19" t="str">
        <f t="shared" si="68"/>
        <v/>
      </c>
      <c r="F181" s="29"/>
      <c r="G181" s="29"/>
      <c r="H181" s="31" t="str">
        <f>IF(F181="","",VLOOKUP(F181,'Data Induk Pegawai'!B:U,2,FALSE))</f>
        <v/>
      </c>
      <c r="I181" s="19" t="str">
        <f>IF('REGISTER SK'!C184="","",'REGISTER SK'!C184)</f>
        <v/>
      </c>
      <c r="J181" s="125"/>
      <c r="K181" s="125"/>
      <c r="L181" s="26" t="str">
        <f>IF('REGISTER SK'!D184="","",'REGISTER SK'!D184)</f>
        <v/>
      </c>
      <c r="M181" s="26" t="str">
        <f>IF('REGISTER SK'!E184="","",'REGISTER SK'!E184)</f>
        <v/>
      </c>
      <c r="N181" s="31" t="str">
        <f>IF(G181="","",IF(OR(G181="GTT",G181="PTT"),"--",VLOOKUP(F181,'Data Induk Pegawai'!B:AE,4,FALSE)))</f>
        <v/>
      </c>
      <c r="O181" s="18" t="s">
        <v>301</v>
      </c>
      <c r="P181" s="31" t="str">
        <f>IF(G181="","",VLOOKUP(F181,'Data Induk Pegawai'!B:AE,7,FALSE))</f>
        <v/>
      </c>
      <c r="Q181" s="30"/>
      <c r="R181" s="26" t="str">
        <f>IF(G181="","","Nomor "&amp;RIGHT(VLOOKUP(F181,'Data Induk Pegawai'!B:AE,12,FALSE),2)&amp;" Tahun "&amp;MID(VLOOKUP(F181,'Data Induk Pegawai'!B:AE,12,FALSE),5,4))</f>
        <v/>
      </c>
      <c r="S181" s="26" t="str">
        <f>IF(G181="","",VLOOKUP(F181,'Data Induk Pegawai'!B:AE,11,FALSE))</f>
        <v/>
      </c>
      <c r="T181" s="56"/>
      <c r="U181" s="18" t="str">
        <f t="shared" si="48"/>
        <v/>
      </c>
      <c r="V181" s="30"/>
      <c r="W181" s="18" t="str">
        <f t="shared" si="49"/>
        <v/>
      </c>
      <c r="X181" s="16"/>
      <c r="Y181" t="str">
        <f t="shared" si="50"/>
        <v/>
      </c>
      <c r="Z181" t="str">
        <f t="shared" si="51"/>
        <v/>
      </c>
      <c r="AA181" t="str">
        <f t="shared" si="52"/>
        <v/>
      </c>
      <c r="AB181" t="str">
        <f>COUNTIFS(AC181:AC$596,AC181)&amp;AC181</f>
        <v>416</v>
      </c>
      <c r="AC181" t="str">
        <f t="shared" si="69"/>
        <v/>
      </c>
      <c r="AD181" t="str">
        <f>COUNTIFS(AC$2:AC181,AC181)&amp;AC181</f>
        <v>180</v>
      </c>
      <c r="AE181" t="str">
        <f t="shared" si="53"/>
        <v/>
      </c>
      <c r="AF181" t="str">
        <f t="shared" si="70"/>
        <v>..</v>
      </c>
      <c r="AG181" s="28" t="str">
        <f t="shared" si="54"/>
        <v/>
      </c>
      <c r="AH181" s="28" t="str">
        <f t="shared" si="55"/>
        <v/>
      </c>
      <c r="AI181" t="str">
        <f t="shared" si="56"/>
        <v/>
      </c>
      <c r="AJ181" t="str">
        <f t="shared" si="57"/>
        <v/>
      </c>
      <c r="AK181" t="str">
        <f t="shared" si="58"/>
        <v/>
      </c>
      <c r="AL181" t="str">
        <f t="shared" si="59"/>
        <v/>
      </c>
      <c r="AM181" t="str">
        <f t="shared" si="60"/>
        <v/>
      </c>
      <c r="AN181" t="str">
        <f t="shared" si="61"/>
        <v/>
      </c>
      <c r="AO181" t="str">
        <f t="shared" si="62"/>
        <v/>
      </c>
      <c r="AP181" t="str">
        <f t="shared" si="63"/>
        <v/>
      </c>
      <c r="AQ181" t="str">
        <f t="shared" si="64"/>
        <v/>
      </c>
      <c r="AR181" t="str">
        <f t="shared" si="65"/>
        <v/>
      </c>
      <c r="AS181" t="str">
        <f t="shared" si="66"/>
        <v/>
      </c>
      <c r="AT181" t="str">
        <f t="shared" si="67"/>
        <v/>
      </c>
      <c r="AU181" s="25" t="str">
        <f t="shared" si="71"/>
        <v/>
      </c>
      <c r="BA181">
        <f>'REGISTER SK'!F184</f>
        <v>0</v>
      </c>
    </row>
    <row r="182" spans="1:53" x14ac:dyDescent="0.35">
      <c r="A182" s="18">
        <v>181</v>
      </c>
      <c r="B182" s="36" t="s">
        <v>379</v>
      </c>
      <c r="C182" s="18" t="str">
        <f>IF(G182="","",IF(G182="Umum",G182,VLOOKUP(F182,'Data Induk Pegawai'!B:AE,4,FALSE)))</f>
        <v/>
      </c>
      <c r="D182" s="19" t="str">
        <f>IF('REGISTER SK'!A185="","",IF('REGISTER SK'!B185=0,D181,'REGISTER SK'!B185))</f>
        <v/>
      </c>
      <c r="E182" s="19" t="str">
        <f t="shared" si="68"/>
        <v/>
      </c>
      <c r="F182" s="29"/>
      <c r="G182" s="29"/>
      <c r="H182" s="31" t="str">
        <f>IF(F182="","",VLOOKUP(F182,'Data Induk Pegawai'!B:U,2,FALSE))</f>
        <v/>
      </c>
      <c r="I182" s="19" t="str">
        <f>IF('REGISTER SK'!C185="","",'REGISTER SK'!C185)</f>
        <v/>
      </c>
      <c r="J182" s="125"/>
      <c r="K182" s="125"/>
      <c r="L182" s="26" t="str">
        <f>IF('REGISTER SK'!D185="","",'REGISTER SK'!D185)</f>
        <v/>
      </c>
      <c r="M182" s="26" t="str">
        <f>IF('REGISTER SK'!E185="","",'REGISTER SK'!E185)</f>
        <v/>
      </c>
      <c r="N182" s="31" t="str">
        <f>IF(G182="","",IF(OR(G182="GTT",G182="PTT"),"--",VLOOKUP(F182,'Data Induk Pegawai'!B:AE,4,FALSE)))</f>
        <v/>
      </c>
      <c r="O182" s="18" t="s">
        <v>282</v>
      </c>
      <c r="P182" s="31" t="str">
        <f>IF(G182="","",VLOOKUP(F182,'Data Induk Pegawai'!B:AE,7,FALSE))</f>
        <v/>
      </c>
      <c r="Q182" s="30"/>
      <c r="R182" s="26" t="str">
        <f>IF(G182="","","Nomor "&amp;RIGHT(VLOOKUP(F182,'Data Induk Pegawai'!B:AE,12,FALSE),2)&amp;" Tahun "&amp;MID(VLOOKUP(F182,'Data Induk Pegawai'!B:AE,12,FALSE),5,4))</f>
        <v/>
      </c>
      <c r="S182" s="26" t="str">
        <f>IF(G182="","",VLOOKUP(F182,'Data Induk Pegawai'!B:AE,11,FALSE))</f>
        <v/>
      </c>
      <c r="T182" s="56"/>
      <c r="U182" s="18" t="str">
        <f t="shared" si="48"/>
        <v/>
      </c>
      <c r="V182" s="30"/>
      <c r="W182" s="18" t="str">
        <f t="shared" si="49"/>
        <v/>
      </c>
      <c r="X182" s="16"/>
      <c r="Y182" t="str">
        <f t="shared" si="50"/>
        <v/>
      </c>
      <c r="Z182" t="str">
        <f t="shared" si="51"/>
        <v/>
      </c>
      <c r="AA182" t="str">
        <f t="shared" si="52"/>
        <v/>
      </c>
      <c r="AB182" t="str">
        <f>COUNTIFS(AC182:AC$596,AC182)&amp;AC182</f>
        <v>415</v>
      </c>
      <c r="AC182" t="str">
        <f t="shared" si="69"/>
        <v/>
      </c>
      <c r="AD182" t="str">
        <f>COUNTIFS(AC$2:AC182,AC182)&amp;AC182</f>
        <v>181</v>
      </c>
      <c r="AE182" t="str">
        <f t="shared" si="53"/>
        <v/>
      </c>
      <c r="AF182" t="str">
        <f t="shared" si="70"/>
        <v>..</v>
      </c>
      <c r="AG182" s="28" t="str">
        <f t="shared" si="54"/>
        <v/>
      </c>
      <c r="AH182" s="28" t="str">
        <f t="shared" si="55"/>
        <v/>
      </c>
      <c r="AI182" t="str">
        <f t="shared" si="56"/>
        <v/>
      </c>
      <c r="AJ182" t="str">
        <f t="shared" si="57"/>
        <v/>
      </c>
      <c r="AK182" t="str">
        <f t="shared" si="58"/>
        <v/>
      </c>
      <c r="AL182" t="str">
        <f t="shared" si="59"/>
        <v/>
      </c>
      <c r="AM182" t="str">
        <f t="shared" si="60"/>
        <v/>
      </c>
      <c r="AN182" t="str">
        <f t="shared" si="61"/>
        <v/>
      </c>
      <c r="AO182" t="str">
        <f t="shared" si="62"/>
        <v/>
      </c>
      <c r="AP182" t="str">
        <f t="shared" si="63"/>
        <v/>
      </c>
      <c r="AQ182" t="str">
        <f t="shared" si="64"/>
        <v/>
      </c>
      <c r="AR182" t="str">
        <f t="shared" si="65"/>
        <v/>
      </c>
      <c r="AS182" t="str">
        <f t="shared" si="66"/>
        <v/>
      </c>
      <c r="AT182" t="str">
        <f t="shared" si="67"/>
        <v/>
      </c>
      <c r="AU182" s="25" t="str">
        <f t="shared" si="71"/>
        <v/>
      </c>
      <c r="BA182">
        <f>'REGISTER SK'!F185</f>
        <v>0</v>
      </c>
    </row>
    <row r="183" spans="1:53" x14ac:dyDescent="0.35">
      <c r="A183" s="18">
        <v>182</v>
      </c>
      <c r="B183" s="36" t="s">
        <v>379</v>
      </c>
      <c r="C183" s="18" t="str">
        <f>IF(G183="","",IF(G183="Umum",G183,VLOOKUP(F183,'Data Induk Pegawai'!B:AE,4,FALSE)))</f>
        <v/>
      </c>
      <c r="D183" s="19" t="str">
        <f>IF('REGISTER SK'!A186="","",IF('REGISTER SK'!B186=0,D182,'REGISTER SK'!B186))</f>
        <v/>
      </c>
      <c r="E183" s="19" t="str">
        <f t="shared" si="68"/>
        <v/>
      </c>
      <c r="F183" s="29"/>
      <c r="G183" s="29"/>
      <c r="H183" s="31" t="str">
        <f>IF(F183="","",VLOOKUP(F183,'Data Induk Pegawai'!B:U,2,FALSE))</f>
        <v/>
      </c>
      <c r="I183" s="19" t="str">
        <f>IF('REGISTER SK'!C186="","",'REGISTER SK'!C186)</f>
        <v/>
      </c>
      <c r="J183" s="125"/>
      <c r="K183" s="125"/>
      <c r="L183" s="26" t="str">
        <f>IF('REGISTER SK'!D186="","",'REGISTER SK'!D186)</f>
        <v/>
      </c>
      <c r="M183" s="26" t="str">
        <f>IF('REGISTER SK'!E186="","",'REGISTER SK'!E186)</f>
        <v/>
      </c>
      <c r="N183" s="31" t="str">
        <f>IF(G183="","",IF(OR(G183="GTT",G183="PTT"),"--",VLOOKUP(F183,'Data Induk Pegawai'!B:AE,4,FALSE)))</f>
        <v/>
      </c>
      <c r="O183" s="18" t="s">
        <v>302</v>
      </c>
      <c r="P183" s="31" t="str">
        <f>IF(G183="","",VLOOKUP(F183,'Data Induk Pegawai'!B:AE,7,FALSE))</f>
        <v/>
      </c>
      <c r="Q183" s="30"/>
      <c r="R183" s="26" t="str">
        <f>IF(G183="","","Nomor "&amp;RIGHT(VLOOKUP(F183,'Data Induk Pegawai'!B:AE,12,FALSE),2)&amp;" Tahun "&amp;MID(VLOOKUP(F183,'Data Induk Pegawai'!B:AE,12,FALSE),5,4))</f>
        <v/>
      </c>
      <c r="S183" s="26" t="str">
        <f>IF(G183="","",VLOOKUP(F183,'Data Induk Pegawai'!B:AE,11,FALSE))</f>
        <v/>
      </c>
      <c r="T183" s="56"/>
      <c r="U183" s="18" t="str">
        <f t="shared" si="48"/>
        <v/>
      </c>
      <c r="V183" s="30"/>
      <c r="W183" s="18" t="str">
        <f t="shared" si="49"/>
        <v/>
      </c>
      <c r="X183" s="16"/>
      <c r="Y183" t="str">
        <f t="shared" si="50"/>
        <v/>
      </c>
      <c r="Z183" t="str">
        <f t="shared" si="51"/>
        <v/>
      </c>
      <c r="AA183" t="str">
        <f t="shared" si="52"/>
        <v/>
      </c>
      <c r="AB183" t="str">
        <f>COUNTIFS(AC183:AC$596,AC183)&amp;AC183</f>
        <v>414</v>
      </c>
      <c r="AC183" t="str">
        <f t="shared" si="69"/>
        <v/>
      </c>
      <c r="AD183" t="str">
        <f>COUNTIFS(AC$2:AC183,AC183)&amp;AC183</f>
        <v>182</v>
      </c>
      <c r="AE183" t="str">
        <f t="shared" si="53"/>
        <v/>
      </c>
      <c r="AF183" t="str">
        <f t="shared" si="70"/>
        <v>..</v>
      </c>
      <c r="AG183" s="28" t="str">
        <f t="shared" si="54"/>
        <v/>
      </c>
      <c r="AH183" s="28" t="str">
        <f t="shared" si="55"/>
        <v/>
      </c>
      <c r="AI183" t="str">
        <f t="shared" si="56"/>
        <v/>
      </c>
      <c r="AJ183" t="str">
        <f t="shared" si="57"/>
        <v/>
      </c>
      <c r="AK183" t="str">
        <f t="shared" si="58"/>
        <v/>
      </c>
      <c r="AL183" t="str">
        <f t="shared" si="59"/>
        <v/>
      </c>
      <c r="AM183" t="str">
        <f t="shared" si="60"/>
        <v/>
      </c>
      <c r="AN183" t="str">
        <f t="shared" si="61"/>
        <v/>
      </c>
      <c r="AO183" t="str">
        <f t="shared" si="62"/>
        <v/>
      </c>
      <c r="AP183" t="str">
        <f t="shared" si="63"/>
        <v/>
      </c>
      <c r="AQ183" t="str">
        <f t="shared" si="64"/>
        <v/>
      </c>
      <c r="AR183" t="str">
        <f t="shared" si="65"/>
        <v/>
      </c>
      <c r="AS183" t="str">
        <f t="shared" si="66"/>
        <v/>
      </c>
      <c r="AT183" t="str">
        <f t="shared" si="67"/>
        <v/>
      </c>
      <c r="AU183" s="25" t="str">
        <f t="shared" si="71"/>
        <v/>
      </c>
      <c r="BA183">
        <f>'REGISTER SK'!F186</f>
        <v>0</v>
      </c>
    </row>
    <row r="184" spans="1:53" x14ac:dyDescent="0.35">
      <c r="A184" s="18">
        <v>183</v>
      </c>
      <c r="B184" s="36" t="s">
        <v>379</v>
      </c>
      <c r="C184" s="18" t="str">
        <f>IF(G184="","",IF(G184="Umum",G184,VLOOKUP(F184,'Data Induk Pegawai'!B:AE,4,FALSE)))</f>
        <v/>
      </c>
      <c r="D184" s="19" t="str">
        <f>IF('REGISTER SK'!A187="","",IF('REGISTER SK'!B187=0,D183,'REGISTER SK'!B187))</f>
        <v/>
      </c>
      <c r="E184" s="19" t="str">
        <f t="shared" si="68"/>
        <v/>
      </c>
      <c r="F184" s="29"/>
      <c r="G184" s="29"/>
      <c r="H184" s="31" t="str">
        <f>IF(F184="","",VLOOKUP(F184,'Data Induk Pegawai'!B:U,2,FALSE))</f>
        <v/>
      </c>
      <c r="I184" s="19" t="str">
        <f>IF('REGISTER SK'!C187="","",'REGISTER SK'!C187)</f>
        <v/>
      </c>
      <c r="J184" s="125"/>
      <c r="K184" s="125"/>
      <c r="L184" s="26" t="str">
        <f>IF('REGISTER SK'!D187="","",'REGISTER SK'!D187)</f>
        <v/>
      </c>
      <c r="M184" s="26" t="str">
        <f>IF('REGISTER SK'!E187="","",'REGISTER SK'!E187)</f>
        <v/>
      </c>
      <c r="N184" s="31" t="str">
        <f>IF(G184="","",IF(OR(G184="GTT",G184="PTT"),"--",VLOOKUP(F184,'Data Induk Pegawai'!B:AE,4,FALSE)))</f>
        <v/>
      </c>
      <c r="O184" s="18" t="s">
        <v>303</v>
      </c>
      <c r="P184" s="31" t="str">
        <f>IF(G184="","",VLOOKUP(F184,'Data Induk Pegawai'!B:AE,7,FALSE))</f>
        <v/>
      </c>
      <c r="Q184" s="30"/>
      <c r="R184" s="26" t="str">
        <f>IF(G184="","","Nomor "&amp;RIGHT(VLOOKUP(F184,'Data Induk Pegawai'!B:AE,12,FALSE),2)&amp;" Tahun "&amp;MID(VLOOKUP(F184,'Data Induk Pegawai'!B:AE,12,FALSE),5,4))</f>
        <v/>
      </c>
      <c r="S184" s="26" t="str">
        <f>IF(G184="","",VLOOKUP(F184,'Data Induk Pegawai'!B:AE,11,FALSE))</f>
        <v/>
      </c>
      <c r="T184" s="56"/>
      <c r="U184" s="18" t="str">
        <f t="shared" si="48"/>
        <v/>
      </c>
      <c r="V184" s="30"/>
      <c r="W184" s="18" t="str">
        <f t="shared" si="49"/>
        <v/>
      </c>
      <c r="X184" s="16"/>
      <c r="Y184" t="str">
        <f t="shared" si="50"/>
        <v/>
      </c>
      <c r="Z184" t="str">
        <f t="shared" si="51"/>
        <v/>
      </c>
      <c r="AA184" t="str">
        <f t="shared" si="52"/>
        <v/>
      </c>
      <c r="AB184" t="str">
        <f>COUNTIFS(AC184:AC$596,AC184)&amp;AC184</f>
        <v>413</v>
      </c>
      <c r="AC184" t="str">
        <f t="shared" si="69"/>
        <v/>
      </c>
      <c r="AD184" t="str">
        <f>COUNTIFS(AC$2:AC184,AC184)&amp;AC184</f>
        <v>183</v>
      </c>
      <c r="AE184" t="str">
        <f t="shared" si="53"/>
        <v/>
      </c>
      <c r="AF184" t="str">
        <f t="shared" si="70"/>
        <v>..</v>
      </c>
      <c r="AG184" s="28" t="str">
        <f t="shared" si="54"/>
        <v/>
      </c>
      <c r="AH184" s="28" t="str">
        <f t="shared" si="55"/>
        <v/>
      </c>
      <c r="AI184" t="str">
        <f t="shared" si="56"/>
        <v/>
      </c>
      <c r="AJ184" t="str">
        <f t="shared" si="57"/>
        <v/>
      </c>
      <c r="AK184" t="str">
        <f t="shared" si="58"/>
        <v/>
      </c>
      <c r="AL184" t="str">
        <f t="shared" si="59"/>
        <v/>
      </c>
      <c r="AM184" t="str">
        <f t="shared" si="60"/>
        <v/>
      </c>
      <c r="AN184" t="str">
        <f t="shared" si="61"/>
        <v/>
      </c>
      <c r="AO184" t="str">
        <f t="shared" si="62"/>
        <v/>
      </c>
      <c r="AP184" t="str">
        <f t="shared" si="63"/>
        <v/>
      </c>
      <c r="AQ184" t="str">
        <f t="shared" si="64"/>
        <v/>
      </c>
      <c r="AR184" t="str">
        <f t="shared" si="65"/>
        <v/>
      </c>
      <c r="AS184" t="str">
        <f t="shared" si="66"/>
        <v/>
      </c>
      <c r="AT184" t="str">
        <f t="shared" si="67"/>
        <v/>
      </c>
      <c r="AU184" s="25" t="str">
        <f t="shared" si="71"/>
        <v/>
      </c>
      <c r="BA184">
        <f>'REGISTER SK'!F187</f>
        <v>0</v>
      </c>
    </row>
    <row r="185" spans="1:53" x14ac:dyDescent="0.35">
      <c r="A185" s="18">
        <v>184</v>
      </c>
      <c r="B185" s="36" t="s">
        <v>379</v>
      </c>
      <c r="C185" s="18" t="str">
        <f>IF(G185="","",IF(G185="Umum",G185,VLOOKUP(F185,'Data Induk Pegawai'!B:AE,4,FALSE)))</f>
        <v/>
      </c>
      <c r="D185" s="19" t="str">
        <f>IF('REGISTER SK'!A188="","",IF('REGISTER SK'!B188=0,D184,'REGISTER SK'!B188))</f>
        <v/>
      </c>
      <c r="E185" s="19" t="str">
        <f t="shared" si="68"/>
        <v/>
      </c>
      <c r="F185" s="29"/>
      <c r="G185" s="29"/>
      <c r="H185" s="31" t="str">
        <f>IF(F185="","",VLOOKUP(F185,'Data Induk Pegawai'!B:U,2,FALSE))</f>
        <v/>
      </c>
      <c r="I185" s="19" t="str">
        <f>IF('REGISTER SK'!C188="","",'REGISTER SK'!C188)</f>
        <v/>
      </c>
      <c r="J185" s="125"/>
      <c r="K185" s="125"/>
      <c r="L185" s="26" t="str">
        <f>IF('REGISTER SK'!D188="","",'REGISTER SK'!D188)</f>
        <v/>
      </c>
      <c r="M185" s="26" t="str">
        <f>IF('REGISTER SK'!E188="","",'REGISTER SK'!E188)</f>
        <v/>
      </c>
      <c r="N185" s="31" t="str">
        <f>IF(G185="","",IF(OR(G185="GTT",G185="PTT"),"--",VLOOKUP(F185,'Data Induk Pegawai'!B:AE,4,FALSE)))</f>
        <v/>
      </c>
      <c r="O185" s="18" t="s">
        <v>304</v>
      </c>
      <c r="P185" s="31" t="str">
        <f>IF(G185="","",VLOOKUP(F185,'Data Induk Pegawai'!B:AE,7,FALSE))</f>
        <v/>
      </c>
      <c r="Q185" s="30"/>
      <c r="R185" s="26" t="str">
        <f>IF(G185="","","Nomor "&amp;RIGHT(VLOOKUP(F185,'Data Induk Pegawai'!B:AE,12,FALSE),2)&amp;" Tahun "&amp;MID(VLOOKUP(F185,'Data Induk Pegawai'!B:AE,12,FALSE),5,4))</f>
        <v/>
      </c>
      <c r="S185" s="26" t="str">
        <f>IF(G185="","",VLOOKUP(F185,'Data Induk Pegawai'!B:AE,11,FALSE))</f>
        <v/>
      </c>
      <c r="T185" s="56"/>
      <c r="U185" s="18" t="str">
        <f t="shared" si="48"/>
        <v/>
      </c>
      <c r="V185" s="30"/>
      <c r="W185" s="18" t="str">
        <f t="shared" si="49"/>
        <v/>
      </c>
      <c r="X185" s="16"/>
      <c r="Y185" t="str">
        <f t="shared" si="50"/>
        <v/>
      </c>
      <c r="Z185" t="str">
        <f t="shared" si="51"/>
        <v/>
      </c>
      <c r="AA185" t="str">
        <f t="shared" si="52"/>
        <v/>
      </c>
      <c r="AB185" t="str">
        <f>COUNTIFS(AC185:AC$596,AC185)&amp;AC185</f>
        <v>412</v>
      </c>
      <c r="AC185" t="str">
        <f t="shared" si="69"/>
        <v/>
      </c>
      <c r="AD185" t="str">
        <f>COUNTIFS(AC$2:AC185,AC185)&amp;AC185</f>
        <v>184</v>
      </c>
      <c r="AE185" t="str">
        <f t="shared" si="53"/>
        <v/>
      </c>
      <c r="AF185" t="str">
        <f t="shared" si="70"/>
        <v>..</v>
      </c>
      <c r="AG185" s="28" t="str">
        <f t="shared" si="54"/>
        <v/>
      </c>
      <c r="AH185" s="28" t="str">
        <f t="shared" si="55"/>
        <v/>
      </c>
      <c r="AI185" t="str">
        <f t="shared" si="56"/>
        <v/>
      </c>
      <c r="AJ185" t="str">
        <f t="shared" si="57"/>
        <v/>
      </c>
      <c r="AK185" t="str">
        <f t="shared" si="58"/>
        <v/>
      </c>
      <c r="AL185" t="str">
        <f t="shared" si="59"/>
        <v/>
      </c>
      <c r="AM185" t="str">
        <f t="shared" si="60"/>
        <v/>
      </c>
      <c r="AN185" t="str">
        <f t="shared" si="61"/>
        <v/>
      </c>
      <c r="AO185" t="str">
        <f t="shared" si="62"/>
        <v/>
      </c>
      <c r="AP185" t="str">
        <f t="shared" si="63"/>
        <v/>
      </c>
      <c r="AQ185" t="str">
        <f t="shared" si="64"/>
        <v/>
      </c>
      <c r="AR185" t="str">
        <f t="shared" si="65"/>
        <v/>
      </c>
      <c r="AS185" t="str">
        <f t="shared" si="66"/>
        <v/>
      </c>
      <c r="AT185" t="str">
        <f t="shared" si="67"/>
        <v/>
      </c>
      <c r="AU185" s="25" t="str">
        <f t="shared" si="71"/>
        <v/>
      </c>
      <c r="BA185">
        <f>'REGISTER SK'!F188</f>
        <v>0</v>
      </c>
    </row>
    <row r="186" spans="1:53" x14ac:dyDescent="0.35">
      <c r="A186" s="18">
        <v>185</v>
      </c>
      <c r="B186" s="36" t="s">
        <v>379</v>
      </c>
      <c r="C186" s="18" t="str">
        <f>IF(G186="","",IF(G186="Umum",G186,VLOOKUP(F186,'Data Induk Pegawai'!B:AE,4,FALSE)))</f>
        <v/>
      </c>
      <c r="D186" s="19" t="str">
        <f>IF('REGISTER SK'!A189="","",IF('REGISTER SK'!B189=0,D185,'REGISTER SK'!B189))</f>
        <v/>
      </c>
      <c r="E186" s="19" t="str">
        <f t="shared" si="68"/>
        <v/>
      </c>
      <c r="F186" s="29"/>
      <c r="G186" s="29"/>
      <c r="H186" s="31" t="str">
        <f>IF(F186="","",VLOOKUP(F186,'Data Induk Pegawai'!B:U,2,FALSE))</f>
        <v/>
      </c>
      <c r="I186" s="19" t="str">
        <f>IF('REGISTER SK'!C189="","",'REGISTER SK'!C189)</f>
        <v/>
      </c>
      <c r="J186" s="125"/>
      <c r="K186" s="125"/>
      <c r="L186" s="26" t="str">
        <f>IF('REGISTER SK'!D189="","",'REGISTER SK'!D189)</f>
        <v/>
      </c>
      <c r="M186" s="26" t="str">
        <f>IF('REGISTER SK'!E189="","",'REGISTER SK'!E189)</f>
        <v/>
      </c>
      <c r="N186" s="31" t="str">
        <f>IF(G186="","",IF(OR(G186="GTT",G186="PTT"),"--",VLOOKUP(F186,'Data Induk Pegawai'!B:AE,4,FALSE)))</f>
        <v/>
      </c>
      <c r="O186" s="18" t="s">
        <v>287</v>
      </c>
      <c r="P186" s="31" t="str">
        <f>IF(G186="","",VLOOKUP(F186,'Data Induk Pegawai'!B:AE,7,FALSE))</f>
        <v/>
      </c>
      <c r="Q186" s="30"/>
      <c r="R186" s="26" t="str">
        <f>IF(G186="","","Nomor "&amp;RIGHT(VLOOKUP(F186,'Data Induk Pegawai'!B:AE,12,FALSE),2)&amp;" Tahun "&amp;MID(VLOOKUP(F186,'Data Induk Pegawai'!B:AE,12,FALSE),5,4))</f>
        <v/>
      </c>
      <c r="S186" s="26" t="str">
        <f>IF(G186="","",VLOOKUP(F186,'Data Induk Pegawai'!B:AE,11,FALSE))</f>
        <v/>
      </c>
      <c r="T186" s="56"/>
      <c r="U186" s="18" t="str">
        <f t="shared" si="48"/>
        <v/>
      </c>
      <c r="V186" s="30"/>
      <c r="W186" s="18" t="str">
        <f t="shared" si="49"/>
        <v/>
      </c>
      <c r="X186" s="16"/>
      <c r="Y186" t="str">
        <f t="shared" si="50"/>
        <v/>
      </c>
      <c r="Z186" t="str">
        <f t="shared" si="51"/>
        <v/>
      </c>
      <c r="AA186" t="str">
        <f t="shared" si="52"/>
        <v/>
      </c>
      <c r="AB186" t="str">
        <f>COUNTIFS(AC186:AC$596,AC186)&amp;AC186</f>
        <v>411</v>
      </c>
      <c r="AC186" t="str">
        <f t="shared" si="69"/>
        <v/>
      </c>
      <c r="AD186" t="str">
        <f>COUNTIFS(AC$2:AC186,AC186)&amp;AC186</f>
        <v>185</v>
      </c>
      <c r="AE186" t="str">
        <f t="shared" si="53"/>
        <v/>
      </c>
      <c r="AF186" t="str">
        <f t="shared" si="70"/>
        <v>..</v>
      </c>
      <c r="AG186" s="28" t="str">
        <f t="shared" si="54"/>
        <v/>
      </c>
      <c r="AH186" s="28" t="str">
        <f t="shared" si="55"/>
        <v/>
      </c>
      <c r="AI186" t="str">
        <f t="shared" si="56"/>
        <v/>
      </c>
      <c r="AJ186" t="str">
        <f t="shared" si="57"/>
        <v/>
      </c>
      <c r="AK186" t="str">
        <f t="shared" si="58"/>
        <v/>
      </c>
      <c r="AL186" t="str">
        <f t="shared" si="59"/>
        <v/>
      </c>
      <c r="AM186" t="str">
        <f t="shared" si="60"/>
        <v/>
      </c>
      <c r="AN186" t="str">
        <f t="shared" si="61"/>
        <v/>
      </c>
      <c r="AO186" t="str">
        <f t="shared" si="62"/>
        <v/>
      </c>
      <c r="AP186" t="str">
        <f t="shared" si="63"/>
        <v/>
      </c>
      <c r="AQ186" t="str">
        <f t="shared" si="64"/>
        <v/>
      </c>
      <c r="AR186" t="str">
        <f t="shared" si="65"/>
        <v/>
      </c>
      <c r="AS186" t="str">
        <f t="shared" si="66"/>
        <v/>
      </c>
      <c r="AT186" t="str">
        <f t="shared" si="67"/>
        <v/>
      </c>
      <c r="AU186" s="25" t="str">
        <f t="shared" si="71"/>
        <v/>
      </c>
      <c r="BA186">
        <f>'REGISTER SK'!F189</f>
        <v>0</v>
      </c>
    </row>
    <row r="187" spans="1:53" x14ac:dyDescent="0.35">
      <c r="A187" s="18">
        <v>186</v>
      </c>
      <c r="B187" s="36" t="s">
        <v>379</v>
      </c>
      <c r="C187" s="18" t="str">
        <f>IF(G187="","",IF(G187="Umum",G187,VLOOKUP(F187,'Data Induk Pegawai'!B:AE,4,FALSE)))</f>
        <v/>
      </c>
      <c r="D187" s="19" t="str">
        <f>IF('REGISTER SK'!A190="","",IF('REGISTER SK'!B190=0,D186,'REGISTER SK'!B190))</f>
        <v/>
      </c>
      <c r="E187" s="19" t="str">
        <f t="shared" si="68"/>
        <v/>
      </c>
      <c r="F187" s="29"/>
      <c r="G187" s="29"/>
      <c r="H187" s="31" t="str">
        <f>IF(F187="","",VLOOKUP(F187,'Data Induk Pegawai'!B:U,2,FALSE))</f>
        <v/>
      </c>
      <c r="I187" s="19" t="str">
        <f>IF('REGISTER SK'!C190="","",'REGISTER SK'!C190)</f>
        <v/>
      </c>
      <c r="J187" s="125"/>
      <c r="K187" s="125"/>
      <c r="L187" s="26" t="str">
        <f>IF('REGISTER SK'!D190="","",'REGISTER SK'!D190)</f>
        <v/>
      </c>
      <c r="M187" s="26" t="str">
        <f>IF('REGISTER SK'!E190="","",'REGISTER SK'!E190)</f>
        <v/>
      </c>
      <c r="N187" s="31" t="str">
        <f>IF(G187="","",IF(OR(G187="GTT",G187="PTT"),"--",VLOOKUP(F187,'Data Induk Pegawai'!B:AE,4,FALSE)))</f>
        <v/>
      </c>
      <c r="O187" s="18" t="s">
        <v>288</v>
      </c>
      <c r="P187" s="31" t="str">
        <f>IF(G187="","",VLOOKUP(F187,'Data Induk Pegawai'!B:AE,7,FALSE))</f>
        <v/>
      </c>
      <c r="Q187" s="30"/>
      <c r="R187" s="26" t="str">
        <f>IF(G187="","","Nomor "&amp;RIGHT(VLOOKUP(F187,'Data Induk Pegawai'!B:AE,12,FALSE),2)&amp;" Tahun "&amp;MID(VLOOKUP(F187,'Data Induk Pegawai'!B:AE,12,FALSE),5,4))</f>
        <v/>
      </c>
      <c r="S187" s="26" t="str">
        <f>IF(G187="","",VLOOKUP(F187,'Data Induk Pegawai'!B:AE,11,FALSE))</f>
        <v/>
      </c>
      <c r="T187" s="56"/>
      <c r="U187" s="18" t="str">
        <f t="shared" si="48"/>
        <v/>
      </c>
      <c r="V187" s="30"/>
      <c r="W187" s="18" t="str">
        <f t="shared" si="49"/>
        <v/>
      </c>
      <c r="X187" s="16"/>
      <c r="Y187" t="str">
        <f t="shared" si="50"/>
        <v/>
      </c>
      <c r="Z187" t="str">
        <f t="shared" si="51"/>
        <v/>
      </c>
      <c r="AA187" t="str">
        <f t="shared" si="52"/>
        <v/>
      </c>
      <c r="AB187" t="str">
        <f>COUNTIFS(AC187:AC$596,AC187)&amp;AC187</f>
        <v>410</v>
      </c>
      <c r="AC187" t="str">
        <f t="shared" si="69"/>
        <v/>
      </c>
      <c r="AD187" t="str">
        <f>COUNTIFS(AC$2:AC187,AC187)&amp;AC187</f>
        <v>186</v>
      </c>
      <c r="AE187" t="str">
        <f t="shared" si="53"/>
        <v/>
      </c>
      <c r="AF187" t="str">
        <f t="shared" si="70"/>
        <v>..</v>
      </c>
      <c r="AG187" s="28" t="str">
        <f t="shared" si="54"/>
        <v/>
      </c>
      <c r="AH187" s="28" t="str">
        <f t="shared" si="55"/>
        <v/>
      </c>
      <c r="AI187" t="str">
        <f t="shared" si="56"/>
        <v/>
      </c>
      <c r="AJ187" t="str">
        <f t="shared" si="57"/>
        <v/>
      </c>
      <c r="AK187" t="str">
        <f t="shared" si="58"/>
        <v/>
      </c>
      <c r="AL187" t="str">
        <f t="shared" si="59"/>
        <v/>
      </c>
      <c r="AM187" t="str">
        <f t="shared" si="60"/>
        <v/>
      </c>
      <c r="AN187" t="str">
        <f t="shared" si="61"/>
        <v/>
      </c>
      <c r="AO187" t="str">
        <f t="shared" si="62"/>
        <v/>
      </c>
      <c r="AP187" t="str">
        <f t="shared" si="63"/>
        <v/>
      </c>
      <c r="AQ187" t="str">
        <f t="shared" si="64"/>
        <v/>
      </c>
      <c r="AR187" t="str">
        <f t="shared" si="65"/>
        <v/>
      </c>
      <c r="AS187" t="str">
        <f t="shared" si="66"/>
        <v/>
      </c>
      <c r="AT187" t="str">
        <f t="shared" si="67"/>
        <v/>
      </c>
      <c r="AU187" s="25" t="str">
        <f t="shared" si="71"/>
        <v/>
      </c>
      <c r="BA187">
        <f>'REGISTER SK'!F190</f>
        <v>0</v>
      </c>
    </row>
    <row r="188" spans="1:53" x14ac:dyDescent="0.35">
      <c r="A188" s="18">
        <v>187</v>
      </c>
      <c r="B188" s="36" t="s">
        <v>379</v>
      </c>
      <c r="C188" s="18" t="str">
        <f>IF(G188="","",IF(G188="Umum",G188,VLOOKUP(F188,'Data Induk Pegawai'!B:AE,4,FALSE)))</f>
        <v/>
      </c>
      <c r="D188" s="19" t="str">
        <f>IF('REGISTER SK'!A191="","",IF('REGISTER SK'!B191=0,D187,'REGISTER SK'!B191))</f>
        <v/>
      </c>
      <c r="E188" s="19" t="str">
        <f t="shared" si="68"/>
        <v/>
      </c>
      <c r="F188" s="29"/>
      <c r="G188" s="29"/>
      <c r="H188" s="31" t="str">
        <f>IF(F188="","",VLOOKUP(F188,'Data Induk Pegawai'!B:U,2,FALSE))</f>
        <v/>
      </c>
      <c r="I188" s="19" t="str">
        <f>IF('REGISTER SK'!C191="","",'REGISTER SK'!C191)</f>
        <v/>
      </c>
      <c r="J188" s="125"/>
      <c r="K188" s="125"/>
      <c r="L188" s="26" t="str">
        <f>IF('REGISTER SK'!D191="","",'REGISTER SK'!D191)</f>
        <v/>
      </c>
      <c r="M188" s="26" t="str">
        <f>IF('REGISTER SK'!E191="","",'REGISTER SK'!E191)</f>
        <v/>
      </c>
      <c r="N188" s="31" t="str">
        <f>IF(G188="","",IF(OR(G188="GTT",G188="PTT"),"--",VLOOKUP(F188,'Data Induk Pegawai'!B:AE,4,FALSE)))</f>
        <v/>
      </c>
      <c r="O188" s="18" t="s">
        <v>294</v>
      </c>
      <c r="P188" s="31" t="str">
        <f>IF(G188="","",VLOOKUP(F188,'Data Induk Pegawai'!B:AE,7,FALSE))</f>
        <v/>
      </c>
      <c r="Q188" s="30"/>
      <c r="R188" s="26" t="str">
        <f>IF(G188="","","Nomor "&amp;RIGHT(VLOOKUP(F188,'Data Induk Pegawai'!B:AE,12,FALSE),2)&amp;" Tahun "&amp;MID(VLOOKUP(F188,'Data Induk Pegawai'!B:AE,12,FALSE),5,4))</f>
        <v/>
      </c>
      <c r="S188" s="26" t="str">
        <f>IF(G188="","",VLOOKUP(F188,'Data Induk Pegawai'!B:AE,11,FALSE))</f>
        <v/>
      </c>
      <c r="T188" s="56"/>
      <c r="U188" s="18" t="str">
        <f t="shared" si="48"/>
        <v/>
      </c>
      <c r="V188" s="30"/>
      <c r="W188" s="18" t="str">
        <f t="shared" si="49"/>
        <v/>
      </c>
      <c r="X188" s="16"/>
      <c r="Y188" t="str">
        <f t="shared" si="50"/>
        <v/>
      </c>
      <c r="Z188" t="str">
        <f t="shared" si="51"/>
        <v/>
      </c>
      <c r="AA188" t="str">
        <f t="shared" si="52"/>
        <v/>
      </c>
      <c r="AB188" t="str">
        <f>COUNTIFS(AC188:AC$596,AC188)&amp;AC188</f>
        <v>409</v>
      </c>
      <c r="AC188" t="str">
        <f t="shared" si="69"/>
        <v/>
      </c>
      <c r="AD188" t="str">
        <f>COUNTIFS(AC$2:AC188,AC188)&amp;AC188</f>
        <v>187</v>
      </c>
      <c r="AE188" t="str">
        <f t="shared" si="53"/>
        <v/>
      </c>
      <c r="AF188" t="str">
        <f t="shared" si="70"/>
        <v>..</v>
      </c>
      <c r="AG188" s="28" t="str">
        <f t="shared" si="54"/>
        <v/>
      </c>
      <c r="AH188" s="28" t="str">
        <f t="shared" si="55"/>
        <v/>
      </c>
      <c r="AI188" t="str">
        <f t="shared" si="56"/>
        <v/>
      </c>
      <c r="AJ188" t="str">
        <f t="shared" si="57"/>
        <v/>
      </c>
      <c r="AK188" t="str">
        <f t="shared" si="58"/>
        <v/>
      </c>
      <c r="AL188" t="str">
        <f t="shared" si="59"/>
        <v/>
      </c>
      <c r="AM188" t="str">
        <f t="shared" si="60"/>
        <v/>
      </c>
      <c r="AN188" t="str">
        <f t="shared" si="61"/>
        <v/>
      </c>
      <c r="AO188" t="str">
        <f t="shared" si="62"/>
        <v/>
      </c>
      <c r="AP188" t="str">
        <f t="shared" si="63"/>
        <v/>
      </c>
      <c r="AQ188" t="str">
        <f t="shared" si="64"/>
        <v/>
      </c>
      <c r="AR188" t="str">
        <f t="shared" si="65"/>
        <v/>
      </c>
      <c r="AS188" t="str">
        <f t="shared" si="66"/>
        <v/>
      </c>
      <c r="AT188" t="str">
        <f t="shared" si="67"/>
        <v/>
      </c>
      <c r="AU188" s="25" t="str">
        <f t="shared" si="71"/>
        <v/>
      </c>
      <c r="BA188">
        <f>'REGISTER SK'!F191</f>
        <v>0</v>
      </c>
    </row>
    <row r="189" spans="1:53" x14ac:dyDescent="0.35">
      <c r="A189" s="18">
        <v>188</v>
      </c>
      <c r="B189" s="36" t="s">
        <v>379</v>
      </c>
      <c r="C189" s="18" t="str">
        <f>IF(G189="","",IF(G189="Umum",G189,VLOOKUP(F189,'Data Induk Pegawai'!B:AE,4,FALSE)))</f>
        <v/>
      </c>
      <c r="D189" s="19" t="str">
        <f>IF('REGISTER SK'!A192="","",IF('REGISTER SK'!B192=0,D188,'REGISTER SK'!B192))</f>
        <v/>
      </c>
      <c r="E189" s="19" t="str">
        <f t="shared" si="68"/>
        <v/>
      </c>
      <c r="F189" s="29"/>
      <c r="G189" s="29"/>
      <c r="H189" s="31" t="str">
        <f>IF(F189="","",VLOOKUP(F189,'Data Induk Pegawai'!B:U,2,FALSE))</f>
        <v/>
      </c>
      <c r="I189" s="19" t="str">
        <f>IF('REGISTER SK'!C192="","",'REGISTER SK'!C192)</f>
        <v/>
      </c>
      <c r="J189" s="125"/>
      <c r="K189" s="125"/>
      <c r="L189" s="26" t="str">
        <f>IF('REGISTER SK'!D192="","",'REGISTER SK'!D192)</f>
        <v/>
      </c>
      <c r="M189" s="26" t="str">
        <f>IF('REGISTER SK'!E192="","",'REGISTER SK'!E192)</f>
        <v/>
      </c>
      <c r="N189" s="31" t="str">
        <f>IF(G189="","",IF(OR(G189="GTT",G189="PTT"),"--",VLOOKUP(F189,'Data Induk Pegawai'!B:AE,4,FALSE)))</f>
        <v/>
      </c>
      <c r="O189" s="18" t="s">
        <v>299</v>
      </c>
      <c r="P189" s="31" t="str">
        <f>IF(G189="","",VLOOKUP(F189,'Data Induk Pegawai'!B:AE,7,FALSE))</f>
        <v/>
      </c>
      <c r="Q189" s="30"/>
      <c r="R189" s="26" t="str">
        <f>IF(G189="","","Nomor "&amp;RIGHT(VLOOKUP(F189,'Data Induk Pegawai'!B:AE,12,FALSE),2)&amp;" Tahun "&amp;MID(VLOOKUP(F189,'Data Induk Pegawai'!B:AE,12,FALSE),5,4))</f>
        <v/>
      </c>
      <c r="S189" s="26" t="str">
        <f>IF(G189="","",VLOOKUP(F189,'Data Induk Pegawai'!B:AE,11,FALSE))</f>
        <v/>
      </c>
      <c r="T189" s="56"/>
      <c r="U189" s="18" t="str">
        <f t="shared" si="48"/>
        <v/>
      </c>
      <c r="V189" s="30"/>
      <c r="W189" s="18" t="str">
        <f t="shared" si="49"/>
        <v/>
      </c>
      <c r="X189" s="16"/>
      <c r="Y189" t="str">
        <f t="shared" si="50"/>
        <v/>
      </c>
      <c r="Z189" t="str">
        <f t="shared" si="51"/>
        <v/>
      </c>
      <c r="AA189" t="str">
        <f t="shared" si="52"/>
        <v/>
      </c>
      <c r="AB189" t="str">
        <f>COUNTIFS(AC189:AC$596,AC189)&amp;AC189</f>
        <v>408</v>
      </c>
      <c r="AC189" t="str">
        <f t="shared" si="69"/>
        <v/>
      </c>
      <c r="AD189" t="str">
        <f>COUNTIFS(AC$2:AC189,AC189)&amp;AC189</f>
        <v>188</v>
      </c>
      <c r="AE189" t="str">
        <f t="shared" si="53"/>
        <v/>
      </c>
      <c r="AF189" t="str">
        <f t="shared" si="70"/>
        <v>..</v>
      </c>
      <c r="AG189" s="28" t="str">
        <f t="shared" si="54"/>
        <v/>
      </c>
      <c r="AH189" s="28" t="str">
        <f t="shared" si="55"/>
        <v/>
      </c>
      <c r="AI189" t="str">
        <f t="shared" si="56"/>
        <v/>
      </c>
      <c r="AJ189" t="str">
        <f t="shared" si="57"/>
        <v/>
      </c>
      <c r="AK189" t="str">
        <f t="shared" si="58"/>
        <v/>
      </c>
      <c r="AL189" t="str">
        <f t="shared" si="59"/>
        <v/>
      </c>
      <c r="AM189" t="str">
        <f t="shared" si="60"/>
        <v/>
      </c>
      <c r="AN189" t="str">
        <f t="shared" si="61"/>
        <v/>
      </c>
      <c r="AO189" t="str">
        <f t="shared" si="62"/>
        <v/>
      </c>
      <c r="AP189" t="str">
        <f t="shared" si="63"/>
        <v/>
      </c>
      <c r="AQ189" t="str">
        <f t="shared" si="64"/>
        <v/>
      </c>
      <c r="AR189" t="str">
        <f t="shared" si="65"/>
        <v/>
      </c>
      <c r="AS189" t="str">
        <f t="shared" si="66"/>
        <v/>
      </c>
      <c r="AT189" t="str">
        <f t="shared" si="67"/>
        <v/>
      </c>
      <c r="AU189" s="25" t="str">
        <f t="shared" si="71"/>
        <v/>
      </c>
      <c r="BA189">
        <f>'REGISTER SK'!F192</f>
        <v>0</v>
      </c>
    </row>
    <row r="190" spans="1:53" x14ac:dyDescent="0.35">
      <c r="A190" s="18">
        <v>189</v>
      </c>
      <c r="B190" s="36" t="s">
        <v>379</v>
      </c>
      <c r="C190" s="18" t="str">
        <f>IF(G190="","",IF(G190="Umum",G190,VLOOKUP(F190,'Data Induk Pegawai'!B:AE,4,FALSE)))</f>
        <v/>
      </c>
      <c r="D190" s="19" t="str">
        <f>IF('REGISTER SK'!A193="","",IF('REGISTER SK'!B193=0,D189,'REGISTER SK'!B193))</f>
        <v/>
      </c>
      <c r="E190" s="19" t="str">
        <f t="shared" si="68"/>
        <v/>
      </c>
      <c r="F190" s="29"/>
      <c r="G190" s="29"/>
      <c r="H190" s="31" t="str">
        <f>IF(F190="","",VLOOKUP(F190,'Data Induk Pegawai'!B:U,2,FALSE))</f>
        <v/>
      </c>
      <c r="I190" s="19" t="str">
        <f>IF('REGISTER SK'!C193="","",'REGISTER SK'!C193)</f>
        <v/>
      </c>
      <c r="J190" s="125"/>
      <c r="K190" s="125"/>
      <c r="L190" s="26" t="str">
        <f>IF('REGISTER SK'!D193="","",'REGISTER SK'!D193)</f>
        <v/>
      </c>
      <c r="M190" s="26" t="str">
        <f>IF('REGISTER SK'!E193="","",'REGISTER SK'!E193)</f>
        <v/>
      </c>
      <c r="N190" s="31" t="str">
        <f>IF(G190="","",IF(OR(G190="GTT",G190="PTT"),"--",VLOOKUP(F190,'Data Induk Pegawai'!B:AE,4,FALSE)))</f>
        <v/>
      </c>
      <c r="O190" s="18" t="s">
        <v>305</v>
      </c>
      <c r="P190" s="31" t="str">
        <f>IF(G190="","",VLOOKUP(F190,'Data Induk Pegawai'!B:AE,7,FALSE))</f>
        <v/>
      </c>
      <c r="Q190" s="30"/>
      <c r="R190" s="26" t="str">
        <f>IF(G190="","","Nomor "&amp;RIGHT(VLOOKUP(F190,'Data Induk Pegawai'!B:AE,12,FALSE),2)&amp;" Tahun "&amp;MID(VLOOKUP(F190,'Data Induk Pegawai'!B:AE,12,FALSE),5,4))</f>
        <v/>
      </c>
      <c r="S190" s="26" t="str">
        <f>IF(G190="","",VLOOKUP(F190,'Data Induk Pegawai'!B:AE,11,FALSE))</f>
        <v/>
      </c>
      <c r="T190" s="56"/>
      <c r="U190" s="18" t="str">
        <f t="shared" si="48"/>
        <v/>
      </c>
      <c r="V190" s="30"/>
      <c r="W190" s="18" t="str">
        <f t="shared" si="49"/>
        <v/>
      </c>
      <c r="X190" s="16"/>
      <c r="Y190" t="str">
        <f t="shared" si="50"/>
        <v/>
      </c>
      <c r="Z190" t="str">
        <f t="shared" si="51"/>
        <v/>
      </c>
      <c r="AA190" t="str">
        <f t="shared" si="52"/>
        <v/>
      </c>
      <c r="AB190" t="str">
        <f>COUNTIFS(AC190:AC$596,AC190)&amp;AC190</f>
        <v>407</v>
      </c>
      <c r="AC190" t="str">
        <f t="shared" si="69"/>
        <v/>
      </c>
      <c r="AD190" t="str">
        <f>COUNTIFS(AC$2:AC190,AC190)&amp;AC190</f>
        <v>189</v>
      </c>
      <c r="AE190" t="str">
        <f t="shared" si="53"/>
        <v/>
      </c>
      <c r="AF190" t="str">
        <f t="shared" si="70"/>
        <v>..</v>
      </c>
      <c r="AG190" s="28" t="str">
        <f t="shared" si="54"/>
        <v/>
      </c>
      <c r="AH190" s="28" t="str">
        <f t="shared" si="55"/>
        <v/>
      </c>
      <c r="AI190" t="str">
        <f t="shared" si="56"/>
        <v/>
      </c>
      <c r="AJ190" t="str">
        <f t="shared" si="57"/>
        <v/>
      </c>
      <c r="AK190" t="str">
        <f t="shared" si="58"/>
        <v/>
      </c>
      <c r="AL190" t="str">
        <f t="shared" si="59"/>
        <v/>
      </c>
      <c r="AM190" t="str">
        <f t="shared" si="60"/>
        <v/>
      </c>
      <c r="AN190" t="str">
        <f t="shared" si="61"/>
        <v/>
      </c>
      <c r="AO190" t="str">
        <f t="shared" si="62"/>
        <v/>
      </c>
      <c r="AP190" t="str">
        <f t="shared" si="63"/>
        <v/>
      </c>
      <c r="AQ190" t="str">
        <f t="shared" si="64"/>
        <v/>
      </c>
      <c r="AR190" t="str">
        <f t="shared" si="65"/>
        <v/>
      </c>
      <c r="AS190" t="str">
        <f t="shared" si="66"/>
        <v/>
      </c>
      <c r="AT190" t="str">
        <f t="shared" si="67"/>
        <v/>
      </c>
      <c r="AU190" s="25" t="str">
        <f t="shared" si="71"/>
        <v/>
      </c>
      <c r="BA190">
        <f>'REGISTER SK'!F193</f>
        <v>0</v>
      </c>
    </row>
    <row r="191" spans="1:53" x14ac:dyDescent="0.35">
      <c r="A191" s="18">
        <v>190</v>
      </c>
      <c r="B191" s="36" t="s">
        <v>379</v>
      </c>
      <c r="C191" s="18" t="str">
        <f>IF(G191="","",IF(G191="Umum",G191,VLOOKUP(F191,'Data Induk Pegawai'!B:AE,4,FALSE)))</f>
        <v/>
      </c>
      <c r="D191" s="19" t="str">
        <f>IF('REGISTER SK'!A194="","",IF('REGISTER SK'!B194=0,D190,'REGISTER SK'!B194))</f>
        <v/>
      </c>
      <c r="E191" s="19" t="str">
        <f t="shared" si="68"/>
        <v/>
      </c>
      <c r="F191" s="29"/>
      <c r="G191" s="29"/>
      <c r="H191" s="31" t="str">
        <f>IF(F191="","",VLOOKUP(F191,'Data Induk Pegawai'!B:U,2,FALSE))</f>
        <v/>
      </c>
      <c r="I191" s="19" t="str">
        <f>IF('REGISTER SK'!C194="","",'REGISTER SK'!C194)</f>
        <v/>
      </c>
      <c r="J191" s="125"/>
      <c r="K191" s="125"/>
      <c r="L191" s="26" t="str">
        <f>IF('REGISTER SK'!D194="","",'REGISTER SK'!D194)</f>
        <v/>
      </c>
      <c r="M191" s="26" t="str">
        <f>IF('REGISTER SK'!E194="","",'REGISTER SK'!E194)</f>
        <v/>
      </c>
      <c r="N191" s="31" t="str">
        <f>IF(G191="","",IF(OR(G191="GTT",G191="PTT"),"--",VLOOKUP(F191,'Data Induk Pegawai'!B:AE,4,FALSE)))</f>
        <v/>
      </c>
      <c r="O191" s="18" t="s">
        <v>310</v>
      </c>
      <c r="P191" s="31" t="str">
        <f>IF(G191="","",VLOOKUP(F191,'Data Induk Pegawai'!B:AE,7,FALSE))</f>
        <v/>
      </c>
      <c r="Q191" s="30"/>
      <c r="R191" s="26" t="str">
        <f>IF(G191="","","Nomor "&amp;RIGHT(VLOOKUP(F191,'Data Induk Pegawai'!B:AE,12,FALSE),2)&amp;" Tahun "&amp;MID(VLOOKUP(F191,'Data Induk Pegawai'!B:AE,12,FALSE),5,4))</f>
        <v/>
      </c>
      <c r="S191" s="26" t="str">
        <f>IF(G191="","",VLOOKUP(F191,'Data Induk Pegawai'!B:AE,11,FALSE))</f>
        <v/>
      </c>
      <c r="T191" s="56"/>
      <c r="U191" s="18" t="str">
        <f t="shared" si="48"/>
        <v/>
      </c>
      <c r="V191" s="30"/>
      <c r="W191" s="18" t="str">
        <f t="shared" si="49"/>
        <v/>
      </c>
      <c r="X191" s="16"/>
      <c r="Y191" t="str">
        <f t="shared" si="50"/>
        <v/>
      </c>
      <c r="Z191" t="str">
        <f t="shared" si="51"/>
        <v/>
      </c>
      <c r="AA191" t="str">
        <f t="shared" si="52"/>
        <v/>
      </c>
      <c r="AB191" t="str">
        <f>COUNTIFS(AC191:AC$596,AC191)&amp;AC191</f>
        <v>406</v>
      </c>
      <c r="AC191" t="str">
        <f t="shared" si="69"/>
        <v/>
      </c>
      <c r="AD191" t="str">
        <f>COUNTIFS(AC$2:AC191,AC191)&amp;AC191</f>
        <v>190</v>
      </c>
      <c r="AE191" t="str">
        <f t="shared" si="53"/>
        <v/>
      </c>
      <c r="AF191" t="str">
        <f t="shared" si="70"/>
        <v>..</v>
      </c>
      <c r="AG191" s="28" t="str">
        <f t="shared" si="54"/>
        <v/>
      </c>
      <c r="AH191" s="28" t="str">
        <f t="shared" si="55"/>
        <v/>
      </c>
      <c r="AI191" t="str">
        <f t="shared" si="56"/>
        <v/>
      </c>
      <c r="AJ191" t="str">
        <f t="shared" si="57"/>
        <v/>
      </c>
      <c r="AK191" t="str">
        <f t="shared" si="58"/>
        <v/>
      </c>
      <c r="AL191" t="str">
        <f t="shared" si="59"/>
        <v/>
      </c>
      <c r="AM191" t="str">
        <f t="shared" si="60"/>
        <v/>
      </c>
      <c r="AN191" t="str">
        <f t="shared" si="61"/>
        <v/>
      </c>
      <c r="AO191" t="str">
        <f t="shared" si="62"/>
        <v/>
      </c>
      <c r="AP191" t="str">
        <f t="shared" si="63"/>
        <v/>
      </c>
      <c r="AQ191" t="str">
        <f t="shared" si="64"/>
        <v/>
      </c>
      <c r="AR191" t="str">
        <f t="shared" si="65"/>
        <v/>
      </c>
      <c r="AS191" t="str">
        <f t="shared" si="66"/>
        <v/>
      </c>
      <c r="AT191" t="str">
        <f t="shared" si="67"/>
        <v/>
      </c>
      <c r="AU191" s="25" t="str">
        <f t="shared" si="71"/>
        <v/>
      </c>
      <c r="BA191">
        <f>'REGISTER SK'!F194</f>
        <v>0</v>
      </c>
    </row>
    <row r="192" spans="1:53" x14ac:dyDescent="0.35">
      <c r="A192" s="18">
        <v>191</v>
      </c>
      <c r="B192" s="36" t="s">
        <v>379</v>
      </c>
      <c r="C192" s="18" t="str">
        <f>IF(G192="","",IF(G192="Umum",G192,VLOOKUP(F192,'Data Induk Pegawai'!B:AE,4,FALSE)))</f>
        <v/>
      </c>
      <c r="D192" s="19" t="str">
        <f>IF('REGISTER SK'!A195="","",IF('REGISTER SK'!B195=0,D191,'REGISTER SK'!B195))</f>
        <v/>
      </c>
      <c r="E192" s="19" t="str">
        <f t="shared" si="68"/>
        <v/>
      </c>
      <c r="F192" s="29"/>
      <c r="G192" s="29"/>
      <c r="H192" s="31" t="str">
        <f>IF(F192="","",VLOOKUP(F192,'Data Induk Pegawai'!B:U,2,FALSE))</f>
        <v/>
      </c>
      <c r="I192" s="19" t="str">
        <f>IF('REGISTER SK'!C195="","",'REGISTER SK'!C195)</f>
        <v/>
      </c>
      <c r="J192" s="125"/>
      <c r="K192" s="125"/>
      <c r="L192" s="26" t="str">
        <f>IF('REGISTER SK'!D195="","",'REGISTER SK'!D195)</f>
        <v/>
      </c>
      <c r="M192" s="26" t="str">
        <f>IF('REGISTER SK'!E195="","",'REGISTER SK'!E195)</f>
        <v/>
      </c>
      <c r="N192" s="31" t="str">
        <f>IF(G192="","",IF(OR(G192="GTT",G192="PTT"),"--",VLOOKUP(F192,'Data Induk Pegawai'!B:AE,4,FALSE)))</f>
        <v/>
      </c>
      <c r="O192" s="18" t="s">
        <v>306</v>
      </c>
      <c r="P192" s="31" t="str">
        <f>IF(G192="","",VLOOKUP(F192,'Data Induk Pegawai'!B:AE,7,FALSE))</f>
        <v/>
      </c>
      <c r="Q192" s="30"/>
      <c r="R192" s="26" t="str">
        <f>IF(G192="","","Nomor "&amp;RIGHT(VLOOKUP(F192,'Data Induk Pegawai'!B:AE,12,FALSE),2)&amp;" Tahun "&amp;MID(VLOOKUP(F192,'Data Induk Pegawai'!B:AE,12,FALSE),5,4))</f>
        <v/>
      </c>
      <c r="S192" s="26" t="str">
        <f>IF(G192="","",VLOOKUP(F192,'Data Induk Pegawai'!B:AE,11,FALSE))</f>
        <v/>
      </c>
      <c r="T192" s="56"/>
      <c r="U192" s="18" t="str">
        <f t="shared" si="48"/>
        <v/>
      </c>
      <c r="V192" s="30"/>
      <c r="W192" s="18" t="str">
        <f t="shared" si="49"/>
        <v/>
      </c>
      <c r="X192" s="16"/>
      <c r="Y192" t="str">
        <f t="shared" si="50"/>
        <v/>
      </c>
      <c r="Z192" t="str">
        <f t="shared" si="51"/>
        <v/>
      </c>
      <c r="AA192" t="str">
        <f t="shared" si="52"/>
        <v/>
      </c>
      <c r="AB192" t="str">
        <f>COUNTIFS(AC192:AC$596,AC192)&amp;AC192</f>
        <v>405</v>
      </c>
      <c r="AC192" t="str">
        <f t="shared" si="69"/>
        <v/>
      </c>
      <c r="AD192" t="str">
        <f>COUNTIFS(AC$2:AC192,AC192)&amp;AC192</f>
        <v>191</v>
      </c>
      <c r="AE192" t="str">
        <f t="shared" si="53"/>
        <v/>
      </c>
      <c r="AF192" t="str">
        <f t="shared" si="70"/>
        <v>..</v>
      </c>
      <c r="AG192" s="28" t="str">
        <f t="shared" si="54"/>
        <v/>
      </c>
      <c r="AH192" s="28" t="str">
        <f t="shared" si="55"/>
        <v/>
      </c>
      <c r="AI192" t="str">
        <f t="shared" si="56"/>
        <v/>
      </c>
      <c r="AJ192" t="str">
        <f t="shared" si="57"/>
        <v/>
      </c>
      <c r="AK192" t="str">
        <f t="shared" si="58"/>
        <v/>
      </c>
      <c r="AL192" t="str">
        <f t="shared" si="59"/>
        <v/>
      </c>
      <c r="AM192" t="str">
        <f t="shared" si="60"/>
        <v/>
      </c>
      <c r="AN192" t="str">
        <f t="shared" si="61"/>
        <v/>
      </c>
      <c r="AO192" t="str">
        <f t="shared" si="62"/>
        <v/>
      </c>
      <c r="AP192" t="str">
        <f t="shared" si="63"/>
        <v/>
      </c>
      <c r="AQ192" t="str">
        <f t="shared" si="64"/>
        <v/>
      </c>
      <c r="AR192" t="str">
        <f t="shared" si="65"/>
        <v/>
      </c>
      <c r="AS192" t="str">
        <f t="shared" si="66"/>
        <v/>
      </c>
      <c r="AT192" t="str">
        <f t="shared" si="67"/>
        <v/>
      </c>
      <c r="AU192" s="25" t="str">
        <f t="shared" si="71"/>
        <v/>
      </c>
      <c r="BA192">
        <f>'REGISTER SK'!F195</f>
        <v>0</v>
      </c>
    </row>
    <row r="193" spans="1:53" x14ac:dyDescent="0.35">
      <c r="A193" s="18">
        <v>192</v>
      </c>
      <c r="B193" s="36" t="s">
        <v>379</v>
      </c>
      <c r="C193" s="18" t="str">
        <f>IF(G193="","",IF(G193="Umum",G193,VLOOKUP(F193,'Data Induk Pegawai'!B:AE,4,FALSE)))</f>
        <v/>
      </c>
      <c r="D193" s="19" t="str">
        <f>IF('REGISTER SK'!A196="","",IF('REGISTER SK'!B196=0,D192,'REGISTER SK'!B196))</f>
        <v/>
      </c>
      <c r="E193" s="19" t="str">
        <f t="shared" si="68"/>
        <v/>
      </c>
      <c r="F193" s="29"/>
      <c r="G193" s="29"/>
      <c r="H193" s="31" t="str">
        <f>IF(F193="","",VLOOKUP(F193,'Data Induk Pegawai'!B:U,2,FALSE))</f>
        <v/>
      </c>
      <c r="I193" s="19" t="str">
        <f>IF('REGISTER SK'!C196="","",'REGISTER SK'!C196)</f>
        <v/>
      </c>
      <c r="J193" s="125"/>
      <c r="K193" s="125"/>
      <c r="L193" s="26" t="str">
        <f>IF('REGISTER SK'!D196="","",'REGISTER SK'!D196)</f>
        <v/>
      </c>
      <c r="M193" s="26" t="str">
        <f>IF('REGISTER SK'!E196="","",'REGISTER SK'!E196)</f>
        <v/>
      </c>
      <c r="N193" s="31" t="str">
        <f>IF(G193="","",IF(OR(G193="GTT",G193="PTT"),"--",VLOOKUP(F193,'Data Induk Pegawai'!B:AE,4,FALSE)))</f>
        <v/>
      </c>
      <c r="O193" s="18" t="s">
        <v>307</v>
      </c>
      <c r="P193" s="31" t="str">
        <f>IF(G193="","",VLOOKUP(F193,'Data Induk Pegawai'!B:AE,7,FALSE))</f>
        <v/>
      </c>
      <c r="Q193" s="30"/>
      <c r="R193" s="26" t="str">
        <f>IF(G193="","","Nomor "&amp;RIGHT(VLOOKUP(F193,'Data Induk Pegawai'!B:AE,12,FALSE),2)&amp;" Tahun "&amp;MID(VLOOKUP(F193,'Data Induk Pegawai'!B:AE,12,FALSE),5,4))</f>
        <v/>
      </c>
      <c r="S193" s="26" t="str">
        <f>IF(G193="","",VLOOKUP(F193,'Data Induk Pegawai'!B:AE,11,FALSE))</f>
        <v/>
      </c>
      <c r="T193" s="56"/>
      <c r="U193" s="18" t="str">
        <f t="shared" si="48"/>
        <v/>
      </c>
      <c r="V193" s="30"/>
      <c r="W193" s="18" t="str">
        <f t="shared" si="49"/>
        <v/>
      </c>
      <c r="X193" s="16"/>
      <c r="Y193" t="str">
        <f t="shared" si="50"/>
        <v/>
      </c>
      <c r="Z193" t="str">
        <f t="shared" si="51"/>
        <v/>
      </c>
      <c r="AA193" t="str">
        <f t="shared" si="52"/>
        <v/>
      </c>
      <c r="AB193" t="str">
        <f>COUNTIFS(AC193:AC$596,AC193)&amp;AC193</f>
        <v>404</v>
      </c>
      <c r="AC193" t="str">
        <f t="shared" si="69"/>
        <v/>
      </c>
      <c r="AD193" t="str">
        <f>COUNTIFS(AC$2:AC193,AC193)&amp;AC193</f>
        <v>192</v>
      </c>
      <c r="AE193" t="str">
        <f t="shared" si="53"/>
        <v/>
      </c>
      <c r="AF193" t="str">
        <f t="shared" si="70"/>
        <v>..</v>
      </c>
      <c r="AG193" s="28" t="str">
        <f t="shared" si="54"/>
        <v/>
      </c>
      <c r="AH193" s="28" t="str">
        <f t="shared" si="55"/>
        <v/>
      </c>
      <c r="AI193" t="str">
        <f t="shared" si="56"/>
        <v/>
      </c>
      <c r="AJ193" t="str">
        <f t="shared" si="57"/>
        <v/>
      </c>
      <c r="AK193" t="str">
        <f t="shared" si="58"/>
        <v/>
      </c>
      <c r="AL193" t="str">
        <f t="shared" si="59"/>
        <v/>
      </c>
      <c r="AM193" t="str">
        <f t="shared" si="60"/>
        <v/>
      </c>
      <c r="AN193" t="str">
        <f t="shared" si="61"/>
        <v/>
      </c>
      <c r="AO193" t="str">
        <f t="shared" si="62"/>
        <v/>
      </c>
      <c r="AP193" t="str">
        <f t="shared" si="63"/>
        <v/>
      </c>
      <c r="AQ193" t="str">
        <f t="shared" si="64"/>
        <v/>
      </c>
      <c r="AR193" t="str">
        <f t="shared" si="65"/>
        <v/>
      </c>
      <c r="AS193" t="str">
        <f t="shared" si="66"/>
        <v/>
      </c>
      <c r="AT193" t="str">
        <f t="shared" si="67"/>
        <v/>
      </c>
      <c r="AU193" s="25" t="str">
        <f t="shared" si="71"/>
        <v/>
      </c>
      <c r="BA193">
        <f>'REGISTER SK'!F196</f>
        <v>0</v>
      </c>
    </row>
    <row r="194" spans="1:53" x14ac:dyDescent="0.35">
      <c r="A194" s="18">
        <v>193</v>
      </c>
      <c r="B194" s="36" t="s">
        <v>379</v>
      </c>
      <c r="C194" s="18" t="str">
        <f>IF(G194="","",IF(G194="Umum",G194,VLOOKUP(F194,'Data Induk Pegawai'!B:AE,4,FALSE)))</f>
        <v/>
      </c>
      <c r="D194" s="19" t="str">
        <f>IF('REGISTER SK'!A197="","",IF('REGISTER SK'!B197=0,D193,'REGISTER SK'!B197))</f>
        <v/>
      </c>
      <c r="E194" s="19" t="str">
        <f t="shared" si="68"/>
        <v/>
      </c>
      <c r="F194" s="29"/>
      <c r="G194" s="29"/>
      <c r="H194" s="31" t="str">
        <f>IF(F194="","",VLOOKUP(F194,'Data Induk Pegawai'!B:U,2,FALSE))</f>
        <v/>
      </c>
      <c r="I194" s="19" t="str">
        <f>IF('REGISTER SK'!C197="","",'REGISTER SK'!C197)</f>
        <v/>
      </c>
      <c r="J194" s="125"/>
      <c r="K194" s="125"/>
      <c r="L194" s="26" t="str">
        <f>IF('REGISTER SK'!D197="","",'REGISTER SK'!D197)</f>
        <v/>
      </c>
      <c r="M194" s="26" t="str">
        <f>IF('REGISTER SK'!E197="","",'REGISTER SK'!E197)</f>
        <v/>
      </c>
      <c r="N194" s="31" t="str">
        <f>IF(G194="","",IF(OR(G194="GTT",G194="PTT"),"--",VLOOKUP(F194,'Data Induk Pegawai'!B:AE,4,FALSE)))</f>
        <v/>
      </c>
      <c r="O194" s="18" t="s">
        <v>308</v>
      </c>
      <c r="P194" s="31" t="str">
        <f>IF(G194="","",VLOOKUP(F194,'Data Induk Pegawai'!B:AE,7,FALSE))</f>
        <v/>
      </c>
      <c r="Q194" s="30"/>
      <c r="R194" s="26" t="str">
        <f>IF(G194="","","Nomor "&amp;RIGHT(VLOOKUP(F194,'Data Induk Pegawai'!B:AE,12,FALSE),2)&amp;" Tahun "&amp;MID(VLOOKUP(F194,'Data Induk Pegawai'!B:AE,12,FALSE),5,4))</f>
        <v/>
      </c>
      <c r="S194" s="26" t="str">
        <f>IF(G194="","",VLOOKUP(F194,'Data Induk Pegawai'!B:AE,11,FALSE))</f>
        <v/>
      </c>
      <c r="T194" s="56"/>
      <c r="U194" s="18" t="str">
        <f t="shared" ref="U194:U257" si="72">IF(Y194="","",IF(Z194&lt;1,AA194&amp;" Bulan",IF(AND(Z194&gt;0,AA194=0),Z194&amp;" Tahun",Z194&amp;" Tahun "&amp;AA194&amp;" Bulan")))</f>
        <v/>
      </c>
      <c r="V194" s="30"/>
      <c r="W194" s="18" t="str">
        <f t="shared" ref="W194:W257" si="73">V194&amp;H194</f>
        <v/>
      </c>
      <c r="X194" s="16"/>
      <c r="Y194" t="str">
        <f t="shared" ref="Y194:Y257" si="74">IFERROR(IF(S194="","",DATEDIF(S194,M194,"M")),"?")</f>
        <v/>
      </c>
      <c r="Z194" t="str">
        <f t="shared" ref="Z194:Z257" si="75">IFERROR(IF(Y194="","",ROUNDDOWN(Y194/12,0)),"-")</f>
        <v/>
      </c>
      <c r="AA194" t="str">
        <f t="shared" ref="AA194:AA257" si="76">IFERROR(IF(Y194="","",Y194-Z194*12),"-")</f>
        <v/>
      </c>
      <c r="AB194" t="str">
        <f>COUNTIFS(AC194:AC$596,AC194)&amp;AC194</f>
        <v>403</v>
      </c>
      <c r="AC194" t="str">
        <f t="shared" si="69"/>
        <v/>
      </c>
      <c r="AD194" t="str">
        <f>COUNTIFS(AC$2:AC194,AC194)&amp;AC194</f>
        <v>193</v>
      </c>
      <c r="AE194" t="str">
        <f t="shared" ref="AE194:AE257" si="77">IF(LEFT(V194,16)="SK Pemberhentian",E194&amp;"OUT"&amp;F194,E194&amp;G194&amp;F194)</f>
        <v/>
      </c>
      <c r="AF194" t="str">
        <f t="shared" si="70"/>
        <v>..</v>
      </c>
      <c r="AG194" s="28" t="str">
        <f t="shared" ref="AG194:AG257" si="78">L194</f>
        <v/>
      </c>
      <c r="AH194" s="28" t="str">
        <f t="shared" ref="AH194:AH257" si="79">M194</f>
        <v/>
      </c>
      <c r="AI194" t="str">
        <f t="shared" ref="AI194:AI257" si="80">IF(AG194="","",AJ194&amp;" "&amp;VLOOKUP(AK194,AX:AY,2,FALSE)&amp;" "&amp;AL194)</f>
        <v/>
      </c>
      <c r="AJ194" t="str">
        <f t="shared" ref="AJ194:AJ257" si="81">TEXT(AG194,"D")</f>
        <v/>
      </c>
      <c r="AK194" t="str">
        <f t="shared" ref="AK194:AK257" si="82">TEXT(AG194,"MMMM")</f>
        <v/>
      </c>
      <c r="AL194" t="str">
        <f t="shared" ref="AL194:AL257" si="83">TEXT(AG194,"YYYY")</f>
        <v/>
      </c>
      <c r="AM194" t="str">
        <f t="shared" ref="AM194:AM257" si="84">IF(AI194="","",AN194&amp;" "&amp;VLOOKUP(AO194,AX:AY,2,FALSE)&amp;" "&amp;AP194)</f>
        <v/>
      </c>
      <c r="AN194" t="str">
        <f t="shared" ref="AN194:AN257" si="85">TEXT(S194,"D")</f>
        <v/>
      </c>
      <c r="AO194" t="str">
        <f t="shared" ref="AO194:AO257" si="86">TEXT(S194,"MMMM")</f>
        <v/>
      </c>
      <c r="AP194" t="str">
        <f t="shared" ref="AP194:AP257" si="87">TEXT(S194,"YYYY")</f>
        <v/>
      </c>
      <c r="AQ194" t="str">
        <f t="shared" ref="AQ194:AQ257" si="88">IF(AM194="","",AR194&amp;" "&amp;VLOOKUP(AS194,AX:AY,2,FALSE)&amp;" "&amp;AT194)</f>
        <v/>
      </c>
      <c r="AR194" t="str">
        <f t="shared" ref="AR194:AR257" si="89">TEXT(M194,"D")</f>
        <v/>
      </c>
      <c r="AS194" t="str">
        <f t="shared" ref="AS194:AS257" si="90">TEXT(M194,"MMMM")</f>
        <v/>
      </c>
      <c r="AT194" t="str">
        <f t="shared" ref="AT194:AT257" si="91">TEXT(M194,"YYYY")</f>
        <v/>
      </c>
      <c r="AU194" s="25" t="str">
        <f t="shared" si="71"/>
        <v/>
      </c>
      <c r="BA194">
        <f>'REGISTER SK'!F197</f>
        <v>0</v>
      </c>
    </row>
    <row r="195" spans="1:53" x14ac:dyDescent="0.35">
      <c r="A195" s="18">
        <v>194</v>
      </c>
      <c r="B195" s="36" t="s">
        <v>379</v>
      </c>
      <c r="C195" s="18" t="str">
        <f>IF(G195="","",IF(G195="Umum",G195,VLOOKUP(F195,'Data Induk Pegawai'!B:AE,4,FALSE)))</f>
        <v/>
      </c>
      <c r="D195" s="19" t="str">
        <f>IF('REGISTER SK'!A198="","",IF('REGISTER SK'!B198=0,D194,'REGISTER SK'!B198))</f>
        <v/>
      </c>
      <c r="E195" s="19" t="str">
        <f t="shared" ref="E195:E258" si="92">IF(D195="","",D195&amp;"/"&amp;D195+1)</f>
        <v/>
      </c>
      <c r="F195" s="29"/>
      <c r="G195" s="29"/>
      <c r="H195" s="31" t="str">
        <f>IF(F195="","",VLOOKUP(F195,'Data Induk Pegawai'!B:U,2,FALSE))</f>
        <v/>
      </c>
      <c r="I195" s="19" t="str">
        <f>IF('REGISTER SK'!C198="","",'REGISTER SK'!C198)</f>
        <v/>
      </c>
      <c r="J195" s="125"/>
      <c r="K195" s="125"/>
      <c r="L195" s="26" t="str">
        <f>IF('REGISTER SK'!D198="","",'REGISTER SK'!D198)</f>
        <v/>
      </c>
      <c r="M195" s="26" t="str">
        <f>IF('REGISTER SK'!E198="","",'REGISTER SK'!E198)</f>
        <v/>
      </c>
      <c r="N195" s="31" t="str">
        <f>IF(G195="","",IF(OR(G195="GTT",G195="PTT"),"--",VLOOKUP(F195,'Data Induk Pegawai'!B:AE,4,FALSE)))</f>
        <v/>
      </c>
      <c r="O195" s="18" t="s">
        <v>309</v>
      </c>
      <c r="P195" s="31" t="str">
        <f>IF(G195="","",VLOOKUP(F195,'Data Induk Pegawai'!B:AE,7,FALSE))</f>
        <v/>
      </c>
      <c r="Q195" s="30"/>
      <c r="R195" s="26" t="str">
        <f>IF(G195="","","Nomor "&amp;RIGHT(VLOOKUP(F195,'Data Induk Pegawai'!B:AE,12,FALSE),2)&amp;" Tahun "&amp;MID(VLOOKUP(F195,'Data Induk Pegawai'!B:AE,12,FALSE),5,4))</f>
        <v/>
      </c>
      <c r="S195" s="26" t="str">
        <f>IF(G195="","",VLOOKUP(F195,'Data Induk Pegawai'!B:AE,11,FALSE))</f>
        <v/>
      </c>
      <c r="T195" s="56"/>
      <c r="U195" s="18" t="str">
        <f t="shared" si="72"/>
        <v/>
      </c>
      <c r="V195" s="30"/>
      <c r="W195" s="18" t="str">
        <f t="shared" si="73"/>
        <v/>
      </c>
      <c r="X195" s="16"/>
      <c r="Y195" t="str">
        <f t="shared" si="74"/>
        <v/>
      </c>
      <c r="Z195" t="str">
        <f t="shared" si="75"/>
        <v/>
      </c>
      <c r="AA195" t="str">
        <f t="shared" si="76"/>
        <v/>
      </c>
      <c r="AB195" t="str">
        <f>COUNTIFS(AC195:AC$596,AC195)&amp;AC195</f>
        <v>402</v>
      </c>
      <c r="AC195" t="str">
        <f t="shared" ref="AC195:AC258" si="93">IF(LEFT(V195,16)="SK Pemberhentian","OUT"&amp;F195,IF(RIGHT(G195,2)="TT","GPTT",IF(RIGHT(G195,2)="TY","GPTY",G195))&amp;F195)</f>
        <v/>
      </c>
      <c r="AD195" t="str">
        <f>COUNTIFS(AC$2:AC195,AC195)&amp;AC195</f>
        <v>194</v>
      </c>
      <c r="AE195" t="str">
        <f t="shared" si="77"/>
        <v/>
      </c>
      <c r="AF195" t="str">
        <f t="shared" ref="AF195:AF258" si="94">G195&amp;"."&amp;D195&amp;"."&amp;I195</f>
        <v>..</v>
      </c>
      <c r="AG195" s="28" t="str">
        <f t="shared" si="78"/>
        <v/>
      </c>
      <c r="AH195" s="28" t="str">
        <f t="shared" si="79"/>
        <v/>
      </c>
      <c r="AI195" t="str">
        <f t="shared" si="80"/>
        <v/>
      </c>
      <c r="AJ195" t="str">
        <f t="shared" si="81"/>
        <v/>
      </c>
      <c r="AK195" t="str">
        <f t="shared" si="82"/>
        <v/>
      </c>
      <c r="AL195" t="str">
        <f t="shared" si="83"/>
        <v/>
      </c>
      <c r="AM195" t="str">
        <f t="shared" si="84"/>
        <v/>
      </c>
      <c r="AN195" t="str">
        <f t="shared" si="85"/>
        <v/>
      </c>
      <c r="AO195" t="str">
        <f t="shared" si="86"/>
        <v/>
      </c>
      <c r="AP195" t="str">
        <f t="shared" si="87"/>
        <v/>
      </c>
      <c r="AQ195" t="str">
        <f t="shared" si="88"/>
        <v/>
      </c>
      <c r="AR195" t="str">
        <f t="shared" si="89"/>
        <v/>
      </c>
      <c r="AS195" t="str">
        <f t="shared" si="90"/>
        <v/>
      </c>
      <c r="AT195" t="str">
        <f t="shared" si="91"/>
        <v/>
      </c>
      <c r="AU195" s="25" t="str">
        <f t="shared" ref="AU195:AU258" si="95">IF(OR(G195="Umum",G195=""),"",VLOOKUP(VALUE(TEXT(M195,"M")-1),AW:AY,3,FALSE))</f>
        <v/>
      </c>
      <c r="BA195">
        <f>'REGISTER SK'!F198</f>
        <v>0</v>
      </c>
    </row>
    <row r="196" spans="1:53" x14ac:dyDescent="0.35">
      <c r="A196" s="18">
        <v>195</v>
      </c>
      <c r="B196" s="36" t="s">
        <v>379</v>
      </c>
      <c r="C196" s="18" t="str">
        <f>IF(G196="","",IF(G196="Umum",G196,VLOOKUP(F196,'Data Induk Pegawai'!B:AE,4,FALSE)))</f>
        <v/>
      </c>
      <c r="D196" s="19" t="str">
        <f>IF('REGISTER SK'!A199="","",IF('REGISTER SK'!B199=0,D195,'REGISTER SK'!B199))</f>
        <v/>
      </c>
      <c r="E196" s="19" t="str">
        <f t="shared" si="92"/>
        <v/>
      </c>
      <c r="F196" s="29"/>
      <c r="G196" s="29"/>
      <c r="H196" s="31" t="str">
        <f>IF(F196="","",VLOOKUP(F196,'Data Induk Pegawai'!B:U,2,FALSE))</f>
        <v/>
      </c>
      <c r="I196" s="19" t="str">
        <f>IF('REGISTER SK'!C199="","",'REGISTER SK'!C199)</f>
        <v/>
      </c>
      <c r="J196" s="125"/>
      <c r="K196" s="125"/>
      <c r="L196" s="26" t="str">
        <f>IF('REGISTER SK'!D199="","",'REGISTER SK'!D199)</f>
        <v/>
      </c>
      <c r="M196" s="26" t="str">
        <f>IF('REGISTER SK'!E199="","",'REGISTER SK'!E199)</f>
        <v/>
      </c>
      <c r="N196" s="31" t="str">
        <f>IF(G196="","",IF(OR(G196="GTT",G196="PTT"),"--",VLOOKUP(F196,'Data Induk Pegawai'!B:AE,4,FALSE)))</f>
        <v/>
      </c>
      <c r="O196" s="18" t="s">
        <v>311</v>
      </c>
      <c r="P196" s="31" t="str">
        <f>IF(G196="","",VLOOKUP(F196,'Data Induk Pegawai'!B:AE,7,FALSE))</f>
        <v/>
      </c>
      <c r="Q196" s="30"/>
      <c r="R196" s="26" t="str">
        <f>IF(G196="","","Nomor "&amp;RIGHT(VLOOKUP(F196,'Data Induk Pegawai'!B:AE,12,FALSE),2)&amp;" Tahun "&amp;MID(VLOOKUP(F196,'Data Induk Pegawai'!B:AE,12,FALSE),5,4))</f>
        <v/>
      </c>
      <c r="S196" s="26" t="str">
        <f>IF(G196="","",VLOOKUP(F196,'Data Induk Pegawai'!B:AE,11,FALSE))</f>
        <v/>
      </c>
      <c r="T196" s="56"/>
      <c r="U196" s="18" t="str">
        <f t="shared" si="72"/>
        <v/>
      </c>
      <c r="V196" s="30"/>
      <c r="W196" s="18" t="str">
        <f t="shared" si="73"/>
        <v/>
      </c>
      <c r="X196" s="16"/>
      <c r="Y196" t="str">
        <f t="shared" si="74"/>
        <v/>
      </c>
      <c r="Z196" t="str">
        <f t="shared" si="75"/>
        <v/>
      </c>
      <c r="AA196" t="str">
        <f t="shared" si="76"/>
        <v/>
      </c>
      <c r="AB196" t="str">
        <f>COUNTIFS(AC196:AC$596,AC196)&amp;AC196</f>
        <v>401</v>
      </c>
      <c r="AC196" t="str">
        <f t="shared" si="93"/>
        <v/>
      </c>
      <c r="AD196" t="str">
        <f>COUNTIFS(AC$2:AC196,AC196)&amp;AC196</f>
        <v>195</v>
      </c>
      <c r="AE196" t="str">
        <f t="shared" si="77"/>
        <v/>
      </c>
      <c r="AF196" t="str">
        <f t="shared" si="94"/>
        <v>..</v>
      </c>
      <c r="AG196" s="28" t="str">
        <f t="shared" si="78"/>
        <v/>
      </c>
      <c r="AH196" s="28" t="str">
        <f t="shared" si="79"/>
        <v/>
      </c>
      <c r="AI196" t="str">
        <f t="shared" si="80"/>
        <v/>
      </c>
      <c r="AJ196" t="str">
        <f t="shared" si="81"/>
        <v/>
      </c>
      <c r="AK196" t="str">
        <f t="shared" si="82"/>
        <v/>
      </c>
      <c r="AL196" t="str">
        <f t="shared" si="83"/>
        <v/>
      </c>
      <c r="AM196" t="str">
        <f t="shared" si="84"/>
        <v/>
      </c>
      <c r="AN196" t="str">
        <f t="shared" si="85"/>
        <v/>
      </c>
      <c r="AO196" t="str">
        <f t="shared" si="86"/>
        <v/>
      </c>
      <c r="AP196" t="str">
        <f t="shared" si="87"/>
        <v/>
      </c>
      <c r="AQ196" t="str">
        <f t="shared" si="88"/>
        <v/>
      </c>
      <c r="AR196" t="str">
        <f t="shared" si="89"/>
        <v/>
      </c>
      <c r="AS196" t="str">
        <f t="shared" si="90"/>
        <v/>
      </c>
      <c r="AT196" t="str">
        <f t="shared" si="91"/>
        <v/>
      </c>
      <c r="AU196" s="25" t="str">
        <f t="shared" si="95"/>
        <v/>
      </c>
      <c r="BA196">
        <f>'REGISTER SK'!F199</f>
        <v>0</v>
      </c>
    </row>
    <row r="197" spans="1:53" x14ac:dyDescent="0.35">
      <c r="A197" s="18">
        <v>196</v>
      </c>
      <c r="B197" s="36" t="s">
        <v>379</v>
      </c>
      <c r="C197" s="18" t="str">
        <f>IF(G197="","",IF(G197="Umum",G197,VLOOKUP(F197,'Data Induk Pegawai'!B:AE,4,FALSE)))</f>
        <v/>
      </c>
      <c r="D197" s="19" t="str">
        <f>IF('REGISTER SK'!A200="","",IF('REGISTER SK'!B200=0,D196,'REGISTER SK'!B200))</f>
        <v/>
      </c>
      <c r="E197" s="19" t="str">
        <f t="shared" si="92"/>
        <v/>
      </c>
      <c r="F197" s="29"/>
      <c r="G197" s="29"/>
      <c r="H197" s="31" t="str">
        <f>IF(F197="","",VLOOKUP(F197,'Data Induk Pegawai'!B:U,2,FALSE))</f>
        <v/>
      </c>
      <c r="I197" s="19" t="str">
        <f>IF('REGISTER SK'!C200="","",'REGISTER SK'!C200)</f>
        <v/>
      </c>
      <c r="J197" s="125"/>
      <c r="K197" s="125"/>
      <c r="L197" s="26" t="str">
        <f>IF('REGISTER SK'!D200="","",'REGISTER SK'!D200)</f>
        <v/>
      </c>
      <c r="M197" s="26" t="str">
        <f>IF('REGISTER SK'!E200="","",'REGISTER SK'!E200)</f>
        <v/>
      </c>
      <c r="N197" s="31" t="str">
        <f>IF(G197="","",IF(OR(G197="GTT",G197="PTT"),"--",VLOOKUP(F197,'Data Induk Pegawai'!B:AE,4,FALSE)))</f>
        <v/>
      </c>
      <c r="O197" s="18" t="s">
        <v>312</v>
      </c>
      <c r="P197" s="31" t="str">
        <f>IF(G197="","",VLOOKUP(F197,'Data Induk Pegawai'!B:AE,7,FALSE))</f>
        <v/>
      </c>
      <c r="Q197" s="30"/>
      <c r="R197" s="26" t="str">
        <f>IF(G197="","","Nomor "&amp;RIGHT(VLOOKUP(F197,'Data Induk Pegawai'!B:AE,12,FALSE),2)&amp;" Tahun "&amp;MID(VLOOKUP(F197,'Data Induk Pegawai'!B:AE,12,FALSE),5,4))</f>
        <v/>
      </c>
      <c r="S197" s="26" t="str">
        <f>IF(G197="","",VLOOKUP(F197,'Data Induk Pegawai'!B:AE,11,FALSE))</f>
        <v/>
      </c>
      <c r="T197" s="56"/>
      <c r="U197" s="18" t="str">
        <f t="shared" si="72"/>
        <v/>
      </c>
      <c r="V197" s="30"/>
      <c r="W197" s="18" t="str">
        <f t="shared" si="73"/>
        <v/>
      </c>
      <c r="X197" s="16"/>
      <c r="Y197" t="str">
        <f t="shared" si="74"/>
        <v/>
      </c>
      <c r="Z197" t="str">
        <f t="shared" si="75"/>
        <v/>
      </c>
      <c r="AA197" t="str">
        <f t="shared" si="76"/>
        <v/>
      </c>
      <c r="AB197" t="str">
        <f>COUNTIFS(AC197:AC$596,AC197)&amp;AC197</f>
        <v>400</v>
      </c>
      <c r="AC197" t="str">
        <f t="shared" si="93"/>
        <v/>
      </c>
      <c r="AD197" t="str">
        <f>COUNTIFS(AC$2:AC197,AC197)&amp;AC197</f>
        <v>196</v>
      </c>
      <c r="AE197" t="str">
        <f t="shared" si="77"/>
        <v/>
      </c>
      <c r="AF197" t="str">
        <f t="shared" si="94"/>
        <v>..</v>
      </c>
      <c r="AG197" s="28" t="str">
        <f t="shared" si="78"/>
        <v/>
      </c>
      <c r="AH197" s="28" t="str">
        <f t="shared" si="79"/>
        <v/>
      </c>
      <c r="AI197" t="str">
        <f t="shared" si="80"/>
        <v/>
      </c>
      <c r="AJ197" t="str">
        <f t="shared" si="81"/>
        <v/>
      </c>
      <c r="AK197" t="str">
        <f t="shared" si="82"/>
        <v/>
      </c>
      <c r="AL197" t="str">
        <f t="shared" si="83"/>
        <v/>
      </c>
      <c r="AM197" t="str">
        <f t="shared" si="84"/>
        <v/>
      </c>
      <c r="AN197" t="str">
        <f t="shared" si="85"/>
        <v/>
      </c>
      <c r="AO197" t="str">
        <f t="shared" si="86"/>
        <v/>
      </c>
      <c r="AP197" t="str">
        <f t="shared" si="87"/>
        <v/>
      </c>
      <c r="AQ197" t="str">
        <f t="shared" si="88"/>
        <v/>
      </c>
      <c r="AR197" t="str">
        <f t="shared" si="89"/>
        <v/>
      </c>
      <c r="AS197" t="str">
        <f t="shared" si="90"/>
        <v/>
      </c>
      <c r="AT197" t="str">
        <f t="shared" si="91"/>
        <v/>
      </c>
      <c r="AU197" s="25" t="str">
        <f t="shared" si="95"/>
        <v/>
      </c>
      <c r="BA197">
        <f>'REGISTER SK'!F200</f>
        <v>0</v>
      </c>
    </row>
    <row r="198" spans="1:53" x14ac:dyDescent="0.35">
      <c r="A198" s="18">
        <v>197</v>
      </c>
      <c r="B198" s="36" t="s">
        <v>379</v>
      </c>
      <c r="C198" s="18" t="str">
        <f>IF(G198="","",IF(G198="Umum",G198,VLOOKUP(F198,'Data Induk Pegawai'!B:AE,4,FALSE)))</f>
        <v/>
      </c>
      <c r="D198" s="19" t="str">
        <f>IF('REGISTER SK'!A201="","",IF('REGISTER SK'!B201=0,D197,'REGISTER SK'!B201))</f>
        <v/>
      </c>
      <c r="E198" s="19" t="str">
        <f t="shared" si="92"/>
        <v/>
      </c>
      <c r="F198" s="29"/>
      <c r="G198" s="29"/>
      <c r="H198" s="31" t="str">
        <f>IF(F198="","",VLOOKUP(F198,'Data Induk Pegawai'!B:U,2,FALSE))</f>
        <v/>
      </c>
      <c r="I198" s="19" t="str">
        <f>IF('REGISTER SK'!C201="","",'REGISTER SK'!C201)</f>
        <v/>
      </c>
      <c r="J198" s="125"/>
      <c r="K198" s="125"/>
      <c r="L198" s="26" t="str">
        <f>IF('REGISTER SK'!D201="","",'REGISTER SK'!D201)</f>
        <v/>
      </c>
      <c r="M198" s="26" t="str">
        <f>IF('REGISTER SK'!E201="","",'REGISTER SK'!E201)</f>
        <v/>
      </c>
      <c r="N198" s="31" t="str">
        <f>IF(G198="","",IF(OR(G198="GTT",G198="PTT"),"--",VLOOKUP(F198,'Data Induk Pegawai'!B:AE,4,FALSE)))</f>
        <v/>
      </c>
      <c r="O198" s="18" t="s">
        <v>313</v>
      </c>
      <c r="P198" s="31" t="str">
        <f>IF(G198="","",VLOOKUP(F198,'Data Induk Pegawai'!B:AE,7,FALSE))</f>
        <v/>
      </c>
      <c r="Q198" s="30"/>
      <c r="R198" s="26" t="str">
        <f>IF(G198="","","Nomor "&amp;RIGHT(VLOOKUP(F198,'Data Induk Pegawai'!B:AE,12,FALSE),2)&amp;" Tahun "&amp;MID(VLOOKUP(F198,'Data Induk Pegawai'!B:AE,12,FALSE),5,4))</f>
        <v/>
      </c>
      <c r="S198" s="26" t="str">
        <f>IF(G198="","",VLOOKUP(F198,'Data Induk Pegawai'!B:AE,11,FALSE))</f>
        <v/>
      </c>
      <c r="T198" s="56"/>
      <c r="U198" s="18" t="str">
        <f t="shared" si="72"/>
        <v/>
      </c>
      <c r="V198" s="30"/>
      <c r="W198" s="18" t="str">
        <f t="shared" si="73"/>
        <v/>
      </c>
      <c r="X198" s="16"/>
      <c r="Y198" t="str">
        <f t="shared" si="74"/>
        <v/>
      </c>
      <c r="Z198" t="str">
        <f t="shared" si="75"/>
        <v/>
      </c>
      <c r="AA198" t="str">
        <f t="shared" si="76"/>
        <v/>
      </c>
      <c r="AB198" t="str">
        <f>COUNTIFS(AC198:AC$596,AC198)&amp;AC198</f>
        <v>399</v>
      </c>
      <c r="AC198" t="str">
        <f t="shared" si="93"/>
        <v/>
      </c>
      <c r="AD198" t="str">
        <f>COUNTIFS(AC$2:AC198,AC198)&amp;AC198</f>
        <v>197</v>
      </c>
      <c r="AE198" t="str">
        <f t="shared" si="77"/>
        <v/>
      </c>
      <c r="AF198" t="str">
        <f t="shared" si="94"/>
        <v>..</v>
      </c>
      <c r="AG198" s="28" t="str">
        <f t="shared" si="78"/>
        <v/>
      </c>
      <c r="AH198" s="28" t="str">
        <f t="shared" si="79"/>
        <v/>
      </c>
      <c r="AI198" t="str">
        <f t="shared" si="80"/>
        <v/>
      </c>
      <c r="AJ198" t="str">
        <f t="shared" si="81"/>
        <v/>
      </c>
      <c r="AK198" t="str">
        <f t="shared" si="82"/>
        <v/>
      </c>
      <c r="AL198" t="str">
        <f t="shared" si="83"/>
        <v/>
      </c>
      <c r="AM198" t="str">
        <f t="shared" si="84"/>
        <v/>
      </c>
      <c r="AN198" t="str">
        <f t="shared" si="85"/>
        <v/>
      </c>
      <c r="AO198" t="str">
        <f t="shared" si="86"/>
        <v/>
      </c>
      <c r="AP198" t="str">
        <f t="shared" si="87"/>
        <v/>
      </c>
      <c r="AQ198" t="str">
        <f t="shared" si="88"/>
        <v/>
      </c>
      <c r="AR198" t="str">
        <f t="shared" si="89"/>
        <v/>
      </c>
      <c r="AS198" t="str">
        <f t="shared" si="90"/>
        <v/>
      </c>
      <c r="AT198" t="str">
        <f t="shared" si="91"/>
        <v/>
      </c>
      <c r="AU198" s="25" t="str">
        <f t="shared" si="95"/>
        <v/>
      </c>
      <c r="BA198">
        <f>'REGISTER SK'!F201</f>
        <v>0</v>
      </c>
    </row>
    <row r="199" spans="1:53" x14ac:dyDescent="0.35">
      <c r="A199" s="18">
        <v>198</v>
      </c>
      <c r="B199" s="36" t="s">
        <v>379</v>
      </c>
      <c r="C199" s="18" t="str">
        <f>IF(G199="","",IF(G199="Umum",G199,VLOOKUP(F199,'Data Induk Pegawai'!B:AE,4,FALSE)))</f>
        <v/>
      </c>
      <c r="D199" s="19" t="str">
        <f>IF('REGISTER SK'!A202="","",IF('REGISTER SK'!B202=0,D198,'REGISTER SK'!B202))</f>
        <v/>
      </c>
      <c r="E199" s="19" t="str">
        <f t="shared" si="92"/>
        <v/>
      </c>
      <c r="F199" s="29"/>
      <c r="G199" s="29"/>
      <c r="H199" s="31" t="str">
        <f>IF(F199="","",VLOOKUP(F199,'Data Induk Pegawai'!B:U,2,FALSE))</f>
        <v/>
      </c>
      <c r="I199" s="19" t="str">
        <f>IF('REGISTER SK'!C202="","",'REGISTER SK'!C202)</f>
        <v/>
      </c>
      <c r="J199" s="125"/>
      <c r="K199" s="125"/>
      <c r="L199" s="26" t="str">
        <f>IF('REGISTER SK'!D202="","",'REGISTER SK'!D202)</f>
        <v/>
      </c>
      <c r="M199" s="26" t="str">
        <f>IF('REGISTER SK'!E202="","",'REGISTER SK'!E202)</f>
        <v/>
      </c>
      <c r="N199" s="31" t="str">
        <f>IF(G199="","",IF(OR(G199="GTT",G199="PTT"),"--",VLOOKUP(F199,'Data Induk Pegawai'!B:AE,4,FALSE)))</f>
        <v/>
      </c>
      <c r="O199" s="18" t="s">
        <v>317</v>
      </c>
      <c r="P199" s="31" t="str">
        <f>IF(G199="","",VLOOKUP(F199,'Data Induk Pegawai'!B:AE,7,FALSE))</f>
        <v/>
      </c>
      <c r="Q199" s="30"/>
      <c r="R199" s="26" t="str">
        <f>IF(G199="","","Nomor "&amp;RIGHT(VLOOKUP(F199,'Data Induk Pegawai'!B:AE,12,FALSE),2)&amp;" Tahun "&amp;MID(VLOOKUP(F199,'Data Induk Pegawai'!B:AE,12,FALSE),5,4))</f>
        <v/>
      </c>
      <c r="S199" s="26" t="str">
        <f>IF(G199="","",VLOOKUP(F199,'Data Induk Pegawai'!B:AE,11,FALSE))</f>
        <v/>
      </c>
      <c r="T199" s="56"/>
      <c r="U199" s="18" t="str">
        <f t="shared" si="72"/>
        <v/>
      </c>
      <c r="V199" s="30"/>
      <c r="W199" s="18" t="str">
        <f t="shared" si="73"/>
        <v/>
      </c>
      <c r="X199" s="16"/>
      <c r="Y199" t="str">
        <f t="shared" si="74"/>
        <v/>
      </c>
      <c r="Z199" t="str">
        <f t="shared" si="75"/>
        <v/>
      </c>
      <c r="AA199" t="str">
        <f t="shared" si="76"/>
        <v/>
      </c>
      <c r="AB199" t="str">
        <f>COUNTIFS(AC199:AC$596,AC199)&amp;AC199</f>
        <v>398</v>
      </c>
      <c r="AC199" t="str">
        <f t="shared" si="93"/>
        <v/>
      </c>
      <c r="AD199" t="str">
        <f>COUNTIFS(AC$2:AC199,AC199)&amp;AC199</f>
        <v>198</v>
      </c>
      <c r="AE199" t="str">
        <f t="shared" si="77"/>
        <v/>
      </c>
      <c r="AF199" t="str">
        <f t="shared" si="94"/>
        <v>..</v>
      </c>
      <c r="AG199" s="28" t="str">
        <f t="shared" si="78"/>
        <v/>
      </c>
      <c r="AH199" s="28" t="str">
        <f t="shared" si="79"/>
        <v/>
      </c>
      <c r="AI199" t="str">
        <f t="shared" si="80"/>
        <v/>
      </c>
      <c r="AJ199" t="str">
        <f t="shared" si="81"/>
        <v/>
      </c>
      <c r="AK199" t="str">
        <f t="shared" si="82"/>
        <v/>
      </c>
      <c r="AL199" t="str">
        <f t="shared" si="83"/>
        <v/>
      </c>
      <c r="AM199" t="str">
        <f t="shared" si="84"/>
        <v/>
      </c>
      <c r="AN199" t="str">
        <f t="shared" si="85"/>
        <v/>
      </c>
      <c r="AO199" t="str">
        <f t="shared" si="86"/>
        <v/>
      </c>
      <c r="AP199" t="str">
        <f t="shared" si="87"/>
        <v/>
      </c>
      <c r="AQ199" t="str">
        <f t="shared" si="88"/>
        <v/>
      </c>
      <c r="AR199" t="str">
        <f t="shared" si="89"/>
        <v/>
      </c>
      <c r="AS199" t="str">
        <f t="shared" si="90"/>
        <v/>
      </c>
      <c r="AT199" t="str">
        <f t="shared" si="91"/>
        <v/>
      </c>
      <c r="AU199" s="25" t="str">
        <f t="shared" si="95"/>
        <v/>
      </c>
      <c r="BA199">
        <f>'REGISTER SK'!F202</f>
        <v>0</v>
      </c>
    </row>
    <row r="200" spans="1:53" x14ac:dyDescent="0.35">
      <c r="A200" s="18">
        <v>199</v>
      </c>
      <c r="B200" s="36" t="s">
        <v>379</v>
      </c>
      <c r="C200" s="18" t="str">
        <f>IF(G200="","",IF(G200="Umum",G200,VLOOKUP(F200,'Data Induk Pegawai'!B:AE,4,FALSE)))</f>
        <v/>
      </c>
      <c r="D200" s="19" t="str">
        <f>IF('REGISTER SK'!A203="","",IF('REGISTER SK'!B203=0,D199,'REGISTER SK'!B203))</f>
        <v/>
      </c>
      <c r="E200" s="19" t="str">
        <f t="shared" si="92"/>
        <v/>
      </c>
      <c r="F200" s="29"/>
      <c r="G200" s="29"/>
      <c r="H200" s="31" t="str">
        <f>IF(F200="","",VLOOKUP(F200,'Data Induk Pegawai'!B:U,2,FALSE))</f>
        <v/>
      </c>
      <c r="I200" s="19" t="str">
        <f>IF('REGISTER SK'!C203="","",'REGISTER SK'!C203)</f>
        <v/>
      </c>
      <c r="J200" s="125"/>
      <c r="K200" s="125"/>
      <c r="L200" s="26" t="str">
        <f>IF('REGISTER SK'!D203="","",'REGISTER SK'!D203)</f>
        <v/>
      </c>
      <c r="M200" s="26" t="str">
        <f>IF('REGISTER SK'!E203="","",'REGISTER SK'!E203)</f>
        <v/>
      </c>
      <c r="N200" s="31" t="str">
        <f>IF(G200="","",IF(OR(G200="GTT",G200="PTT"),"--",VLOOKUP(F200,'Data Induk Pegawai'!B:AE,4,FALSE)))</f>
        <v/>
      </c>
      <c r="O200" s="18" t="s">
        <v>323</v>
      </c>
      <c r="P200" s="31" t="str">
        <f>IF(G200="","",VLOOKUP(F200,'Data Induk Pegawai'!B:AE,7,FALSE))</f>
        <v/>
      </c>
      <c r="Q200" s="30"/>
      <c r="R200" s="26" t="str">
        <f>IF(G200="","","Nomor "&amp;RIGHT(VLOOKUP(F200,'Data Induk Pegawai'!B:AE,12,FALSE),2)&amp;" Tahun "&amp;MID(VLOOKUP(F200,'Data Induk Pegawai'!B:AE,12,FALSE),5,4))</f>
        <v/>
      </c>
      <c r="S200" s="26" t="str">
        <f>IF(G200="","",VLOOKUP(F200,'Data Induk Pegawai'!B:AE,11,FALSE))</f>
        <v/>
      </c>
      <c r="T200" s="56"/>
      <c r="U200" s="18" t="str">
        <f t="shared" si="72"/>
        <v/>
      </c>
      <c r="V200" s="30"/>
      <c r="W200" s="18" t="str">
        <f t="shared" si="73"/>
        <v/>
      </c>
      <c r="X200" s="16"/>
      <c r="Y200" t="str">
        <f t="shared" si="74"/>
        <v/>
      </c>
      <c r="Z200" t="str">
        <f t="shared" si="75"/>
        <v/>
      </c>
      <c r="AA200" t="str">
        <f t="shared" si="76"/>
        <v/>
      </c>
      <c r="AB200" t="str">
        <f>COUNTIFS(AC200:AC$596,AC200)&amp;AC200</f>
        <v>397</v>
      </c>
      <c r="AC200" t="str">
        <f t="shared" si="93"/>
        <v/>
      </c>
      <c r="AD200" t="str">
        <f>COUNTIFS(AC$2:AC200,AC200)&amp;AC200</f>
        <v>199</v>
      </c>
      <c r="AE200" t="str">
        <f t="shared" si="77"/>
        <v/>
      </c>
      <c r="AF200" t="str">
        <f t="shared" si="94"/>
        <v>..</v>
      </c>
      <c r="AG200" s="28" t="str">
        <f t="shared" si="78"/>
        <v/>
      </c>
      <c r="AH200" s="28" t="str">
        <f t="shared" si="79"/>
        <v/>
      </c>
      <c r="AI200" t="str">
        <f t="shared" si="80"/>
        <v/>
      </c>
      <c r="AJ200" t="str">
        <f t="shared" si="81"/>
        <v/>
      </c>
      <c r="AK200" t="str">
        <f t="shared" si="82"/>
        <v/>
      </c>
      <c r="AL200" t="str">
        <f t="shared" si="83"/>
        <v/>
      </c>
      <c r="AM200" t="str">
        <f t="shared" si="84"/>
        <v/>
      </c>
      <c r="AN200" t="str">
        <f t="shared" si="85"/>
        <v/>
      </c>
      <c r="AO200" t="str">
        <f t="shared" si="86"/>
        <v/>
      </c>
      <c r="AP200" t="str">
        <f t="shared" si="87"/>
        <v/>
      </c>
      <c r="AQ200" t="str">
        <f t="shared" si="88"/>
        <v/>
      </c>
      <c r="AR200" t="str">
        <f t="shared" si="89"/>
        <v/>
      </c>
      <c r="AS200" t="str">
        <f t="shared" si="90"/>
        <v/>
      </c>
      <c r="AT200" t="str">
        <f t="shared" si="91"/>
        <v/>
      </c>
      <c r="AU200" s="25" t="str">
        <f t="shared" si="95"/>
        <v/>
      </c>
      <c r="BA200">
        <f>'REGISTER SK'!F203</f>
        <v>0</v>
      </c>
    </row>
    <row r="201" spans="1:53" x14ac:dyDescent="0.35">
      <c r="A201" s="18">
        <v>200</v>
      </c>
      <c r="B201" s="36" t="s">
        <v>379</v>
      </c>
      <c r="C201" s="18" t="str">
        <f>IF(G201="","",IF(G201="Umum",G201,VLOOKUP(F201,'Data Induk Pegawai'!B:AE,4,FALSE)))</f>
        <v/>
      </c>
      <c r="D201" s="19" t="str">
        <f>IF('REGISTER SK'!A204="","",IF('REGISTER SK'!B204=0,D200,'REGISTER SK'!B204))</f>
        <v/>
      </c>
      <c r="E201" s="19" t="str">
        <f t="shared" si="92"/>
        <v/>
      </c>
      <c r="F201" s="29"/>
      <c r="G201" s="29"/>
      <c r="H201" s="31" t="str">
        <f>IF(F201="","",VLOOKUP(F201,'Data Induk Pegawai'!B:U,2,FALSE))</f>
        <v/>
      </c>
      <c r="I201" s="19" t="str">
        <f>IF('REGISTER SK'!C204="","",'REGISTER SK'!C204)</f>
        <v/>
      </c>
      <c r="J201" s="125"/>
      <c r="K201" s="125"/>
      <c r="L201" s="26" t="str">
        <f>IF('REGISTER SK'!D204="","",'REGISTER SK'!D204)</f>
        <v/>
      </c>
      <c r="M201" s="26" t="str">
        <f>IF('REGISTER SK'!E204="","",'REGISTER SK'!E204)</f>
        <v/>
      </c>
      <c r="N201" s="31" t="str">
        <f>IF(G201="","",IF(OR(G201="GTT",G201="PTT"),"--",VLOOKUP(F201,'Data Induk Pegawai'!B:AE,4,FALSE)))</f>
        <v/>
      </c>
      <c r="O201" s="18" t="s">
        <v>319</v>
      </c>
      <c r="P201" s="31" t="str">
        <f>IF(G201="","",VLOOKUP(F201,'Data Induk Pegawai'!B:AE,7,FALSE))</f>
        <v/>
      </c>
      <c r="Q201" s="30"/>
      <c r="R201" s="26" t="str">
        <f>IF(G201="","","Nomor "&amp;RIGHT(VLOOKUP(F201,'Data Induk Pegawai'!B:AE,12,FALSE),2)&amp;" Tahun "&amp;MID(VLOOKUP(F201,'Data Induk Pegawai'!B:AE,12,FALSE),5,4))</f>
        <v/>
      </c>
      <c r="S201" s="26" t="str">
        <f>IF(G201="","",VLOOKUP(F201,'Data Induk Pegawai'!B:AE,11,FALSE))</f>
        <v/>
      </c>
      <c r="T201" s="56"/>
      <c r="U201" s="18" t="str">
        <f t="shared" si="72"/>
        <v/>
      </c>
      <c r="V201" s="30"/>
      <c r="W201" s="18" t="str">
        <f t="shared" si="73"/>
        <v/>
      </c>
      <c r="X201" s="16"/>
      <c r="Y201" t="str">
        <f t="shared" si="74"/>
        <v/>
      </c>
      <c r="Z201" t="str">
        <f t="shared" si="75"/>
        <v/>
      </c>
      <c r="AA201" t="str">
        <f t="shared" si="76"/>
        <v/>
      </c>
      <c r="AB201" t="str">
        <f>COUNTIFS(AC201:AC$596,AC201)&amp;AC201</f>
        <v>396</v>
      </c>
      <c r="AC201" t="str">
        <f t="shared" si="93"/>
        <v/>
      </c>
      <c r="AD201" t="str">
        <f>COUNTIFS(AC$2:AC201,AC201)&amp;AC201</f>
        <v>200</v>
      </c>
      <c r="AE201" t="str">
        <f t="shared" si="77"/>
        <v/>
      </c>
      <c r="AF201" t="str">
        <f t="shared" si="94"/>
        <v>..</v>
      </c>
      <c r="AG201" s="28" t="str">
        <f t="shared" si="78"/>
        <v/>
      </c>
      <c r="AH201" s="28" t="str">
        <f t="shared" si="79"/>
        <v/>
      </c>
      <c r="AI201" t="str">
        <f t="shared" si="80"/>
        <v/>
      </c>
      <c r="AJ201" t="str">
        <f t="shared" si="81"/>
        <v/>
      </c>
      <c r="AK201" t="str">
        <f t="shared" si="82"/>
        <v/>
      </c>
      <c r="AL201" t="str">
        <f t="shared" si="83"/>
        <v/>
      </c>
      <c r="AM201" t="str">
        <f t="shared" si="84"/>
        <v/>
      </c>
      <c r="AN201" t="str">
        <f t="shared" si="85"/>
        <v/>
      </c>
      <c r="AO201" t="str">
        <f t="shared" si="86"/>
        <v/>
      </c>
      <c r="AP201" t="str">
        <f t="shared" si="87"/>
        <v/>
      </c>
      <c r="AQ201" t="str">
        <f t="shared" si="88"/>
        <v/>
      </c>
      <c r="AR201" t="str">
        <f t="shared" si="89"/>
        <v/>
      </c>
      <c r="AS201" t="str">
        <f t="shared" si="90"/>
        <v/>
      </c>
      <c r="AT201" t="str">
        <f t="shared" si="91"/>
        <v/>
      </c>
      <c r="AU201" s="25" t="str">
        <f t="shared" si="95"/>
        <v/>
      </c>
      <c r="BA201">
        <f>'REGISTER SK'!F204</f>
        <v>0</v>
      </c>
    </row>
    <row r="202" spans="1:53" x14ac:dyDescent="0.35">
      <c r="A202" s="18">
        <v>201</v>
      </c>
      <c r="B202" s="36" t="s">
        <v>379</v>
      </c>
      <c r="C202" s="18" t="str">
        <f>IF(G202="","",IF(G202="Umum",G202,VLOOKUP(F202,'Data Induk Pegawai'!B:AE,4,FALSE)))</f>
        <v/>
      </c>
      <c r="D202" s="19" t="str">
        <f>IF('REGISTER SK'!A205="","",IF('REGISTER SK'!B205=0,D201,'REGISTER SK'!B205))</f>
        <v/>
      </c>
      <c r="E202" s="19" t="str">
        <f t="shared" si="92"/>
        <v/>
      </c>
      <c r="F202" s="29"/>
      <c r="G202" s="29"/>
      <c r="H202" s="31" t="str">
        <f>IF(F202="","",VLOOKUP(F202,'Data Induk Pegawai'!B:U,2,FALSE))</f>
        <v/>
      </c>
      <c r="I202" s="19" t="str">
        <f>IF('REGISTER SK'!C205="","",'REGISTER SK'!C205)</f>
        <v/>
      </c>
      <c r="J202" s="125"/>
      <c r="K202" s="125"/>
      <c r="L202" s="26" t="str">
        <f>IF('REGISTER SK'!D205="","",'REGISTER SK'!D205)</f>
        <v/>
      </c>
      <c r="M202" s="26" t="str">
        <f>IF('REGISTER SK'!E205="","",'REGISTER SK'!E205)</f>
        <v/>
      </c>
      <c r="N202" s="31" t="str">
        <f>IF(G202="","",IF(OR(G202="GTT",G202="PTT"),"--",VLOOKUP(F202,'Data Induk Pegawai'!B:AE,4,FALSE)))</f>
        <v/>
      </c>
      <c r="O202" s="18" t="s">
        <v>321</v>
      </c>
      <c r="P202" s="31" t="str">
        <f>IF(G202="","",VLOOKUP(F202,'Data Induk Pegawai'!B:AE,7,FALSE))</f>
        <v/>
      </c>
      <c r="Q202" s="30"/>
      <c r="R202" s="26" t="str">
        <f>IF(G202="","","Nomor "&amp;RIGHT(VLOOKUP(F202,'Data Induk Pegawai'!B:AE,12,FALSE),2)&amp;" Tahun "&amp;MID(VLOOKUP(F202,'Data Induk Pegawai'!B:AE,12,FALSE),5,4))</f>
        <v/>
      </c>
      <c r="S202" s="26" t="str">
        <f>IF(G202="","",VLOOKUP(F202,'Data Induk Pegawai'!B:AE,11,FALSE))</f>
        <v/>
      </c>
      <c r="T202" s="56"/>
      <c r="U202" s="18" t="str">
        <f t="shared" si="72"/>
        <v/>
      </c>
      <c r="V202" s="30"/>
      <c r="W202" s="18" t="str">
        <f t="shared" si="73"/>
        <v/>
      </c>
      <c r="X202" s="16"/>
      <c r="Y202" t="str">
        <f t="shared" si="74"/>
        <v/>
      </c>
      <c r="Z202" t="str">
        <f t="shared" si="75"/>
        <v/>
      </c>
      <c r="AA202" t="str">
        <f t="shared" si="76"/>
        <v/>
      </c>
      <c r="AB202" t="str">
        <f>COUNTIFS(AC202:AC$596,AC202)&amp;AC202</f>
        <v>395</v>
      </c>
      <c r="AC202" t="str">
        <f t="shared" si="93"/>
        <v/>
      </c>
      <c r="AD202" t="str">
        <f>COUNTIFS(AC$2:AC202,AC202)&amp;AC202</f>
        <v>201</v>
      </c>
      <c r="AE202" t="str">
        <f t="shared" si="77"/>
        <v/>
      </c>
      <c r="AF202" t="str">
        <f t="shared" si="94"/>
        <v>..</v>
      </c>
      <c r="AG202" s="28" t="str">
        <f t="shared" si="78"/>
        <v/>
      </c>
      <c r="AH202" s="28" t="str">
        <f t="shared" si="79"/>
        <v/>
      </c>
      <c r="AI202" t="str">
        <f t="shared" si="80"/>
        <v/>
      </c>
      <c r="AJ202" t="str">
        <f t="shared" si="81"/>
        <v/>
      </c>
      <c r="AK202" t="str">
        <f t="shared" si="82"/>
        <v/>
      </c>
      <c r="AL202" t="str">
        <f t="shared" si="83"/>
        <v/>
      </c>
      <c r="AM202" t="str">
        <f t="shared" si="84"/>
        <v/>
      </c>
      <c r="AN202" t="str">
        <f t="shared" si="85"/>
        <v/>
      </c>
      <c r="AO202" t="str">
        <f t="shared" si="86"/>
        <v/>
      </c>
      <c r="AP202" t="str">
        <f t="shared" si="87"/>
        <v/>
      </c>
      <c r="AQ202" t="str">
        <f t="shared" si="88"/>
        <v/>
      </c>
      <c r="AR202" t="str">
        <f t="shared" si="89"/>
        <v/>
      </c>
      <c r="AS202" t="str">
        <f t="shared" si="90"/>
        <v/>
      </c>
      <c r="AT202" t="str">
        <f t="shared" si="91"/>
        <v/>
      </c>
      <c r="AU202" s="25" t="str">
        <f t="shared" si="95"/>
        <v/>
      </c>
      <c r="BA202">
        <f>'REGISTER SK'!F205</f>
        <v>0</v>
      </c>
    </row>
    <row r="203" spans="1:53" x14ac:dyDescent="0.35">
      <c r="A203" s="18">
        <v>202</v>
      </c>
      <c r="B203" s="36" t="s">
        <v>379</v>
      </c>
      <c r="C203" s="18" t="str">
        <f>IF(G203="","",IF(G203="Umum",G203,VLOOKUP(F203,'Data Induk Pegawai'!B:AE,4,FALSE)))</f>
        <v/>
      </c>
      <c r="D203" s="19" t="str">
        <f>IF('REGISTER SK'!A206="","",IF('REGISTER SK'!B206=0,D202,'REGISTER SK'!B206))</f>
        <v/>
      </c>
      <c r="E203" s="19" t="str">
        <f t="shared" si="92"/>
        <v/>
      </c>
      <c r="F203" s="29"/>
      <c r="G203" s="29"/>
      <c r="H203" s="31" t="str">
        <f>IF(F203="","",VLOOKUP(F203,'Data Induk Pegawai'!B:U,2,FALSE))</f>
        <v/>
      </c>
      <c r="I203" s="19" t="str">
        <f>IF('REGISTER SK'!C206="","",'REGISTER SK'!C206)</f>
        <v/>
      </c>
      <c r="J203" s="125"/>
      <c r="K203" s="125"/>
      <c r="L203" s="26" t="str">
        <f>IF('REGISTER SK'!D206="","",'REGISTER SK'!D206)</f>
        <v/>
      </c>
      <c r="M203" s="26" t="str">
        <f>IF('REGISTER SK'!E206="","",'REGISTER SK'!E206)</f>
        <v/>
      </c>
      <c r="N203" s="31" t="str">
        <f>IF(G203="","",IF(OR(G203="GTT",G203="PTT"),"--",VLOOKUP(F203,'Data Induk Pegawai'!B:AE,4,FALSE)))</f>
        <v/>
      </c>
      <c r="O203" s="18" t="s">
        <v>316</v>
      </c>
      <c r="P203" s="31" t="str">
        <f>IF(G203="","",VLOOKUP(F203,'Data Induk Pegawai'!B:AE,7,FALSE))</f>
        <v/>
      </c>
      <c r="Q203" s="30"/>
      <c r="R203" s="26" t="str">
        <f>IF(G203="","","Nomor "&amp;RIGHT(VLOOKUP(F203,'Data Induk Pegawai'!B:AE,12,FALSE),2)&amp;" Tahun "&amp;MID(VLOOKUP(F203,'Data Induk Pegawai'!B:AE,12,FALSE),5,4))</f>
        <v/>
      </c>
      <c r="S203" s="26" t="str">
        <f>IF(G203="","",VLOOKUP(F203,'Data Induk Pegawai'!B:AE,11,FALSE))</f>
        <v/>
      </c>
      <c r="T203" s="56"/>
      <c r="U203" s="18" t="str">
        <f t="shared" si="72"/>
        <v/>
      </c>
      <c r="V203" s="30"/>
      <c r="W203" s="18" t="str">
        <f t="shared" si="73"/>
        <v/>
      </c>
      <c r="X203" s="16"/>
      <c r="Y203" t="str">
        <f t="shared" si="74"/>
        <v/>
      </c>
      <c r="Z203" t="str">
        <f t="shared" si="75"/>
        <v/>
      </c>
      <c r="AA203" t="str">
        <f t="shared" si="76"/>
        <v/>
      </c>
      <c r="AB203" t="str">
        <f>COUNTIFS(AC203:AC$596,AC203)&amp;AC203</f>
        <v>394</v>
      </c>
      <c r="AC203" t="str">
        <f t="shared" si="93"/>
        <v/>
      </c>
      <c r="AD203" t="str">
        <f>COUNTIFS(AC$2:AC203,AC203)&amp;AC203</f>
        <v>202</v>
      </c>
      <c r="AE203" t="str">
        <f t="shared" si="77"/>
        <v/>
      </c>
      <c r="AF203" t="str">
        <f t="shared" si="94"/>
        <v>..</v>
      </c>
      <c r="AG203" s="28" t="str">
        <f t="shared" si="78"/>
        <v/>
      </c>
      <c r="AH203" s="28" t="str">
        <f t="shared" si="79"/>
        <v/>
      </c>
      <c r="AI203" t="str">
        <f t="shared" si="80"/>
        <v/>
      </c>
      <c r="AJ203" t="str">
        <f t="shared" si="81"/>
        <v/>
      </c>
      <c r="AK203" t="str">
        <f t="shared" si="82"/>
        <v/>
      </c>
      <c r="AL203" t="str">
        <f t="shared" si="83"/>
        <v/>
      </c>
      <c r="AM203" t="str">
        <f t="shared" si="84"/>
        <v/>
      </c>
      <c r="AN203" t="str">
        <f t="shared" si="85"/>
        <v/>
      </c>
      <c r="AO203" t="str">
        <f t="shared" si="86"/>
        <v/>
      </c>
      <c r="AP203" t="str">
        <f t="shared" si="87"/>
        <v/>
      </c>
      <c r="AQ203" t="str">
        <f t="shared" si="88"/>
        <v/>
      </c>
      <c r="AR203" t="str">
        <f t="shared" si="89"/>
        <v/>
      </c>
      <c r="AS203" t="str">
        <f t="shared" si="90"/>
        <v/>
      </c>
      <c r="AT203" t="str">
        <f t="shared" si="91"/>
        <v/>
      </c>
      <c r="AU203" s="25" t="str">
        <f t="shared" si="95"/>
        <v/>
      </c>
      <c r="BA203">
        <f>'REGISTER SK'!F206</f>
        <v>0</v>
      </c>
    </row>
    <row r="204" spans="1:53" x14ac:dyDescent="0.35">
      <c r="A204" s="18">
        <v>203</v>
      </c>
      <c r="B204" s="36" t="s">
        <v>379</v>
      </c>
      <c r="C204" s="18" t="str">
        <f>IF(G204="","",IF(G204="Umum",G204,VLOOKUP(F204,'Data Induk Pegawai'!B:AE,4,FALSE)))</f>
        <v/>
      </c>
      <c r="D204" s="19" t="str">
        <f>IF('REGISTER SK'!A207="","",IF('REGISTER SK'!B207=0,D203,'REGISTER SK'!B207))</f>
        <v/>
      </c>
      <c r="E204" s="19" t="str">
        <f t="shared" si="92"/>
        <v/>
      </c>
      <c r="F204" s="29"/>
      <c r="G204" s="29"/>
      <c r="H204" s="31" t="str">
        <f>IF(F204="","",VLOOKUP(F204,'Data Induk Pegawai'!B:U,2,FALSE))</f>
        <v/>
      </c>
      <c r="I204" s="19" t="str">
        <f>IF('REGISTER SK'!C207="","",'REGISTER SK'!C207)</f>
        <v/>
      </c>
      <c r="J204" s="125"/>
      <c r="K204" s="125"/>
      <c r="L204" s="26" t="str">
        <f>IF('REGISTER SK'!D207="","",'REGISTER SK'!D207)</f>
        <v/>
      </c>
      <c r="M204" s="26" t="str">
        <f>IF('REGISTER SK'!E207="","",'REGISTER SK'!E207)</f>
        <v/>
      </c>
      <c r="N204" s="31" t="str">
        <f>IF(G204="","",IF(OR(G204="GTT",G204="PTT"),"--",VLOOKUP(F204,'Data Induk Pegawai'!B:AE,4,FALSE)))</f>
        <v/>
      </c>
      <c r="O204" s="18" t="s">
        <v>318</v>
      </c>
      <c r="P204" s="31" t="str">
        <f>IF(G204="","",VLOOKUP(F204,'Data Induk Pegawai'!B:AE,7,FALSE))</f>
        <v/>
      </c>
      <c r="Q204" s="30"/>
      <c r="R204" s="26" t="str">
        <f>IF(G204="","","Nomor "&amp;RIGHT(VLOOKUP(F204,'Data Induk Pegawai'!B:AE,12,FALSE),2)&amp;" Tahun "&amp;MID(VLOOKUP(F204,'Data Induk Pegawai'!B:AE,12,FALSE),5,4))</f>
        <v/>
      </c>
      <c r="S204" s="26" t="str">
        <f>IF(G204="","",VLOOKUP(F204,'Data Induk Pegawai'!B:AE,11,FALSE))</f>
        <v/>
      </c>
      <c r="T204" s="56"/>
      <c r="U204" s="18" t="str">
        <f t="shared" si="72"/>
        <v/>
      </c>
      <c r="V204" s="30"/>
      <c r="W204" s="18" t="str">
        <f t="shared" si="73"/>
        <v/>
      </c>
      <c r="X204" s="16"/>
      <c r="Y204" t="str">
        <f t="shared" si="74"/>
        <v/>
      </c>
      <c r="Z204" t="str">
        <f t="shared" si="75"/>
        <v/>
      </c>
      <c r="AA204" t="str">
        <f t="shared" si="76"/>
        <v/>
      </c>
      <c r="AB204" t="str">
        <f>COUNTIFS(AC204:AC$596,AC204)&amp;AC204</f>
        <v>393</v>
      </c>
      <c r="AC204" t="str">
        <f t="shared" si="93"/>
        <v/>
      </c>
      <c r="AD204" t="str">
        <f>COUNTIFS(AC$2:AC204,AC204)&amp;AC204</f>
        <v>203</v>
      </c>
      <c r="AE204" t="str">
        <f t="shared" si="77"/>
        <v/>
      </c>
      <c r="AF204" t="str">
        <f t="shared" si="94"/>
        <v>..</v>
      </c>
      <c r="AG204" s="28" t="str">
        <f t="shared" si="78"/>
        <v/>
      </c>
      <c r="AH204" s="28" t="str">
        <f t="shared" si="79"/>
        <v/>
      </c>
      <c r="AI204" t="str">
        <f t="shared" si="80"/>
        <v/>
      </c>
      <c r="AJ204" t="str">
        <f t="shared" si="81"/>
        <v/>
      </c>
      <c r="AK204" t="str">
        <f t="shared" si="82"/>
        <v/>
      </c>
      <c r="AL204" t="str">
        <f t="shared" si="83"/>
        <v/>
      </c>
      <c r="AM204" t="str">
        <f t="shared" si="84"/>
        <v/>
      </c>
      <c r="AN204" t="str">
        <f t="shared" si="85"/>
        <v/>
      </c>
      <c r="AO204" t="str">
        <f t="shared" si="86"/>
        <v/>
      </c>
      <c r="AP204" t="str">
        <f t="shared" si="87"/>
        <v/>
      </c>
      <c r="AQ204" t="str">
        <f t="shared" si="88"/>
        <v/>
      </c>
      <c r="AR204" t="str">
        <f t="shared" si="89"/>
        <v/>
      </c>
      <c r="AS204" t="str">
        <f t="shared" si="90"/>
        <v/>
      </c>
      <c r="AT204" t="str">
        <f t="shared" si="91"/>
        <v/>
      </c>
      <c r="AU204" s="25" t="str">
        <f t="shared" si="95"/>
        <v/>
      </c>
      <c r="BA204">
        <f>'REGISTER SK'!F207</f>
        <v>0</v>
      </c>
    </row>
    <row r="205" spans="1:53" x14ac:dyDescent="0.35">
      <c r="A205" s="18">
        <v>204</v>
      </c>
      <c r="B205" s="36" t="s">
        <v>379</v>
      </c>
      <c r="C205" s="18" t="str">
        <f>IF(G205="","",IF(G205="Umum",G205,VLOOKUP(F205,'Data Induk Pegawai'!B:AE,4,FALSE)))</f>
        <v/>
      </c>
      <c r="D205" s="19" t="str">
        <f>IF('REGISTER SK'!A208="","",IF('REGISTER SK'!B208=0,D204,'REGISTER SK'!B208))</f>
        <v/>
      </c>
      <c r="E205" s="19" t="str">
        <f t="shared" si="92"/>
        <v/>
      </c>
      <c r="F205" s="29"/>
      <c r="G205" s="29"/>
      <c r="H205" s="31" t="str">
        <f>IF(F205="","",VLOOKUP(F205,'Data Induk Pegawai'!B:U,2,FALSE))</f>
        <v/>
      </c>
      <c r="I205" s="19" t="str">
        <f>IF('REGISTER SK'!C208="","",'REGISTER SK'!C208)</f>
        <v/>
      </c>
      <c r="J205" s="125"/>
      <c r="K205" s="125"/>
      <c r="L205" s="26" t="str">
        <f>IF('REGISTER SK'!D208="","",'REGISTER SK'!D208)</f>
        <v/>
      </c>
      <c r="M205" s="26" t="str">
        <f>IF('REGISTER SK'!E208="","",'REGISTER SK'!E208)</f>
        <v/>
      </c>
      <c r="N205" s="31" t="str">
        <f>IF(G205="","",IF(OR(G205="GTT",G205="PTT"),"--",VLOOKUP(F205,'Data Induk Pegawai'!B:AE,4,FALSE)))</f>
        <v/>
      </c>
      <c r="O205" s="18" t="s">
        <v>267</v>
      </c>
      <c r="P205" s="31" t="str">
        <f>IF(G205="","",VLOOKUP(F205,'Data Induk Pegawai'!B:AE,7,FALSE))</f>
        <v/>
      </c>
      <c r="Q205" s="30"/>
      <c r="R205" s="26" t="str">
        <f>IF(G205="","","Nomor "&amp;RIGHT(VLOOKUP(F205,'Data Induk Pegawai'!B:AE,12,FALSE),2)&amp;" Tahun "&amp;MID(VLOOKUP(F205,'Data Induk Pegawai'!B:AE,12,FALSE),5,4))</f>
        <v/>
      </c>
      <c r="S205" s="26" t="str">
        <f>IF(G205="","",VLOOKUP(F205,'Data Induk Pegawai'!B:AE,11,FALSE))</f>
        <v/>
      </c>
      <c r="T205" s="56"/>
      <c r="U205" s="18" t="str">
        <f t="shared" si="72"/>
        <v/>
      </c>
      <c r="V205" s="30"/>
      <c r="W205" s="18" t="str">
        <f t="shared" si="73"/>
        <v/>
      </c>
      <c r="X205" s="16"/>
      <c r="Y205" t="str">
        <f t="shared" si="74"/>
        <v/>
      </c>
      <c r="Z205" t="str">
        <f t="shared" si="75"/>
        <v/>
      </c>
      <c r="AA205" t="str">
        <f t="shared" si="76"/>
        <v/>
      </c>
      <c r="AB205" t="str">
        <f>COUNTIFS(AC205:AC$596,AC205)&amp;AC205</f>
        <v>392</v>
      </c>
      <c r="AC205" t="str">
        <f t="shared" si="93"/>
        <v/>
      </c>
      <c r="AD205" t="str">
        <f>COUNTIFS(AC$2:AC205,AC205)&amp;AC205</f>
        <v>204</v>
      </c>
      <c r="AE205" t="str">
        <f t="shared" si="77"/>
        <v/>
      </c>
      <c r="AF205" t="str">
        <f t="shared" si="94"/>
        <v>..</v>
      </c>
      <c r="AG205" s="28" t="str">
        <f t="shared" si="78"/>
        <v/>
      </c>
      <c r="AH205" s="28" t="str">
        <f t="shared" si="79"/>
        <v/>
      </c>
      <c r="AI205" t="str">
        <f t="shared" si="80"/>
        <v/>
      </c>
      <c r="AJ205" t="str">
        <f t="shared" si="81"/>
        <v/>
      </c>
      <c r="AK205" t="str">
        <f t="shared" si="82"/>
        <v/>
      </c>
      <c r="AL205" t="str">
        <f t="shared" si="83"/>
        <v/>
      </c>
      <c r="AM205" t="str">
        <f t="shared" si="84"/>
        <v/>
      </c>
      <c r="AN205" t="str">
        <f t="shared" si="85"/>
        <v/>
      </c>
      <c r="AO205" t="str">
        <f t="shared" si="86"/>
        <v/>
      </c>
      <c r="AP205" t="str">
        <f t="shared" si="87"/>
        <v/>
      </c>
      <c r="AQ205" t="str">
        <f t="shared" si="88"/>
        <v/>
      </c>
      <c r="AR205" t="str">
        <f t="shared" si="89"/>
        <v/>
      </c>
      <c r="AS205" t="str">
        <f t="shared" si="90"/>
        <v/>
      </c>
      <c r="AT205" t="str">
        <f t="shared" si="91"/>
        <v/>
      </c>
      <c r="AU205" s="25" t="str">
        <f t="shared" si="95"/>
        <v/>
      </c>
      <c r="BA205">
        <f>'REGISTER SK'!F208</f>
        <v>0</v>
      </c>
    </row>
    <row r="206" spans="1:53" x14ac:dyDescent="0.35">
      <c r="A206" s="18">
        <v>205</v>
      </c>
      <c r="B206" s="36" t="s">
        <v>379</v>
      </c>
      <c r="C206" s="18" t="str">
        <f>IF(G206="","",IF(G206="Umum",G206,VLOOKUP(F206,'Data Induk Pegawai'!B:AE,4,FALSE)))</f>
        <v/>
      </c>
      <c r="D206" s="19" t="str">
        <f>IF('REGISTER SK'!A209="","",IF('REGISTER SK'!B209=0,D205,'REGISTER SK'!B209))</f>
        <v/>
      </c>
      <c r="E206" s="19" t="str">
        <f t="shared" si="92"/>
        <v/>
      </c>
      <c r="F206" s="29"/>
      <c r="G206" s="29"/>
      <c r="H206" s="31" t="str">
        <f>IF(F206="","",VLOOKUP(F206,'Data Induk Pegawai'!B:U,2,FALSE))</f>
        <v/>
      </c>
      <c r="I206" s="19" t="str">
        <f>IF('REGISTER SK'!C209="","",'REGISTER SK'!C209)</f>
        <v/>
      </c>
      <c r="J206" s="125"/>
      <c r="K206" s="125"/>
      <c r="L206" s="26" t="str">
        <f>IF('REGISTER SK'!D209="","",'REGISTER SK'!D209)</f>
        <v/>
      </c>
      <c r="M206" s="26" t="str">
        <f>IF('REGISTER SK'!E209="","",'REGISTER SK'!E209)</f>
        <v/>
      </c>
      <c r="N206" s="31" t="str">
        <f>IF(G206="","",IF(OR(G206="GTT",G206="PTT"),"--",VLOOKUP(F206,'Data Induk Pegawai'!B:AE,4,FALSE)))</f>
        <v/>
      </c>
      <c r="O206" s="18" t="s">
        <v>290</v>
      </c>
      <c r="P206" s="31" t="str">
        <f>IF(G206="","",VLOOKUP(F206,'Data Induk Pegawai'!B:AE,7,FALSE))</f>
        <v/>
      </c>
      <c r="Q206" s="30"/>
      <c r="R206" s="26" t="str">
        <f>IF(G206="","","Nomor "&amp;RIGHT(VLOOKUP(F206,'Data Induk Pegawai'!B:AE,12,FALSE),2)&amp;" Tahun "&amp;MID(VLOOKUP(F206,'Data Induk Pegawai'!B:AE,12,FALSE),5,4))</f>
        <v/>
      </c>
      <c r="S206" s="26" t="str">
        <f>IF(G206="","",VLOOKUP(F206,'Data Induk Pegawai'!B:AE,11,FALSE))</f>
        <v/>
      </c>
      <c r="T206" s="56"/>
      <c r="U206" s="18" t="str">
        <f t="shared" si="72"/>
        <v/>
      </c>
      <c r="V206" s="30"/>
      <c r="W206" s="18" t="str">
        <f t="shared" si="73"/>
        <v/>
      </c>
      <c r="X206" s="16"/>
      <c r="Y206" t="str">
        <f t="shared" si="74"/>
        <v/>
      </c>
      <c r="Z206" t="str">
        <f t="shared" si="75"/>
        <v/>
      </c>
      <c r="AA206" t="str">
        <f t="shared" si="76"/>
        <v/>
      </c>
      <c r="AB206" t="str">
        <f>COUNTIFS(AC206:AC$596,AC206)&amp;AC206</f>
        <v>391</v>
      </c>
      <c r="AC206" t="str">
        <f t="shared" si="93"/>
        <v/>
      </c>
      <c r="AD206" t="str">
        <f>COUNTIFS(AC$2:AC206,AC206)&amp;AC206</f>
        <v>205</v>
      </c>
      <c r="AE206" t="str">
        <f t="shared" si="77"/>
        <v/>
      </c>
      <c r="AF206" t="str">
        <f t="shared" si="94"/>
        <v>..</v>
      </c>
      <c r="AG206" s="28" t="str">
        <f t="shared" si="78"/>
        <v/>
      </c>
      <c r="AH206" s="28" t="str">
        <f t="shared" si="79"/>
        <v/>
      </c>
      <c r="AI206" t="str">
        <f t="shared" si="80"/>
        <v/>
      </c>
      <c r="AJ206" t="str">
        <f t="shared" si="81"/>
        <v/>
      </c>
      <c r="AK206" t="str">
        <f t="shared" si="82"/>
        <v/>
      </c>
      <c r="AL206" t="str">
        <f t="shared" si="83"/>
        <v/>
      </c>
      <c r="AM206" t="str">
        <f t="shared" si="84"/>
        <v/>
      </c>
      <c r="AN206" t="str">
        <f t="shared" si="85"/>
        <v/>
      </c>
      <c r="AO206" t="str">
        <f t="shared" si="86"/>
        <v/>
      </c>
      <c r="AP206" t="str">
        <f t="shared" si="87"/>
        <v/>
      </c>
      <c r="AQ206" t="str">
        <f t="shared" si="88"/>
        <v/>
      </c>
      <c r="AR206" t="str">
        <f t="shared" si="89"/>
        <v/>
      </c>
      <c r="AS206" t="str">
        <f t="shared" si="90"/>
        <v/>
      </c>
      <c r="AT206" t="str">
        <f t="shared" si="91"/>
        <v/>
      </c>
      <c r="AU206" s="25" t="str">
        <f t="shared" si="95"/>
        <v/>
      </c>
      <c r="BA206">
        <f>'REGISTER SK'!F209</f>
        <v>0</v>
      </c>
    </row>
    <row r="207" spans="1:53" x14ac:dyDescent="0.35">
      <c r="A207" s="18">
        <v>206</v>
      </c>
      <c r="B207" s="36" t="s">
        <v>379</v>
      </c>
      <c r="C207" s="18" t="str">
        <f>IF(G207="","",IF(G207="Umum",G207,VLOOKUP(F207,'Data Induk Pegawai'!B:AE,4,FALSE)))</f>
        <v/>
      </c>
      <c r="D207" s="19" t="str">
        <f>IF('REGISTER SK'!A210="","",IF('REGISTER SK'!B210=0,D206,'REGISTER SK'!B210))</f>
        <v/>
      </c>
      <c r="E207" s="19" t="str">
        <f t="shared" si="92"/>
        <v/>
      </c>
      <c r="F207" s="29"/>
      <c r="G207" s="29"/>
      <c r="H207" s="31" t="str">
        <f>IF(F207="","",VLOOKUP(F207,'Data Induk Pegawai'!B:U,2,FALSE))</f>
        <v/>
      </c>
      <c r="I207" s="19" t="str">
        <f>IF('REGISTER SK'!C210="","",'REGISTER SK'!C210)</f>
        <v/>
      </c>
      <c r="J207" s="125"/>
      <c r="K207" s="125"/>
      <c r="L207" s="26" t="str">
        <f>IF('REGISTER SK'!D210="","",'REGISTER SK'!D210)</f>
        <v/>
      </c>
      <c r="M207" s="26" t="str">
        <f>IF('REGISTER SK'!E210="","",'REGISTER SK'!E210)</f>
        <v/>
      </c>
      <c r="N207" s="31" t="str">
        <f>IF(G207="","",IF(OR(G207="GTT",G207="PTT"),"--",VLOOKUP(F207,'Data Induk Pegawai'!B:AE,4,FALSE)))</f>
        <v/>
      </c>
      <c r="O207" s="18" t="s">
        <v>305</v>
      </c>
      <c r="P207" s="31" t="str">
        <f>IF(G207="","",VLOOKUP(F207,'Data Induk Pegawai'!B:AE,7,FALSE))</f>
        <v/>
      </c>
      <c r="Q207" s="30"/>
      <c r="R207" s="26" t="str">
        <f>IF(G207="","","Nomor "&amp;RIGHT(VLOOKUP(F207,'Data Induk Pegawai'!B:AE,12,FALSE),2)&amp;" Tahun "&amp;MID(VLOOKUP(F207,'Data Induk Pegawai'!B:AE,12,FALSE),5,4))</f>
        <v/>
      </c>
      <c r="S207" s="26" t="str">
        <f>IF(G207="","",VLOOKUP(F207,'Data Induk Pegawai'!B:AE,11,FALSE))</f>
        <v/>
      </c>
      <c r="T207" s="56"/>
      <c r="U207" s="18" t="str">
        <f t="shared" si="72"/>
        <v/>
      </c>
      <c r="V207" s="30"/>
      <c r="W207" s="18" t="str">
        <f t="shared" si="73"/>
        <v/>
      </c>
      <c r="X207" s="16"/>
      <c r="Y207" t="str">
        <f t="shared" si="74"/>
        <v/>
      </c>
      <c r="Z207" t="str">
        <f t="shared" si="75"/>
        <v/>
      </c>
      <c r="AA207" t="str">
        <f t="shared" si="76"/>
        <v/>
      </c>
      <c r="AB207" t="str">
        <f>COUNTIFS(AC207:AC$596,AC207)&amp;AC207</f>
        <v>390</v>
      </c>
      <c r="AC207" t="str">
        <f t="shared" si="93"/>
        <v/>
      </c>
      <c r="AD207" t="str">
        <f>COUNTIFS(AC$2:AC207,AC207)&amp;AC207</f>
        <v>206</v>
      </c>
      <c r="AE207" t="str">
        <f t="shared" si="77"/>
        <v/>
      </c>
      <c r="AF207" t="str">
        <f t="shared" si="94"/>
        <v>..</v>
      </c>
      <c r="AG207" s="28" t="str">
        <f t="shared" si="78"/>
        <v/>
      </c>
      <c r="AH207" s="28" t="str">
        <f t="shared" si="79"/>
        <v/>
      </c>
      <c r="AI207" t="str">
        <f t="shared" si="80"/>
        <v/>
      </c>
      <c r="AJ207" t="str">
        <f t="shared" si="81"/>
        <v/>
      </c>
      <c r="AK207" t="str">
        <f t="shared" si="82"/>
        <v/>
      </c>
      <c r="AL207" t="str">
        <f t="shared" si="83"/>
        <v/>
      </c>
      <c r="AM207" t="str">
        <f t="shared" si="84"/>
        <v/>
      </c>
      <c r="AN207" t="str">
        <f t="shared" si="85"/>
        <v/>
      </c>
      <c r="AO207" t="str">
        <f t="shared" si="86"/>
        <v/>
      </c>
      <c r="AP207" t="str">
        <f t="shared" si="87"/>
        <v/>
      </c>
      <c r="AQ207" t="str">
        <f t="shared" si="88"/>
        <v/>
      </c>
      <c r="AR207" t="str">
        <f t="shared" si="89"/>
        <v/>
      </c>
      <c r="AS207" t="str">
        <f t="shared" si="90"/>
        <v/>
      </c>
      <c r="AT207" t="str">
        <f t="shared" si="91"/>
        <v/>
      </c>
      <c r="AU207" s="25" t="str">
        <f t="shared" si="95"/>
        <v/>
      </c>
      <c r="BA207">
        <f>'REGISTER SK'!F210</f>
        <v>0</v>
      </c>
    </row>
    <row r="208" spans="1:53" x14ac:dyDescent="0.35">
      <c r="A208" s="18">
        <v>207</v>
      </c>
      <c r="B208" s="36" t="s">
        <v>379</v>
      </c>
      <c r="C208" s="18" t="str">
        <f>IF(G208="","",IF(G208="Umum",G208,VLOOKUP(F208,'Data Induk Pegawai'!B:AE,4,FALSE)))</f>
        <v/>
      </c>
      <c r="D208" s="19" t="str">
        <f>IF('REGISTER SK'!A211="","",IF('REGISTER SK'!B211=0,D207,'REGISTER SK'!B211))</f>
        <v/>
      </c>
      <c r="E208" s="19" t="str">
        <f t="shared" si="92"/>
        <v/>
      </c>
      <c r="F208" s="29"/>
      <c r="G208" s="29"/>
      <c r="H208" s="31" t="str">
        <f>IF(F208="","",VLOOKUP(F208,'Data Induk Pegawai'!B:U,2,FALSE))</f>
        <v/>
      </c>
      <c r="I208" s="19" t="str">
        <f>IF('REGISTER SK'!C211="","",'REGISTER SK'!C211)</f>
        <v/>
      </c>
      <c r="J208" s="125"/>
      <c r="K208" s="125"/>
      <c r="L208" s="26" t="str">
        <f>IF('REGISTER SK'!D211="","",'REGISTER SK'!D211)</f>
        <v/>
      </c>
      <c r="M208" s="26" t="str">
        <f>IF('REGISTER SK'!E211="","",'REGISTER SK'!E211)</f>
        <v/>
      </c>
      <c r="N208" s="31" t="str">
        <f>IF(G208="","",IF(OR(G208="GTT",G208="PTT"),"--",VLOOKUP(F208,'Data Induk Pegawai'!B:AE,4,FALSE)))</f>
        <v/>
      </c>
      <c r="O208" s="18" t="s">
        <v>500</v>
      </c>
      <c r="P208" s="31" t="str">
        <f>IF(G208="","",VLOOKUP(F208,'Data Induk Pegawai'!B:AE,7,FALSE))</f>
        <v/>
      </c>
      <c r="Q208" s="30"/>
      <c r="R208" s="26" t="str">
        <f>IF(G208="","","Nomor "&amp;RIGHT(VLOOKUP(F208,'Data Induk Pegawai'!B:AE,12,FALSE),2)&amp;" Tahun "&amp;MID(VLOOKUP(F208,'Data Induk Pegawai'!B:AE,12,FALSE),5,4))</f>
        <v/>
      </c>
      <c r="S208" s="26" t="str">
        <f>IF(G208="","",VLOOKUP(F208,'Data Induk Pegawai'!B:AE,11,FALSE))</f>
        <v/>
      </c>
      <c r="T208" s="56"/>
      <c r="U208" s="18" t="str">
        <f t="shared" si="72"/>
        <v/>
      </c>
      <c r="V208" s="30"/>
      <c r="W208" s="18" t="str">
        <f t="shared" si="73"/>
        <v/>
      </c>
      <c r="X208" s="16"/>
      <c r="Y208" t="str">
        <f t="shared" si="74"/>
        <v/>
      </c>
      <c r="Z208" t="str">
        <f t="shared" si="75"/>
        <v/>
      </c>
      <c r="AA208" t="str">
        <f t="shared" si="76"/>
        <v/>
      </c>
      <c r="AB208" t="str">
        <f>COUNTIFS(AC208:AC$596,AC208)&amp;AC208</f>
        <v>389</v>
      </c>
      <c r="AC208" t="str">
        <f t="shared" si="93"/>
        <v/>
      </c>
      <c r="AD208" t="str">
        <f>COUNTIFS(AC$2:AC208,AC208)&amp;AC208</f>
        <v>207</v>
      </c>
      <c r="AE208" t="str">
        <f t="shared" si="77"/>
        <v/>
      </c>
      <c r="AF208" t="str">
        <f t="shared" si="94"/>
        <v>..</v>
      </c>
      <c r="AG208" s="28" t="str">
        <f t="shared" si="78"/>
        <v/>
      </c>
      <c r="AH208" s="28" t="str">
        <f t="shared" si="79"/>
        <v/>
      </c>
      <c r="AI208" t="str">
        <f t="shared" si="80"/>
        <v/>
      </c>
      <c r="AJ208" t="str">
        <f t="shared" si="81"/>
        <v/>
      </c>
      <c r="AK208" t="str">
        <f t="shared" si="82"/>
        <v/>
      </c>
      <c r="AL208" t="str">
        <f t="shared" si="83"/>
        <v/>
      </c>
      <c r="AM208" t="str">
        <f t="shared" si="84"/>
        <v/>
      </c>
      <c r="AN208" t="str">
        <f t="shared" si="85"/>
        <v/>
      </c>
      <c r="AO208" t="str">
        <f t="shared" si="86"/>
        <v/>
      </c>
      <c r="AP208" t="str">
        <f t="shared" si="87"/>
        <v/>
      </c>
      <c r="AQ208" t="str">
        <f t="shared" si="88"/>
        <v/>
      </c>
      <c r="AR208" t="str">
        <f t="shared" si="89"/>
        <v/>
      </c>
      <c r="AS208" t="str">
        <f t="shared" si="90"/>
        <v/>
      </c>
      <c r="AT208" t="str">
        <f t="shared" si="91"/>
        <v/>
      </c>
      <c r="AU208" s="25" t="str">
        <f t="shared" si="95"/>
        <v/>
      </c>
      <c r="BA208">
        <f>'REGISTER SK'!F211</f>
        <v>0</v>
      </c>
    </row>
    <row r="209" spans="1:53" x14ac:dyDescent="0.35">
      <c r="A209" s="18">
        <v>208</v>
      </c>
      <c r="B209" s="36" t="s">
        <v>379</v>
      </c>
      <c r="C209" s="18" t="str">
        <f>IF(G209="","",IF(G209="Umum",G209,VLOOKUP(F209,'Data Induk Pegawai'!B:AE,4,FALSE)))</f>
        <v/>
      </c>
      <c r="D209" s="19" t="str">
        <f>IF('REGISTER SK'!A212="","",IF('REGISTER SK'!B212=0,D208,'REGISTER SK'!B212))</f>
        <v/>
      </c>
      <c r="E209" s="19" t="str">
        <f t="shared" si="92"/>
        <v/>
      </c>
      <c r="F209" s="29"/>
      <c r="G209" s="29"/>
      <c r="H209" s="31" t="str">
        <f>IF(F209="","",VLOOKUP(F209,'Data Induk Pegawai'!B:U,2,FALSE))</f>
        <v/>
      </c>
      <c r="I209" s="19" t="str">
        <f>IF('REGISTER SK'!C212="","",'REGISTER SK'!C212)</f>
        <v/>
      </c>
      <c r="J209" s="125"/>
      <c r="K209" s="125"/>
      <c r="L209" s="26" t="str">
        <f>IF('REGISTER SK'!D212="","",'REGISTER SK'!D212)</f>
        <v/>
      </c>
      <c r="M209" s="26" t="str">
        <f>IF('REGISTER SK'!E212="","",'REGISTER SK'!E212)</f>
        <v/>
      </c>
      <c r="N209" s="31" t="str">
        <f>IF(G209="","",IF(OR(G209="GTT",G209="PTT"),"--",VLOOKUP(F209,'Data Induk Pegawai'!B:AE,4,FALSE)))</f>
        <v/>
      </c>
      <c r="O209" s="18" t="s">
        <v>327</v>
      </c>
      <c r="P209" s="31" t="str">
        <f>IF(G209="","",VLOOKUP(F209,'Data Induk Pegawai'!B:AE,7,FALSE))</f>
        <v/>
      </c>
      <c r="Q209" s="30"/>
      <c r="R209" s="26" t="str">
        <f>IF(G209="","","Nomor "&amp;RIGHT(VLOOKUP(F209,'Data Induk Pegawai'!B:AE,12,FALSE),2)&amp;" Tahun "&amp;MID(VLOOKUP(F209,'Data Induk Pegawai'!B:AE,12,FALSE),5,4))</f>
        <v/>
      </c>
      <c r="S209" s="26" t="str">
        <f>IF(G209="","",VLOOKUP(F209,'Data Induk Pegawai'!B:AE,11,FALSE))</f>
        <v/>
      </c>
      <c r="T209" s="56"/>
      <c r="U209" s="18" t="str">
        <f t="shared" si="72"/>
        <v/>
      </c>
      <c r="V209" s="30"/>
      <c r="W209" s="18" t="str">
        <f t="shared" si="73"/>
        <v/>
      </c>
      <c r="X209" s="16"/>
      <c r="Y209" t="str">
        <f t="shared" si="74"/>
        <v/>
      </c>
      <c r="Z209" t="str">
        <f t="shared" si="75"/>
        <v/>
      </c>
      <c r="AA209" t="str">
        <f t="shared" si="76"/>
        <v/>
      </c>
      <c r="AB209" t="str">
        <f>COUNTIFS(AC209:AC$596,AC209)&amp;AC209</f>
        <v>388</v>
      </c>
      <c r="AC209" t="str">
        <f t="shared" si="93"/>
        <v/>
      </c>
      <c r="AD209" t="str">
        <f>COUNTIFS(AC$2:AC209,AC209)&amp;AC209</f>
        <v>208</v>
      </c>
      <c r="AE209" t="str">
        <f t="shared" si="77"/>
        <v/>
      </c>
      <c r="AF209" t="str">
        <f t="shared" si="94"/>
        <v>..</v>
      </c>
      <c r="AG209" s="28" t="str">
        <f t="shared" si="78"/>
        <v/>
      </c>
      <c r="AH209" s="28" t="str">
        <f t="shared" si="79"/>
        <v/>
      </c>
      <c r="AI209" t="str">
        <f t="shared" si="80"/>
        <v/>
      </c>
      <c r="AJ209" t="str">
        <f t="shared" si="81"/>
        <v/>
      </c>
      <c r="AK209" t="str">
        <f t="shared" si="82"/>
        <v/>
      </c>
      <c r="AL209" t="str">
        <f t="shared" si="83"/>
        <v/>
      </c>
      <c r="AM209" t="str">
        <f t="shared" si="84"/>
        <v/>
      </c>
      <c r="AN209" t="str">
        <f t="shared" si="85"/>
        <v/>
      </c>
      <c r="AO209" t="str">
        <f t="shared" si="86"/>
        <v/>
      </c>
      <c r="AP209" t="str">
        <f t="shared" si="87"/>
        <v/>
      </c>
      <c r="AQ209" t="str">
        <f t="shared" si="88"/>
        <v/>
      </c>
      <c r="AR209" t="str">
        <f t="shared" si="89"/>
        <v/>
      </c>
      <c r="AS209" t="str">
        <f t="shared" si="90"/>
        <v/>
      </c>
      <c r="AT209" t="str">
        <f t="shared" si="91"/>
        <v/>
      </c>
      <c r="AU209" s="25" t="str">
        <f t="shared" si="95"/>
        <v/>
      </c>
      <c r="BA209">
        <f>'REGISTER SK'!F212</f>
        <v>0</v>
      </c>
    </row>
    <row r="210" spans="1:53" x14ac:dyDescent="0.35">
      <c r="A210" s="18">
        <v>209</v>
      </c>
      <c r="B210" s="36" t="s">
        <v>379</v>
      </c>
      <c r="C210" s="18" t="str">
        <f>IF(G210="","",IF(G210="Umum",G210,VLOOKUP(F210,'Data Induk Pegawai'!B:AE,4,FALSE)))</f>
        <v/>
      </c>
      <c r="D210" s="19" t="str">
        <f>IF('REGISTER SK'!A213="","",IF('REGISTER SK'!B213=0,D209,'REGISTER SK'!B213))</f>
        <v/>
      </c>
      <c r="E210" s="19" t="str">
        <f t="shared" si="92"/>
        <v/>
      </c>
      <c r="F210" s="29"/>
      <c r="G210" s="29"/>
      <c r="H210" s="31" t="str">
        <f>IF(F210="","",VLOOKUP(F210,'Data Induk Pegawai'!B:U,2,FALSE))</f>
        <v/>
      </c>
      <c r="I210" s="19" t="str">
        <f>IF('REGISTER SK'!C213="","",'REGISTER SK'!C213)</f>
        <v/>
      </c>
      <c r="J210" s="125"/>
      <c r="K210" s="125"/>
      <c r="L210" s="26" t="str">
        <f>IF('REGISTER SK'!D213="","",'REGISTER SK'!D213)</f>
        <v/>
      </c>
      <c r="M210" s="26" t="str">
        <f>IF('REGISTER SK'!E213="","",'REGISTER SK'!E213)</f>
        <v/>
      </c>
      <c r="N210" s="31" t="str">
        <f>IF(G210="","",IF(OR(G210="GTT",G210="PTT"),"--",VLOOKUP(F210,'Data Induk Pegawai'!B:AE,4,FALSE)))</f>
        <v/>
      </c>
      <c r="O210" s="18" t="s">
        <v>322</v>
      </c>
      <c r="P210" s="31" t="str">
        <f>IF(G210="","",VLOOKUP(F210,'Data Induk Pegawai'!B:AE,7,FALSE))</f>
        <v/>
      </c>
      <c r="Q210" s="30"/>
      <c r="R210" s="26" t="str">
        <f>IF(G210="","","Nomor "&amp;RIGHT(VLOOKUP(F210,'Data Induk Pegawai'!B:AE,12,FALSE),2)&amp;" Tahun "&amp;MID(VLOOKUP(F210,'Data Induk Pegawai'!B:AE,12,FALSE),5,4))</f>
        <v/>
      </c>
      <c r="S210" s="26" t="str">
        <f>IF(G210="","",VLOOKUP(F210,'Data Induk Pegawai'!B:AE,11,FALSE))</f>
        <v/>
      </c>
      <c r="T210" s="56"/>
      <c r="U210" s="18" t="str">
        <f t="shared" si="72"/>
        <v/>
      </c>
      <c r="V210" s="30"/>
      <c r="W210" s="18" t="str">
        <f t="shared" si="73"/>
        <v/>
      </c>
      <c r="X210" s="16"/>
      <c r="Y210" t="str">
        <f t="shared" si="74"/>
        <v/>
      </c>
      <c r="Z210" t="str">
        <f t="shared" si="75"/>
        <v/>
      </c>
      <c r="AA210" t="str">
        <f t="shared" si="76"/>
        <v/>
      </c>
      <c r="AB210" t="str">
        <f>COUNTIFS(AC210:AC$596,AC210)&amp;AC210</f>
        <v>387</v>
      </c>
      <c r="AC210" t="str">
        <f t="shared" si="93"/>
        <v/>
      </c>
      <c r="AD210" t="str">
        <f>COUNTIFS(AC$2:AC210,AC210)&amp;AC210</f>
        <v>209</v>
      </c>
      <c r="AE210" t="str">
        <f t="shared" si="77"/>
        <v/>
      </c>
      <c r="AF210" t="str">
        <f t="shared" si="94"/>
        <v>..</v>
      </c>
      <c r="AG210" s="28" t="str">
        <f t="shared" si="78"/>
        <v/>
      </c>
      <c r="AH210" s="28" t="str">
        <f t="shared" si="79"/>
        <v/>
      </c>
      <c r="AI210" t="str">
        <f t="shared" si="80"/>
        <v/>
      </c>
      <c r="AJ210" t="str">
        <f t="shared" si="81"/>
        <v/>
      </c>
      <c r="AK210" t="str">
        <f t="shared" si="82"/>
        <v/>
      </c>
      <c r="AL210" t="str">
        <f t="shared" si="83"/>
        <v/>
      </c>
      <c r="AM210" t="str">
        <f t="shared" si="84"/>
        <v/>
      </c>
      <c r="AN210" t="str">
        <f t="shared" si="85"/>
        <v/>
      </c>
      <c r="AO210" t="str">
        <f t="shared" si="86"/>
        <v/>
      </c>
      <c r="AP210" t="str">
        <f t="shared" si="87"/>
        <v/>
      </c>
      <c r="AQ210" t="str">
        <f t="shared" si="88"/>
        <v/>
      </c>
      <c r="AR210" t="str">
        <f t="shared" si="89"/>
        <v/>
      </c>
      <c r="AS210" t="str">
        <f t="shared" si="90"/>
        <v/>
      </c>
      <c r="AT210" t="str">
        <f t="shared" si="91"/>
        <v/>
      </c>
      <c r="AU210" s="25" t="str">
        <f t="shared" si="95"/>
        <v/>
      </c>
      <c r="BA210">
        <f>'REGISTER SK'!F213</f>
        <v>0</v>
      </c>
    </row>
    <row r="211" spans="1:53" x14ac:dyDescent="0.35">
      <c r="A211" s="18">
        <v>210</v>
      </c>
      <c r="B211" s="36" t="s">
        <v>379</v>
      </c>
      <c r="C211" s="18" t="str">
        <f>IF(G211="","",IF(G211="Umum",G211,VLOOKUP(F211,'Data Induk Pegawai'!B:AE,4,FALSE)))</f>
        <v/>
      </c>
      <c r="D211" s="19" t="str">
        <f>IF('REGISTER SK'!A214="","",IF('REGISTER SK'!B214=0,D210,'REGISTER SK'!B214))</f>
        <v/>
      </c>
      <c r="E211" s="19" t="str">
        <f t="shared" si="92"/>
        <v/>
      </c>
      <c r="F211" s="29"/>
      <c r="G211" s="29"/>
      <c r="H211" s="31" t="str">
        <f>IF(F211="","",VLOOKUP(F211,'Data Induk Pegawai'!B:U,2,FALSE))</f>
        <v/>
      </c>
      <c r="I211" s="19" t="str">
        <f>IF('REGISTER SK'!C214="","",'REGISTER SK'!C214)</f>
        <v/>
      </c>
      <c r="J211" s="125"/>
      <c r="K211" s="125"/>
      <c r="L211" s="26" t="str">
        <f>IF('REGISTER SK'!D214="","",'REGISTER SK'!D214)</f>
        <v/>
      </c>
      <c r="M211" s="26" t="str">
        <f>IF('REGISTER SK'!E214="","",'REGISTER SK'!E214)</f>
        <v/>
      </c>
      <c r="N211" s="31" t="str">
        <f>IF(G211="","",IF(OR(G211="GTT",G211="PTT"),"--",VLOOKUP(F211,'Data Induk Pegawai'!B:AE,4,FALSE)))</f>
        <v/>
      </c>
      <c r="O211" s="18" t="s">
        <v>324</v>
      </c>
      <c r="P211" s="31" t="str">
        <f>IF(G211="","",VLOOKUP(F211,'Data Induk Pegawai'!B:AE,7,FALSE))</f>
        <v/>
      </c>
      <c r="Q211" s="30"/>
      <c r="R211" s="26" t="str">
        <f>IF(G211="","","Nomor "&amp;RIGHT(VLOOKUP(F211,'Data Induk Pegawai'!B:AE,12,FALSE),2)&amp;" Tahun "&amp;MID(VLOOKUP(F211,'Data Induk Pegawai'!B:AE,12,FALSE),5,4))</f>
        <v/>
      </c>
      <c r="S211" s="26" t="str">
        <f>IF(G211="","",VLOOKUP(F211,'Data Induk Pegawai'!B:AE,11,FALSE))</f>
        <v/>
      </c>
      <c r="T211" s="56"/>
      <c r="U211" s="18" t="str">
        <f t="shared" si="72"/>
        <v/>
      </c>
      <c r="V211" s="30"/>
      <c r="W211" s="18" t="str">
        <f t="shared" si="73"/>
        <v/>
      </c>
      <c r="X211" s="16"/>
      <c r="Y211" t="str">
        <f t="shared" si="74"/>
        <v/>
      </c>
      <c r="Z211" t="str">
        <f t="shared" si="75"/>
        <v/>
      </c>
      <c r="AA211" t="str">
        <f t="shared" si="76"/>
        <v/>
      </c>
      <c r="AB211" t="str">
        <f>COUNTIFS(AC211:AC$596,AC211)&amp;AC211</f>
        <v>386</v>
      </c>
      <c r="AC211" t="str">
        <f t="shared" si="93"/>
        <v/>
      </c>
      <c r="AD211" t="str">
        <f>COUNTIFS(AC$2:AC211,AC211)&amp;AC211</f>
        <v>210</v>
      </c>
      <c r="AE211" t="str">
        <f t="shared" si="77"/>
        <v/>
      </c>
      <c r="AF211" t="str">
        <f t="shared" si="94"/>
        <v>..</v>
      </c>
      <c r="AG211" s="28" t="str">
        <f t="shared" si="78"/>
        <v/>
      </c>
      <c r="AH211" s="28" t="str">
        <f t="shared" si="79"/>
        <v/>
      </c>
      <c r="AI211" t="str">
        <f t="shared" si="80"/>
        <v/>
      </c>
      <c r="AJ211" t="str">
        <f t="shared" si="81"/>
        <v/>
      </c>
      <c r="AK211" t="str">
        <f t="shared" si="82"/>
        <v/>
      </c>
      <c r="AL211" t="str">
        <f t="shared" si="83"/>
        <v/>
      </c>
      <c r="AM211" t="str">
        <f t="shared" si="84"/>
        <v/>
      </c>
      <c r="AN211" t="str">
        <f t="shared" si="85"/>
        <v/>
      </c>
      <c r="AO211" t="str">
        <f t="shared" si="86"/>
        <v/>
      </c>
      <c r="AP211" t="str">
        <f t="shared" si="87"/>
        <v/>
      </c>
      <c r="AQ211" t="str">
        <f t="shared" si="88"/>
        <v/>
      </c>
      <c r="AR211" t="str">
        <f t="shared" si="89"/>
        <v/>
      </c>
      <c r="AS211" t="str">
        <f t="shared" si="90"/>
        <v/>
      </c>
      <c r="AT211" t="str">
        <f t="shared" si="91"/>
        <v/>
      </c>
      <c r="AU211" s="25" t="str">
        <f t="shared" si="95"/>
        <v/>
      </c>
      <c r="BA211">
        <f>'REGISTER SK'!F214</f>
        <v>0</v>
      </c>
    </row>
    <row r="212" spans="1:53" x14ac:dyDescent="0.35">
      <c r="A212" s="18">
        <v>211</v>
      </c>
      <c r="B212" s="36" t="s">
        <v>379</v>
      </c>
      <c r="C212" s="18" t="str">
        <f>IF(G212="","",IF(G212="Umum",G212,VLOOKUP(F212,'Data Induk Pegawai'!B:AE,4,FALSE)))</f>
        <v/>
      </c>
      <c r="D212" s="19" t="str">
        <f>IF('REGISTER SK'!A215="","",IF('REGISTER SK'!B215=0,D211,'REGISTER SK'!B215))</f>
        <v/>
      </c>
      <c r="E212" s="19" t="str">
        <f t="shared" si="92"/>
        <v/>
      </c>
      <c r="F212" s="29"/>
      <c r="G212" s="29"/>
      <c r="H212" s="31" t="str">
        <f>IF(F212="","",VLOOKUP(F212,'Data Induk Pegawai'!B:U,2,FALSE))</f>
        <v/>
      </c>
      <c r="I212" s="19" t="str">
        <f>IF('REGISTER SK'!C215="","",'REGISTER SK'!C215)</f>
        <v/>
      </c>
      <c r="J212" s="125"/>
      <c r="K212" s="125"/>
      <c r="L212" s="26" t="str">
        <f>IF('REGISTER SK'!D215="","",'REGISTER SK'!D215)</f>
        <v/>
      </c>
      <c r="M212" s="26" t="str">
        <f>IF('REGISTER SK'!E215="","",'REGISTER SK'!E215)</f>
        <v/>
      </c>
      <c r="N212" s="31" t="str">
        <f>IF(G212="","",IF(OR(G212="GTT",G212="PTT"),"--",VLOOKUP(F212,'Data Induk Pegawai'!B:AE,4,FALSE)))</f>
        <v/>
      </c>
      <c r="O212" s="18" t="s">
        <v>325</v>
      </c>
      <c r="P212" s="31" t="str">
        <f>IF(G212="","",VLOOKUP(F212,'Data Induk Pegawai'!B:AE,7,FALSE))</f>
        <v/>
      </c>
      <c r="Q212" s="30"/>
      <c r="R212" s="26" t="str">
        <f>IF(G212="","","Nomor "&amp;RIGHT(VLOOKUP(F212,'Data Induk Pegawai'!B:AE,12,FALSE),2)&amp;" Tahun "&amp;MID(VLOOKUP(F212,'Data Induk Pegawai'!B:AE,12,FALSE),5,4))</f>
        <v/>
      </c>
      <c r="S212" s="26" t="str">
        <f>IF(G212="","",VLOOKUP(F212,'Data Induk Pegawai'!B:AE,11,FALSE))</f>
        <v/>
      </c>
      <c r="T212" s="56"/>
      <c r="U212" s="18" t="str">
        <f t="shared" si="72"/>
        <v/>
      </c>
      <c r="V212" s="30"/>
      <c r="W212" s="18" t="str">
        <f t="shared" si="73"/>
        <v/>
      </c>
      <c r="X212" s="16"/>
      <c r="Y212" t="str">
        <f t="shared" si="74"/>
        <v/>
      </c>
      <c r="Z212" t="str">
        <f t="shared" si="75"/>
        <v/>
      </c>
      <c r="AA212" t="str">
        <f t="shared" si="76"/>
        <v/>
      </c>
      <c r="AB212" t="str">
        <f>COUNTIFS(AC212:AC$596,AC212)&amp;AC212</f>
        <v>385</v>
      </c>
      <c r="AC212" t="str">
        <f t="shared" si="93"/>
        <v/>
      </c>
      <c r="AD212" t="str">
        <f>COUNTIFS(AC$2:AC212,AC212)&amp;AC212</f>
        <v>211</v>
      </c>
      <c r="AE212" t="str">
        <f t="shared" si="77"/>
        <v/>
      </c>
      <c r="AF212" t="str">
        <f t="shared" si="94"/>
        <v>..</v>
      </c>
      <c r="AG212" s="28" t="str">
        <f t="shared" si="78"/>
        <v/>
      </c>
      <c r="AH212" s="28" t="str">
        <f t="shared" si="79"/>
        <v/>
      </c>
      <c r="AI212" t="str">
        <f t="shared" si="80"/>
        <v/>
      </c>
      <c r="AJ212" t="str">
        <f t="shared" si="81"/>
        <v/>
      </c>
      <c r="AK212" t="str">
        <f t="shared" si="82"/>
        <v/>
      </c>
      <c r="AL212" t="str">
        <f t="shared" si="83"/>
        <v/>
      </c>
      <c r="AM212" t="str">
        <f t="shared" si="84"/>
        <v/>
      </c>
      <c r="AN212" t="str">
        <f t="shared" si="85"/>
        <v/>
      </c>
      <c r="AO212" t="str">
        <f t="shared" si="86"/>
        <v/>
      </c>
      <c r="AP212" t="str">
        <f t="shared" si="87"/>
        <v/>
      </c>
      <c r="AQ212" t="str">
        <f t="shared" si="88"/>
        <v/>
      </c>
      <c r="AR212" t="str">
        <f t="shared" si="89"/>
        <v/>
      </c>
      <c r="AS212" t="str">
        <f t="shared" si="90"/>
        <v/>
      </c>
      <c r="AT212" t="str">
        <f t="shared" si="91"/>
        <v/>
      </c>
      <c r="AU212" s="25" t="str">
        <f t="shared" si="95"/>
        <v/>
      </c>
      <c r="BA212">
        <f>'REGISTER SK'!F215</f>
        <v>0</v>
      </c>
    </row>
    <row r="213" spans="1:53" x14ac:dyDescent="0.35">
      <c r="A213" s="18">
        <v>212</v>
      </c>
      <c r="B213" s="36" t="s">
        <v>379</v>
      </c>
      <c r="C213" s="18" t="str">
        <f>IF(G213="","",IF(G213="Umum",G213,VLOOKUP(F213,'Data Induk Pegawai'!B:AE,4,FALSE)))</f>
        <v/>
      </c>
      <c r="D213" s="19" t="str">
        <f>IF('REGISTER SK'!A216="","",IF('REGISTER SK'!B216=0,D212,'REGISTER SK'!B216))</f>
        <v/>
      </c>
      <c r="E213" s="19" t="str">
        <f t="shared" si="92"/>
        <v/>
      </c>
      <c r="F213" s="29"/>
      <c r="G213" s="29"/>
      <c r="H213" s="31" t="str">
        <f>IF(F213="","",VLOOKUP(F213,'Data Induk Pegawai'!B:U,2,FALSE))</f>
        <v/>
      </c>
      <c r="I213" s="19" t="str">
        <f>IF('REGISTER SK'!C216="","",'REGISTER SK'!C216)</f>
        <v/>
      </c>
      <c r="J213" s="125"/>
      <c r="K213" s="125"/>
      <c r="L213" s="26" t="str">
        <f>IF('REGISTER SK'!D216="","",'REGISTER SK'!D216)</f>
        <v/>
      </c>
      <c r="M213" s="26" t="str">
        <f>IF('REGISTER SK'!E216="","",'REGISTER SK'!E216)</f>
        <v/>
      </c>
      <c r="N213" s="31" t="str">
        <f>IF(G213="","",IF(OR(G213="GTT",G213="PTT"),"--",VLOOKUP(F213,'Data Induk Pegawai'!B:AE,4,FALSE)))</f>
        <v/>
      </c>
      <c r="O213" s="18" t="s">
        <v>326</v>
      </c>
      <c r="P213" s="31" t="str">
        <f>IF(G213="","",VLOOKUP(F213,'Data Induk Pegawai'!B:AE,7,FALSE))</f>
        <v/>
      </c>
      <c r="Q213" s="30"/>
      <c r="R213" s="26" t="str">
        <f>IF(G213="","","Nomor "&amp;RIGHT(VLOOKUP(F213,'Data Induk Pegawai'!B:AE,12,FALSE),2)&amp;" Tahun "&amp;MID(VLOOKUP(F213,'Data Induk Pegawai'!B:AE,12,FALSE),5,4))</f>
        <v/>
      </c>
      <c r="S213" s="26" t="str">
        <f>IF(G213="","",VLOOKUP(F213,'Data Induk Pegawai'!B:AE,11,FALSE))</f>
        <v/>
      </c>
      <c r="T213" s="56"/>
      <c r="U213" s="18" t="str">
        <f t="shared" si="72"/>
        <v/>
      </c>
      <c r="V213" s="30"/>
      <c r="W213" s="18" t="str">
        <f t="shared" si="73"/>
        <v/>
      </c>
      <c r="X213" s="16"/>
      <c r="Y213" t="str">
        <f t="shared" si="74"/>
        <v/>
      </c>
      <c r="Z213" t="str">
        <f t="shared" si="75"/>
        <v/>
      </c>
      <c r="AA213" t="str">
        <f t="shared" si="76"/>
        <v/>
      </c>
      <c r="AB213" t="str">
        <f>COUNTIFS(AC213:AC$596,AC213)&amp;AC213</f>
        <v>384</v>
      </c>
      <c r="AC213" t="str">
        <f t="shared" si="93"/>
        <v/>
      </c>
      <c r="AD213" t="str">
        <f>COUNTIFS(AC$2:AC213,AC213)&amp;AC213</f>
        <v>212</v>
      </c>
      <c r="AE213" t="str">
        <f t="shared" si="77"/>
        <v/>
      </c>
      <c r="AF213" t="str">
        <f t="shared" si="94"/>
        <v>..</v>
      </c>
      <c r="AG213" s="28" t="str">
        <f t="shared" si="78"/>
        <v/>
      </c>
      <c r="AH213" s="28" t="str">
        <f t="shared" si="79"/>
        <v/>
      </c>
      <c r="AI213" t="str">
        <f t="shared" si="80"/>
        <v/>
      </c>
      <c r="AJ213" t="str">
        <f t="shared" si="81"/>
        <v/>
      </c>
      <c r="AK213" t="str">
        <f t="shared" si="82"/>
        <v/>
      </c>
      <c r="AL213" t="str">
        <f t="shared" si="83"/>
        <v/>
      </c>
      <c r="AM213" t="str">
        <f t="shared" si="84"/>
        <v/>
      </c>
      <c r="AN213" t="str">
        <f t="shared" si="85"/>
        <v/>
      </c>
      <c r="AO213" t="str">
        <f t="shared" si="86"/>
        <v/>
      </c>
      <c r="AP213" t="str">
        <f t="shared" si="87"/>
        <v/>
      </c>
      <c r="AQ213" t="str">
        <f t="shared" si="88"/>
        <v/>
      </c>
      <c r="AR213" t="str">
        <f t="shared" si="89"/>
        <v/>
      </c>
      <c r="AS213" t="str">
        <f t="shared" si="90"/>
        <v/>
      </c>
      <c r="AT213" t="str">
        <f t="shared" si="91"/>
        <v/>
      </c>
      <c r="AU213" s="25" t="str">
        <f t="shared" si="95"/>
        <v/>
      </c>
      <c r="BA213">
        <f>'REGISTER SK'!F216</f>
        <v>0</v>
      </c>
    </row>
    <row r="214" spans="1:53" x14ac:dyDescent="0.35">
      <c r="A214" s="18">
        <v>213</v>
      </c>
      <c r="B214" s="36" t="s">
        <v>379</v>
      </c>
      <c r="C214" s="18" t="str">
        <f>IF(G214="","",IF(G214="Umum",G214,VLOOKUP(F214,'Data Induk Pegawai'!B:AE,4,FALSE)))</f>
        <v/>
      </c>
      <c r="D214" s="19" t="str">
        <f>IF('REGISTER SK'!A217="","",IF('REGISTER SK'!B217=0,D213,'REGISTER SK'!B217))</f>
        <v/>
      </c>
      <c r="E214" s="19" t="str">
        <f t="shared" si="92"/>
        <v/>
      </c>
      <c r="F214" s="29"/>
      <c r="G214" s="29"/>
      <c r="H214" s="31" t="str">
        <f>IF(F214="","",VLOOKUP(F214,'Data Induk Pegawai'!B:U,2,FALSE))</f>
        <v/>
      </c>
      <c r="I214" s="19" t="str">
        <f>IF('REGISTER SK'!C217="","",'REGISTER SK'!C217)</f>
        <v/>
      </c>
      <c r="J214" s="125"/>
      <c r="K214" s="125"/>
      <c r="L214" s="26" t="str">
        <f>IF('REGISTER SK'!D217="","",'REGISTER SK'!D217)</f>
        <v/>
      </c>
      <c r="M214" s="26" t="str">
        <f>IF('REGISTER SK'!E217="","",'REGISTER SK'!E217)</f>
        <v/>
      </c>
      <c r="N214" s="31" t="str">
        <f>IF(G214="","",IF(OR(G214="GTT",G214="PTT"),"--",VLOOKUP(F214,'Data Induk Pegawai'!B:AE,4,FALSE)))</f>
        <v/>
      </c>
      <c r="O214" s="18" t="s">
        <v>310</v>
      </c>
      <c r="P214" s="31" t="str">
        <f>IF(G214="","",VLOOKUP(F214,'Data Induk Pegawai'!B:AE,7,FALSE))</f>
        <v/>
      </c>
      <c r="Q214" s="30"/>
      <c r="R214" s="26" t="str">
        <f>IF(G214="","","Nomor "&amp;RIGHT(VLOOKUP(F214,'Data Induk Pegawai'!B:AE,12,FALSE),2)&amp;" Tahun "&amp;MID(VLOOKUP(F214,'Data Induk Pegawai'!B:AE,12,FALSE),5,4))</f>
        <v/>
      </c>
      <c r="S214" s="26" t="str">
        <f>IF(G214="","",VLOOKUP(F214,'Data Induk Pegawai'!B:AE,11,FALSE))</f>
        <v/>
      </c>
      <c r="T214" s="56"/>
      <c r="U214" s="18" t="str">
        <f t="shared" si="72"/>
        <v/>
      </c>
      <c r="V214" s="30"/>
      <c r="W214" s="18" t="str">
        <f t="shared" si="73"/>
        <v/>
      </c>
      <c r="X214" s="16"/>
      <c r="Y214" t="str">
        <f t="shared" si="74"/>
        <v/>
      </c>
      <c r="Z214" t="str">
        <f t="shared" si="75"/>
        <v/>
      </c>
      <c r="AA214" t="str">
        <f t="shared" si="76"/>
        <v/>
      </c>
      <c r="AB214" t="str">
        <f>COUNTIFS(AC214:AC$596,AC214)&amp;AC214</f>
        <v>383</v>
      </c>
      <c r="AC214" t="str">
        <f t="shared" si="93"/>
        <v/>
      </c>
      <c r="AD214" t="str">
        <f>COUNTIFS(AC$2:AC214,AC214)&amp;AC214</f>
        <v>213</v>
      </c>
      <c r="AE214" t="str">
        <f t="shared" si="77"/>
        <v/>
      </c>
      <c r="AF214" t="str">
        <f t="shared" si="94"/>
        <v>..</v>
      </c>
      <c r="AG214" s="28" t="str">
        <f t="shared" si="78"/>
        <v/>
      </c>
      <c r="AH214" s="28" t="str">
        <f t="shared" si="79"/>
        <v/>
      </c>
      <c r="AI214" t="str">
        <f t="shared" si="80"/>
        <v/>
      </c>
      <c r="AJ214" t="str">
        <f t="shared" si="81"/>
        <v/>
      </c>
      <c r="AK214" t="str">
        <f t="shared" si="82"/>
        <v/>
      </c>
      <c r="AL214" t="str">
        <f t="shared" si="83"/>
        <v/>
      </c>
      <c r="AM214" t="str">
        <f t="shared" si="84"/>
        <v/>
      </c>
      <c r="AN214" t="str">
        <f t="shared" si="85"/>
        <v/>
      </c>
      <c r="AO214" t="str">
        <f t="shared" si="86"/>
        <v/>
      </c>
      <c r="AP214" t="str">
        <f t="shared" si="87"/>
        <v/>
      </c>
      <c r="AQ214" t="str">
        <f t="shared" si="88"/>
        <v/>
      </c>
      <c r="AR214" t="str">
        <f t="shared" si="89"/>
        <v/>
      </c>
      <c r="AS214" t="str">
        <f t="shared" si="90"/>
        <v/>
      </c>
      <c r="AT214" t="str">
        <f t="shared" si="91"/>
        <v/>
      </c>
      <c r="AU214" s="25" t="str">
        <f t="shared" si="95"/>
        <v/>
      </c>
      <c r="BA214">
        <f>'REGISTER SK'!F217</f>
        <v>0</v>
      </c>
    </row>
    <row r="215" spans="1:53" x14ac:dyDescent="0.35">
      <c r="A215" s="18">
        <v>214</v>
      </c>
      <c r="B215" s="36" t="s">
        <v>379</v>
      </c>
      <c r="C215" s="18" t="str">
        <f>IF(G215="","",IF(G215="Umum",G215,VLOOKUP(F215,'Data Induk Pegawai'!B:AE,4,FALSE)))</f>
        <v/>
      </c>
      <c r="D215" s="19" t="str">
        <f>IF('REGISTER SK'!A218="","",IF('REGISTER SK'!B218=0,D214,'REGISTER SK'!B218))</f>
        <v/>
      </c>
      <c r="E215" s="19" t="str">
        <f t="shared" si="92"/>
        <v/>
      </c>
      <c r="F215" s="29"/>
      <c r="G215" s="29"/>
      <c r="H215" s="31" t="str">
        <f>IF(F215="","",VLOOKUP(F215,'Data Induk Pegawai'!B:U,2,FALSE))</f>
        <v/>
      </c>
      <c r="I215" s="19" t="str">
        <f>IF('REGISTER SK'!C218="","",'REGISTER SK'!C218)</f>
        <v/>
      </c>
      <c r="J215" s="125"/>
      <c r="K215" s="125"/>
      <c r="L215" s="26" t="str">
        <f>IF('REGISTER SK'!D218="","",'REGISTER SK'!D218)</f>
        <v/>
      </c>
      <c r="M215" s="26" t="str">
        <f>IF('REGISTER SK'!E218="","",'REGISTER SK'!E218)</f>
        <v/>
      </c>
      <c r="N215" s="31" t="str">
        <f>IF(G215="","",IF(OR(G215="GTT",G215="PTT"),"--",VLOOKUP(F215,'Data Induk Pegawai'!B:AE,4,FALSE)))</f>
        <v/>
      </c>
      <c r="O215" s="18" t="s">
        <v>307</v>
      </c>
      <c r="P215" s="31" t="str">
        <f>IF(G215="","",VLOOKUP(F215,'Data Induk Pegawai'!B:AE,7,FALSE))</f>
        <v/>
      </c>
      <c r="Q215" s="30"/>
      <c r="R215" s="26" t="str">
        <f>IF(G215="","","Nomor "&amp;RIGHT(VLOOKUP(F215,'Data Induk Pegawai'!B:AE,12,FALSE),2)&amp;" Tahun "&amp;MID(VLOOKUP(F215,'Data Induk Pegawai'!B:AE,12,FALSE),5,4))</f>
        <v/>
      </c>
      <c r="S215" s="26" t="str">
        <f>IF(G215="","",VLOOKUP(F215,'Data Induk Pegawai'!B:AE,11,FALSE))</f>
        <v/>
      </c>
      <c r="T215" s="56"/>
      <c r="U215" s="18" t="str">
        <f t="shared" si="72"/>
        <v/>
      </c>
      <c r="V215" s="30"/>
      <c r="W215" s="18" t="str">
        <f t="shared" si="73"/>
        <v/>
      </c>
      <c r="X215" s="16"/>
      <c r="Y215" t="str">
        <f t="shared" si="74"/>
        <v/>
      </c>
      <c r="Z215" t="str">
        <f t="shared" si="75"/>
        <v/>
      </c>
      <c r="AA215" t="str">
        <f t="shared" si="76"/>
        <v/>
      </c>
      <c r="AB215" t="str">
        <f>COUNTIFS(AC215:AC$596,AC215)&amp;AC215</f>
        <v>382</v>
      </c>
      <c r="AC215" t="str">
        <f t="shared" si="93"/>
        <v/>
      </c>
      <c r="AD215" t="str">
        <f>COUNTIFS(AC$2:AC215,AC215)&amp;AC215</f>
        <v>214</v>
      </c>
      <c r="AE215" t="str">
        <f t="shared" si="77"/>
        <v/>
      </c>
      <c r="AF215" t="str">
        <f t="shared" si="94"/>
        <v>..</v>
      </c>
      <c r="AG215" s="28" t="str">
        <f t="shared" si="78"/>
        <v/>
      </c>
      <c r="AH215" s="28" t="str">
        <f t="shared" si="79"/>
        <v/>
      </c>
      <c r="AI215" t="str">
        <f t="shared" si="80"/>
        <v/>
      </c>
      <c r="AJ215" t="str">
        <f t="shared" si="81"/>
        <v/>
      </c>
      <c r="AK215" t="str">
        <f t="shared" si="82"/>
        <v/>
      </c>
      <c r="AL215" t="str">
        <f t="shared" si="83"/>
        <v/>
      </c>
      <c r="AM215" t="str">
        <f t="shared" si="84"/>
        <v/>
      </c>
      <c r="AN215" t="str">
        <f t="shared" si="85"/>
        <v/>
      </c>
      <c r="AO215" t="str">
        <f t="shared" si="86"/>
        <v/>
      </c>
      <c r="AP215" t="str">
        <f t="shared" si="87"/>
        <v/>
      </c>
      <c r="AQ215" t="str">
        <f t="shared" si="88"/>
        <v/>
      </c>
      <c r="AR215" t="str">
        <f t="shared" si="89"/>
        <v/>
      </c>
      <c r="AS215" t="str">
        <f t="shared" si="90"/>
        <v/>
      </c>
      <c r="AT215" t="str">
        <f t="shared" si="91"/>
        <v/>
      </c>
      <c r="AU215" s="25" t="str">
        <f t="shared" si="95"/>
        <v/>
      </c>
      <c r="BA215">
        <f>'REGISTER SK'!F218</f>
        <v>0</v>
      </c>
    </row>
    <row r="216" spans="1:53" x14ac:dyDescent="0.35">
      <c r="A216" s="18">
        <v>215</v>
      </c>
      <c r="B216" s="36" t="s">
        <v>379</v>
      </c>
      <c r="C216" s="18" t="str">
        <f>IF(G216="","",IF(G216="Umum",G216,VLOOKUP(F216,'Data Induk Pegawai'!B:AE,4,FALSE)))</f>
        <v/>
      </c>
      <c r="D216" s="19" t="str">
        <f>IF('REGISTER SK'!A219="","",IF('REGISTER SK'!B219=0,D215,'REGISTER SK'!B219))</f>
        <v/>
      </c>
      <c r="E216" s="19" t="str">
        <f t="shared" si="92"/>
        <v/>
      </c>
      <c r="F216" s="29"/>
      <c r="G216" s="29"/>
      <c r="H216" s="31" t="str">
        <f>IF(F216="","",VLOOKUP(F216,'Data Induk Pegawai'!B:U,2,FALSE))</f>
        <v/>
      </c>
      <c r="I216" s="19" t="str">
        <f>IF('REGISTER SK'!C219="","",'REGISTER SK'!C219)</f>
        <v/>
      </c>
      <c r="J216" s="125"/>
      <c r="K216" s="125"/>
      <c r="L216" s="26" t="str">
        <f>IF('REGISTER SK'!D219="","",'REGISTER SK'!D219)</f>
        <v/>
      </c>
      <c r="M216" s="26" t="str">
        <f>IF('REGISTER SK'!E219="","",'REGISTER SK'!E219)</f>
        <v/>
      </c>
      <c r="N216" s="31" t="str">
        <f>IF(G216="","",IF(OR(G216="GTT",G216="PTT"),"--",VLOOKUP(F216,'Data Induk Pegawai'!B:AE,4,FALSE)))</f>
        <v/>
      </c>
      <c r="O216" s="18" t="s">
        <v>308</v>
      </c>
      <c r="P216" s="31" t="str">
        <f>IF(G216="","",VLOOKUP(F216,'Data Induk Pegawai'!B:AE,7,FALSE))</f>
        <v/>
      </c>
      <c r="Q216" s="30"/>
      <c r="R216" s="26" t="str">
        <f>IF(G216="","","Nomor "&amp;RIGHT(VLOOKUP(F216,'Data Induk Pegawai'!B:AE,12,FALSE),2)&amp;" Tahun "&amp;MID(VLOOKUP(F216,'Data Induk Pegawai'!B:AE,12,FALSE),5,4))</f>
        <v/>
      </c>
      <c r="S216" s="26" t="str">
        <f>IF(G216="","",VLOOKUP(F216,'Data Induk Pegawai'!B:AE,11,FALSE))</f>
        <v/>
      </c>
      <c r="T216" s="56"/>
      <c r="U216" s="18" t="str">
        <f t="shared" si="72"/>
        <v/>
      </c>
      <c r="V216" s="30"/>
      <c r="W216" s="18" t="str">
        <f t="shared" si="73"/>
        <v/>
      </c>
      <c r="X216" s="16"/>
      <c r="Y216" t="str">
        <f t="shared" si="74"/>
        <v/>
      </c>
      <c r="Z216" t="str">
        <f t="shared" si="75"/>
        <v/>
      </c>
      <c r="AA216" t="str">
        <f t="shared" si="76"/>
        <v/>
      </c>
      <c r="AB216" t="str">
        <f>COUNTIFS(AC216:AC$596,AC216)&amp;AC216</f>
        <v>381</v>
      </c>
      <c r="AC216" t="str">
        <f t="shared" si="93"/>
        <v/>
      </c>
      <c r="AD216" t="str">
        <f>COUNTIFS(AC$2:AC216,AC216)&amp;AC216</f>
        <v>215</v>
      </c>
      <c r="AE216" t="str">
        <f t="shared" si="77"/>
        <v/>
      </c>
      <c r="AF216" t="str">
        <f t="shared" si="94"/>
        <v>..</v>
      </c>
      <c r="AG216" s="28" t="str">
        <f t="shared" si="78"/>
        <v/>
      </c>
      <c r="AH216" s="28" t="str">
        <f t="shared" si="79"/>
        <v/>
      </c>
      <c r="AI216" t="str">
        <f t="shared" si="80"/>
        <v/>
      </c>
      <c r="AJ216" t="str">
        <f t="shared" si="81"/>
        <v/>
      </c>
      <c r="AK216" t="str">
        <f t="shared" si="82"/>
        <v/>
      </c>
      <c r="AL216" t="str">
        <f t="shared" si="83"/>
        <v/>
      </c>
      <c r="AM216" t="str">
        <f t="shared" si="84"/>
        <v/>
      </c>
      <c r="AN216" t="str">
        <f t="shared" si="85"/>
        <v/>
      </c>
      <c r="AO216" t="str">
        <f t="shared" si="86"/>
        <v/>
      </c>
      <c r="AP216" t="str">
        <f t="shared" si="87"/>
        <v/>
      </c>
      <c r="AQ216" t="str">
        <f t="shared" si="88"/>
        <v/>
      </c>
      <c r="AR216" t="str">
        <f t="shared" si="89"/>
        <v/>
      </c>
      <c r="AS216" t="str">
        <f t="shared" si="90"/>
        <v/>
      </c>
      <c r="AT216" t="str">
        <f t="shared" si="91"/>
        <v/>
      </c>
      <c r="AU216" s="25" t="str">
        <f t="shared" si="95"/>
        <v/>
      </c>
      <c r="BA216">
        <f>'REGISTER SK'!F219</f>
        <v>0</v>
      </c>
    </row>
    <row r="217" spans="1:53" x14ac:dyDescent="0.35">
      <c r="A217" s="18">
        <v>216</v>
      </c>
      <c r="B217" s="36" t="s">
        <v>379</v>
      </c>
      <c r="C217" s="18" t="str">
        <f>IF(G217="","",IF(G217="Umum",G217,VLOOKUP(F217,'Data Induk Pegawai'!B:AE,4,FALSE)))</f>
        <v/>
      </c>
      <c r="D217" s="19" t="str">
        <f>IF('REGISTER SK'!A220="","",IF('REGISTER SK'!B220=0,D216,'REGISTER SK'!B220))</f>
        <v/>
      </c>
      <c r="E217" s="19" t="str">
        <f t="shared" si="92"/>
        <v/>
      </c>
      <c r="F217" s="29"/>
      <c r="G217" s="29"/>
      <c r="H217" s="31" t="str">
        <f>IF(F217="","",VLOOKUP(F217,'Data Induk Pegawai'!B:U,2,FALSE))</f>
        <v/>
      </c>
      <c r="I217" s="19" t="str">
        <f>IF('REGISTER SK'!C220="","",'REGISTER SK'!C220)</f>
        <v/>
      </c>
      <c r="J217" s="125"/>
      <c r="K217" s="125"/>
      <c r="L217" s="26" t="str">
        <f>IF('REGISTER SK'!D220="","",'REGISTER SK'!D220)</f>
        <v/>
      </c>
      <c r="M217" s="26" t="str">
        <f>IF('REGISTER SK'!E220="","",'REGISTER SK'!E220)</f>
        <v/>
      </c>
      <c r="N217" s="31" t="str">
        <f>IF(G217="","",IF(OR(G217="GTT",G217="PTT"),"--",VLOOKUP(F217,'Data Induk Pegawai'!B:AE,4,FALSE)))</f>
        <v/>
      </c>
      <c r="O217" s="18" t="s">
        <v>319</v>
      </c>
      <c r="P217" s="31" t="str">
        <f>IF(G217="","",VLOOKUP(F217,'Data Induk Pegawai'!B:AE,7,FALSE))</f>
        <v/>
      </c>
      <c r="Q217" s="30"/>
      <c r="R217" s="26" t="str">
        <f>IF(G217="","","Nomor "&amp;RIGHT(VLOOKUP(F217,'Data Induk Pegawai'!B:AE,12,FALSE),2)&amp;" Tahun "&amp;MID(VLOOKUP(F217,'Data Induk Pegawai'!B:AE,12,FALSE),5,4))</f>
        <v/>
      </c>
      <c r="S217" s="26" t="str">
        <f>IF(G217="","",VLOOKUP(F217,'Data Induk Pegawai'!B:AE,11,FALSE))</f>
        <v/>
      </c>
      <c r="T217" s="56"/>
      <c r="U217" s="18" t="str">
        <f t="shared" si="72"/>
        <v/>
      </c>
      <c r="V217" s="30"/>
      <c r="W217" s="18" t="str">
        <f t="shared" si="73"/>
        <v/>
      </c>
      <c r="X217" s="16"/>
      <c r="Y217" t="str">
        <f t="shared" si="74"/>
        <v/>
      </c>
      <c r="Z217" t="str">
        <f t="shared" si="75"/>
        <v/>
      </c>
      <c r="AA217" t="str">
        <f t="shared" si="76"/>
        <v/>
      </c>
      <c r="AB217" t="str">
        <f>COUNTIFS(AC217:AC$596,AC217)&amp;AC217</f>
        <v>380</v>
      </c>
      <c r="AC217" t="str">
        <f t="shared" si="93"/>
        <v/>
      </c>
      <c r="AD217" t="str">
        <f>COUNTIFS(AC$2:AC217,AC217)&amp;AC217</f>
        <v>216</v>
      </c>
      <c r="AE217" t="str">
        <f t="shared" si="77"/>
        <v/>
      </c>
      <c r="AF217" t="str">
        <f t="shared" si="94"/>
        <v>..</v>
      </c>
      <c r="AG217" s="28" t="str">
        <f t="shared" si="78"/>
        <v/>
      </c>
      <c r="AH217" s="28" t="str">
        <f t="shared" si="79"/>
        <v/>
      </c>
      <c r="AI217" t="str">
        <f t="shared" si="80"/>
        <v/>
      </c>
      <c r="AJ217" t="str">
        <f t="shared" si="81"/>
        <v/>
      </c>
      <c r="AK217" t="str">
        <f t="shared" si="82"/>
        <v/>
      </c>
      <c r="AL217" t="str">
        <f t="shared" si="83"/>
        <v/>
      </c>
      <c r="AM217" t="str">
        <f t="shared" si="84"/>
        <v/>
      </c>
      <c r="AN217" t="str">
        <f t="shared" si="85"/>
        <v/>
      </c>
      <c r="AO217" t="str">
        <f t="shared" si="86"/>
        <v/>
      </c>
      <c r="AP217" t="str">
        <f t="shared" si="87"/>
        <v/>
      </c>
      <c r="AQ217" t="str">
        <f t="shared" si="88"/>
        <v/>
      </c>
      <c r="AR217" t="str">
        <f t="shared" si="89"/>
        <v/>
      </c>
      <c r="AS217" t="str">
        <f t="shared" si="90"/>
        <v/>
      </c>
      <c r="AT217" t="str">
        <f t="shared" si="91"/>
        <v/>
      </c>
      <c r="AU217" s="25" t="str">
        <f t="shared" si="95"/>
        <v/>
      </c>
      <c r="BA217">
        <f>'REGISTER SK'!F220</f>
        <v>0</v>
      </c>
    </row>
    <row r="218" spans="1:53" x14ac:dyDescent="0.35">
      <c r="A218" s="18">
        <v>217</v>
      </c>
      <c r="B218" s="36" t="s">
        <v>379</v>
      </c>
      <c r="C218" s="18" t="str">
        <f>IF(G218="","",IF(G218="Umum",G218,VLOOKUP(F218,'Data Induk Pegawai'!B:AE,4,FALSE)))</f>
        <v/>
      </c>
      <c r="D218" s="19" t="str">
        <f>IF('REGISTER SK'!A221="","",IF('REGISTER SK'!B221=0,D217,'REGISTER SK'!B221))</f>
        <v/>
      </c>
      <c r="E218" s="19" t="str">
        <f t="shared" si="92"/>
        <v/>
      </c>
      <c r="F218" s="29"/>
      <c r="G218" s="29"/>
      <c r="H218" s="31" t="str">
        <f>IF(F218="","",VLOOKUP(F218,'Data Induk Pegawai'!B:U,2,FALSE))</f>
        <v/>
      </c>
      <c r="I218" s="19" t="str">
        <f>IF('REGISTER SK'!C221="","",'REGISTER SK'!C221)</f>
        <v/>
      </c>
      <c r="J218" s="125"/>
      <c r="K218" s="125"/>
      <c r="L218" s="26" t="str">
        <f>IF('REGISTER SK'!D221="","",'REGISTER SK'!D221)</f>
        <v/>
      </c>
      <c r="M218" s="26" t="str">
        <f>IF('REGISTER SK'!E221="","",'REGISTER SK'!E221)</f>
        <v/>
      </c>
      <c r="N218" s="31" t="str">
        <f>IF(G218="","",IF(OR(G218="GTT",G218="PTT"),"--",VLOOKUP(F218,'Data Induk Pegawai'!B:AE,4,FALSE)))</f>
        <v/>
      </c>
      <c r="O218" s="18" t="s">
        <v>316</v>
      </c>
      <c r="P218" s="31" t="str">
        <f>IF(G218="","",VLOOKUP(F218,'Data Induk Pegawai'!B:AE,7,FALSE))</f>
        <v/>
      </c>
      <c r="Q218" s="30"/>
      <c r="R218" s="26" t="str">
        <f>IF(G218="","","Nomor "&amp;RIGHT(VLOOKUP(F218,'Data Induk Pegawai'!B:AE,12,FALSE),2)&amp;" Tahun "&amp;MID(VLOOKUP(F218,'Data Induk Pegawai'!B:AE,12,FALSE),5,4))</f>
        <v/>
      </c>
      <c r="S218" s="26" t="str">
        <f>IF(G218="","",VLOOKUP(F218,'Data Induk Pegawai'!B:AE,11,FALSE))</f>
        <v/>
      </c>
      <c r="T218" s="56"/>
      <c r="U218" s="18" t="str">
        <f t="shared" si="72"/>
        <v/>
      </c>
      <c r="V218" s="30"/>
      <c r="W218" s="18" t="str">
        <f t="shared" si="73"/>
        <v/>
      </c>
      <c r="X218" s="16"/>
      <c r="Y218" t="str">
        <f t="shared" si="74"/>
        <v/>
      </c>
      <c r="Z218" t="str">
        <f t="shared" si="75"/>
        <v/>
      </c>
      <c r="AA218" t="str">
        <f t="shared" si="76"/>
        <v/>
      </c>
      <c r="AB218" t="str">
        <f>COUNTIFS(AC218:AC$596,AC218)&amp;AC218</f>
        <v>379</v>
      </c>
      <c r="AC218" t="str">
        <f t="shared" si="93"/>
        <v/>
      </c>
      <c r="AD218" t="str">
        <f>COUNTIFS(AC$2:AC218,AC218)&amp;AC218</f>
        <v>217</v>
      </c>
      <c r="AE218" t="str">
        <f t="shared" si="77"/>
        <v/>
      </c>
      <c r="AF218" t="str">
        <f t="shared" si="94"/>
        <v>..</v>
      </c>
      <c r="AG218" s="28" t="str">
        <f t="shared" si="78"/>
        <v/>
      </c>
      <c r="AH218" s="28" t="str">
        <f t="shared" si="79"/>
        <v/>
      </c>
      <c r="AI218" t="str">
        <f t="shared" si="80"/>
        <v/>
      </c>
      <c r="AJ218" t="str">
        <f t="shared" si="81"/>
        <v/>
      </c>
      <c r="AK218" t="str">
        <f t="shared" si="82"/>
        <v/>
      </c>
      <c r="AL218" t="str">
        <f t="shared" si="83"/>
        <v/>
      </c>
      <c r="AM218" t="str">
        <f t="shared" si="84"/>
        <v/>
      </c>
      <c r="AN218" t="str">
        <f t="shared" si="85"/>
        <v/>
      </c>
      <c r="AO218" t="str">
        <f t="shared" si="86"/>
        <v/>
      </c>
      <c r="AP218" t="str">
        <f t="shared" si="87"/>
        <v/>
      </c>
      <c r="AQ218" t="str">
        <f t="shared" si="88"/>
        <v/>
      </c>
      <c r="AR218" t="str">
        <f t="shared" si="89"/>
        <v/>
      </c>
      <c r="AS218" t="str">
        <f t="shared" si="90"/>
        <v/>
      </c>
      <c r="AT218" t="str">
        <f t="shared" si="91"/>
        <v/>
      </c>
      <c r="AU218" s="25" t="str">
        <f t="shared" si="95"/>
        <v/>
      </c>
      <c r="BA218">
        <f>'REGISTER SK'!F221</f>
        <v>0</v>
      </c>
    </row>
    <row r="219" spans="1:53" x14ac:dyDescent="0.35">
      <c r="A219" s="18">
        <v>218</v>
      </c>
      <c r="B219" s="36" t="s">
        <v>379</v>
      </c>
      <c r="C219" s="18" t="str">
        <f>IF(G219="","",IF(G219="Umum",G219,VLOOKUP(F219,'Data Induk Pegawai'!B:AE,4,FALSE)))</f>
        <v/>
      </c>
      <c r="D219" s="19" t="str">
        <f>IF('REGISTER SK'!A222="","",IF('REGISTER SK'!B222=0,D218,'REGISTER SK'!B222))</f>
        <v/>
      </c>
      <c r="E219" s="19" t="str">
        <f t="shared" si="92"/>
        <v/>
      </c>
      <c r="F219" s="29"/>
      <c r="G219" s="29"/>
      <c r="H219" s="31" t="str">
        <f>IF(F219="","",VLOOKUP(F219,'Data Induk Pegawai'!B:U,2,FALSE))</f>
        <v/>
      </c>
      <c r="I219" s="19" t="str">
        <f>IF('REGISTER SK'!C222="","",'REGISTER SK'!C222)</f>
        <v/>
      </c>
      <c r="J219" s="125"/>
      <c r="K219" s="125"/>
      <c r="L219" s="26" t="str">
        <f>IF('REGISTER SK'!D222="","",'REGISTER SK'!D222)</f>
        <v/>
      </c>
      <c r="M219" s="26" t="str">
        <f>IF('REGISTER SK'!E222="","",'REGISTER SK'!E222)</f>
        <v/>
      </c>
      <c r="N219" s="31" t="str">
        <f>IF(G219="","",IF(OR(G219="GTT",G219="PTT"),"--",VLOOKUP(F219,'Data Induk Pegawai'!B:AE,4,FALSE)))</f>
        <v/>
      </c>
      <c r="O219" s="18" t="e">
        <v>#N/A</v>
      </c>
      <c r="P219" s="31" t="str">
        <f>IF(G219="","",VLOOKUP(F219,'Data Induk Pegawai'!B:AE,7,FALSE))</f>
        <v/>
      </c>
      <c r="Q219" s="30"/>
      <c r="R219" s="26" t="str">
        <f>IF(G219="","","Nomor "&amp;RIGHT(VLOOKUP(F219,'Data Induk Pegawai'!B:AE,12,FALSE),2)&amp;" Tahun "&amp;MID(VLOOKUP(F219,'Data Induk Pegawai'!B:AE,12,FALSE),5,4))</f>
        <v/>
      </c>
      <c r="S219" s="26" t="str">
        <f>IF(G219="","",VLOOKUP(F219,'Data Induk Pegawai'!B:AE,11,FALSE))</f>
        <v/>
      </c>
      <c r="T219" s="56"/>
      <c r="U219" s="18" t="str">
        <f t="shared" si="72"/>
        <v/>
      </c>
      <c r="V219" s="30"/>
      <c r="W219" s="18" t="str">
        <f t="shared" si="73"/>
        <v/>
      </c>
      <c r="X219" s="16"/>
      <c r="Y219" t="str">
        <f t="shared" si="74"/>
        <v/>
      </c>
      <c r="Z219" t="str">
        <f t="shared" si="75"/>
        <v/>
      </c>
      <c r="AA219" t="str">
        <f t="shared" si="76"/>
        <v/>
      </c>
      <c r="AB219" t="str">
        <f>COUNTIFS(AC219:AC$596,AC219)&amp;AC219</f>
        <v>378</v>
      </c>
      <c r="AC219" t="str">
        <f t="shared" si="93"/>
        <v/>
      </c>
      <c r="AD219" t="str">
        <f>COUNTIFS(AC$2:AC219,AC219)&amp;AC219</f>
        <v>218</v>
      </c>
      <c r="AE219" t="str">
        <f t="shared" si="77"/>
        <v/>
      </c>
      <c r="AF219" t="str">
        <f t="shared" si="94"/>
        <v>..</v>
      </c>
      <c r="AG219" s="28" t="str">
        <f t="shared" si="78"/>
        <v/>
      </c>
      <c r="AH219" s="28" t="str">
        <f t="shared" si="79"/>
        <v/>
      </c>
      <c r="AI219" t="str">
        <f t="shared" si="80"/>
        <v/>
      </c>
      <c r="AJ219" t="str">
        <f t="shared" si="81"/>
        <v/>
      </c>
      <c r="AK219" t="str">
        <f t="shared" si="82"/>
        <v/>
      </c>
      <c r="AL219" t="str">
        <f t="shared" si="83"/>
        <v/>
      </c>
      <c r="AM219" t="str">
        <f t="shared" si="84"/>
        <v/>
      </c>
      <c r="AN219" t="str">
        <f t="shared" si="85"/>
        <v/>
      </c>
      <c r="AO219" t="str">
        <f t="shared" si="86"/>
        <v/>
      </c>
      <c r="AP219" t="str">
        <f t="shared" si="87"/>
        <v/>
      </c>
      <c r="AQ219" t="str">
        <f t="shared" si="88"/>
        <v/>
      </c>
      <c r="AR219" t="str">
        <f t="shared" si="89"/>
        <v/>
      </c>
      <c r="AS219" t="str">
        <f t="shared" si="90"/>
        <v/>
      </c>
      <c r="AT219" t="str">
        <f t="shared" si="91"/>
        <v/>
      </c>
      <c r="AU219" s="25" t="str">
        <f t="shared" si="95"/>
        <v/>
      </c>
      <c r="BA219">
        <f>'REGISTER SK'!F222</f>
        <v>0</v>
      </c>
    </row>
    <row r="220" spans="1:53" x14ac:dyDescent="0.35">
      <c r="A220" s="18">
        <v>219</v>
      </c>
      <c r="B220" s="36" t="s">
        <v>379</v>
      </c>
      <c r="C220" s="18" t="str">
        <f>IF(G220="","",IF(G220="Umum",G220,VLOOKUP(F220,'Data Induk Pegawai'!B:AE,4,FALSE)))</f>
        <v/>
      </c>
      <c r="D220" s="19" t="str">
        <f>IF('REGISTER SK'!A223="","",IF('REGISTER SK'!B223=0,D219,'REGISTER SK'!B223))</f>
        <v/>
      </c>
      <c r="E220" s="19" t="str">
        <f t="shared" si="92"/>
        <v/>
      </c>
      <c r="F220" s="29"/>
      <c r="G220" s="29"/>
      <c r="H220" s="31" t="str">
        <f>IF(F220="","",VLOOKUP(F220,'Data Induk Pegawai'!B:U,2,FALSE))</f>
        <v/>
      </c>
      <c r="I220" s="19" t="str">
        <f>IF('REGISTER SK'!C223="","",'REGISTER SK'!C223)</f>
        <v/>
      </c>
      <c r="J220" s="125"/>
      <c r="K220" s="125"/>
      <c r="L220" s="26" t="str">
        <f>IF('REGISTER SK'!D223="","",'REGISTER SK'!D223)</f>
        <v/>
      </c>
      <c r="M220" s="26" t="str">
        <f>IF('REGISTER SK'!E223="","",'REGISTER SK'!E223)</f>
        <v/>
      </c>
      <c r="N220" s="31" t="str">
        <f>IF(G220="","",IF(OR(G220="GTT",G220="PTT"),"--",VLOOKUP(F220,'Data Induk Pegawai'!B:AE,4,FALSE)))</f>
        <v/>
      </c>
      <c r="O220" s="18" t="s">
        <v>306</v>
      </c>
      <c r="P220" s="31" t="str">
        <f>IF(G220="","",VLOOKUP(F220,'Data Induk Pegawai'!B:AE,7,FALSE))</f>
        <v/>
      </c>
      <c r="Q220" s="30"/>
      <c r="R220" s="26" t="str">
        <f>IF(G220="","","Nomor "&amp;RIGHT(VLOOKUP(F220,'Data Induk Pegawai'!B:AE,12,FALSE),2)&amp;" Tahun "&amp;MID(VLOOKUP(F220,'Data Induk Pegawai'!B:AE,12,FALSE),5,4))</f>
        <v/>
      </c>
      <c r="S220" s="26" t="str">
        <f>IF(G220="","",VLOOKUP(F220,'Data Induk Pegawai'!B:AE,11,FALSE))</f>
        <v/>
      </c>
      <c r="T220" s="56"/>
      <c r="U220" s="18" t="str">
        <f t="shared" si="72"/>
        <v/>
      </c>
      <c r="V220" s="30"/>
      <c r="W220" s="18" t="str">
        <f t="shared" si="73"/>
        <v/>
      </c>
      <c r="X220" s="16"/>
      <c r="Y220" t="str">
        <f t="shared" si="74"/>
        <v/>
      </c>
      <c r="Z220" t="str">
        <f t="shared" si="75"/>
        <v/>
      </c>
      <c r="AA220" t="str">
        <f t="shared" si="76"/>
        <v/>
      </c>
      <c r="AB220" t="str">
        <f>COUNTIFS(AC220:AC$596,AC220)&amp;AC220</f>
        <v>377</v>
      </c>
      <c r="AC220" t="str">
        <f t="shared" si="93"/>
        <v/>
      </c>
      <c r="AD220" t="str">
        <f>COUNTIFS(AC$2:AC220,AC220)&amp;AC220</f>
        <v>219</v>
      </c>
      <c r="AE220" t="str">
        <f t="shared" si="77"/>
        <v/>
      </c>
      <c r="AF220" t="str">
        <f t="shared" si="94"/>
        <v>..</v>
      </c>
      <c r="AG220" s="28" t="str">
        <f t="shared" si="78"/>
        <v/>
      </c>
      <c r="AH220" s="28" t="str">
        <f t="shared" si="79"/>
        <v/>
      </c>
      <c r="AI220" t="str">
        <f t="shared" si="80"/>
        <v/>
      </c>
      <c r="AJ220" t="str">
        <f t="shared" si="81"/>
        <v/>
      </c>
      <c r="AK220" t="str">
        <f t="shared" si="82"/>
        <v/>
      </c>
      <c r="AL220" t="str">
        <f t="shared" si="83"/>
        <v/>
      </c>
      <c r="AM220" t="str">
        <f t="shared" si="84"/>
        <v/>
      </c>
      <c r="AN220" t="str">
        <f t="shared" si="85"/>
        <v/>
      </c>
      <c r="AO220" t="str">
        <f t="shared" si="86"/>
        <v/>
      </c>
      <c r="AP220" t="str">
        <f t="shared" si="87"/>
        <v/>
      </c>
      <c r="AQ220" t="str">
        <f t="shared" si="88"/>
        <v/>
      </c>
      <c r="AR220" t="str">
        <f t="shared" si="89"/>
        <v/>
      </c>
      <c r="AS220" t="str">
        <f t="shared" si="90"/>
        <v/>
      </c>
      <c r="AT220" t="str">
        <f t="shared" si="91"/>
        <v/>
      </c>
      <c r="AU220" s="25" t="str">
        <f t="shared" si="95"/>
        <v/>
      </c>
      <c r="BA220">
        <f>'REGISTER SK'!F223</f>
        <v>0</v>
      </c>
    </row>
    <row r="221" spans="1:53" x14ac:dyDescent="0.35">
      <c r="A221" s="18">
        <v>220</v>
      </c>
      <c r="B221" s="36" t="s">
        <v>379</v>
      </c>
      <c r="C221" s="18" t="str">
        <f>IF(G221="","",IF(G221="Umum",G221,VLOOKUP(F221,'Data Induk Pegawai'!B:AE,4,FALSE)))</f>
        <v/>
      </c>
      <c r="D221" s="19" t="str">
        <f>IF('REGISTER SK'!A224="","",IF('REGISTER SK'!B224=0,D220,'REGISTER SK'!B224))</f>
        <v/>
      </c>
      <c r="E221" s="19" t="str">
        <f t="shared" si="92"/>
        <v/>
      </c>
      <c r="F221" s="29"/>
      <c r="G221" s="29"/>
      <c r="H221" s="31" t="str">
        <f>IF(F221="","",VLOOKUP(F221,'Data Induk Pegawai'!B:U,2,FALSE))</f>
        <v/>
      </c>
      <c r="I221" s="19" t="str">
        <f>IF('REGISTER SK'!C224="","",'REGISTER SK'!C224)</f>
        <v/>
      </c>
      <c r="J221" s="125"/>
      <c r="K221" s="125"/>
      <c r="L221" s="26" t="str">
        <f>IF('REGISTER SK'!D224="","",'REGISTER SK'!D224)</f>
        <v/>
      </c>
      <c r="M221" s="26" t="str">
        <f>IF('REGISTER SK'!E224="","",'REGISTER SK'!E224)</f>
        <v/>
      </c>
      <c r="N221" s="31" t="str">
        <f>IF(G221="","",IF(OR(G221="GTT",G221="PTT"),"--",VLOOKUP(F221,'Data Induk Pegawai'!B:AE,4,FALSE)))</f>
        <v/>
      </c>
      <c r="O221" s="18" t="s">
        <v>309</v>
      </c>
      <c r="P221" s="31" t="str">
        <f>IF(G221="","",VLOOKUP(F221,'Data Induk Pegawai'!B:AE,7,FALSE))</f>
        <v/>
      </c>
      <c r="Q221" s="30"/>
      <c r="R221" s="26" t="str">
        <f>IF(G221="","","Nomor "&amp;RIGHT(VLOOKUP(F221,'Data Induk Pegawai'!B:AE,12,FALSE),2)&amp;" Tahun "&amp;MID(VLOOKUP(F221,'Data Induk Pegawai'!B:AE,12,FALSE),5,4))</f>
        <v/>
      </c>
      <c r="S221" s="26" t="str">
        <f>IF(G221="","",VLOOKUP(F221,'Data Induk Pegawai'!B:AE,11,FALSE))</f>
        <v/>
      </c>
      <c r="T221" s="56"/>
      <c r="U221" s="18" t="str">
        <f t="shared" si="72"/>
        <v/>
      </c>
      <c r="V221" s="30"/>
      <c r="W221" s="18" t="str">
        <f t="shared" si="73"/>
        <v/>
      </c>
      <c r="X221" s="16"/>
      <c r="Y221" t="str">
        <f t="shared" si="74"/>
        <v/>
      </c>
      <c r="Z221" t="str">
        <f t="shared" si="75"/>
        <v/>
      </c>
      <c r="AA221" t="str">
        <f t="shared" si="76"/>
        <v/>
      </c>
      <c r="AB221" t="str">
        <f>COUNTIFS(AC221:AC$596,AC221)&amp;AC221</f>
        <v>376</v>
      </c>
      <c r="AC221" t="str">
        <f t="shared" si="93"/>
        <v/>
      </c>
      <c r="AD221" t="str">
        <f>COUNTIFS(AC$2:AC221,AC221)&amp;AC221</f>
        <v>220</v>
      </c>
      <c r="AE221" t="str">
        <f t="shared" si="77"/>
        <v/>
      </c>
      <c r="AF221" t="str">
        <f t="shared" si="94"/>
        <v>..</v>
      </c>
      <c r="AG221" s="28" t="str">
        <f t="shared" si="78"/>
        <v/>
      </c>
      <c r="AH221" s="28" t="str">
        <f t="shared" si="79"/>
        <v/>
      </c>
      <c r="AI221" t="str">
        <f t="shared" si="80"/>
        <v/>
      </c>
      <c r="AJ221" t="str">
        <f t="shared" si="81"/>
        <v/>
      </c>
      <c r="AK221" t="str">
        <f t="shared" si="82"/>
        <v/>
      </c>
      <c r="AL221" t="str">
        <f t="shared" si="83"/>
        <v/>
      </c>
      <c r="AM221" t="str">
        <f t="shared" si="84"/>
        <v/>
      </c>
      <c r="AN221" t="str">
        <f t="shared" si="85"/>
        <v/>
      </c>
      <c r="AO221" t="str">
        <f t="shared" si="86"/>
        <v/>
      </c>
      <c r="AP221" t="str">
        <f t="shared" si="87"/>
        <v/>
      </c>
      <c r="AQ221" t="str">
        <f t="shared" si="88"/>
        <v/>
      </c>
      <c r="AR221" t="str">
        <f t="shared" si="89"/>
        <v/>
      </c>
      <c r="AS221" t="str">
        <f t="shared" si="90"/>
        <v/>
      </c>
      <c r="AT221" t="str">
        <f t="shared" si="91"/>
        <v/>
      </c>
      <c r="AU221" s="25" t="str">
        <f t="shared" si="95"/>
        <v/>
      </c>
      <c r="BA221">
        <f>'REGISTER SK'!F224</f>
        <v>0</v>
      </c>
    </row>
    <row r="222" spans="1:53" x14ac:dyDescent="0.35">
      <c r="A222" s="18">
        <v>221</v>
      </c>
      <c r="B222" s="36" t="s">
        <v>379</v>
      </c>
      <c r="C222" s="18" t="str">
        <f>IF(G222="","",IF(G222="Umum",G222,VLOOKUP(F222,'Data Induk Pegawai'!B:AE,4,FALSE)))</f>
        <v/>
      </c>
      <c r="D222" s="19" t="str">
        <f>IF('REGISTER SK'!A225="","",IF('REGISTER SK'!B225=0,D221,'REGISTER SK'!B225))</f>
        <v/>
      </c>
      <c r="E222" s="19" t="str">
        <f t="shared" si="92"/>
        <v/>
      </c>
      <c r="F222" s="29"/>
      <c r="G222" s="29"/>
      <c r="H222" s="31" t="str">
        <f>IF(F222="","",VLOOKUP(F222,'Data Induk Pegawai'!B:U,2,FALSE))</f>
        <v/>
      </c>
      <c r="I222" s="19" t="str">
        <f>IF('REGISTER SK'!C225="","",'REGISTER SK'!C225)</f>
        <v/>
      </c>
      <c r="J222" s="125"/>
      <c r="K222" s="125"/>
      <c r="L222" s="26" t="str">
        <f>IF('REGISTER SK'!D225="","",'REGISTER SK'!D225)</f>
        <v/>
      </c>
      <c r="M222" s="26" t="str">
        <f>IF('REGISTER SK'!E225="","",'REGISTER SK'!E225)</f>
        <v/>
      </c>
      <c r="N222" s="31" t="str">
        <f>IF(G222="","",IF(OR(G222="GTT",G222="PTT"),"--",VLOOKUP(F222,'Data Induk Pegawai'!B:AE,4,FALSE)))</f>
        <v/>
      </c>
      <c r="O222" s="18" t="s">
        <v>317</v>
      </c>
      <c r="P222" s="31" t="str">
        <f>IF(G222="","",VLOOKUP(F222,'Data Induk Pegawai'!B:AE,7,FALSE))</f>
        <v/>
      </c>
      <c r="Q222" s="30"/>
      <c r="R222" s="26" t="str">
        <f>IF(G222="","","Nomor "&amp;RIGHT(VLOOKUP(F222,'Data Induk Pegawai'!B:AE,12,FALSE),2)&amp;" Tahun "&amp;MID(VLOOKUP(F222,'Data Induk Pegawai'!B:AE,12,FALSE),5,4))</f>
        <v/>
      </c>
      <c r="S222" s="26" t="str">
        <f>IF(G222="","",VLOOKUP(F222,'Data Induk Pegawai'!B:AE,11,FALSE))</f>
        <v/>
      </c>
      <c r="T222" s="56"/>
      <c r="U222" s="18" t="str">
        <f t="shared" si="72"/>
        <v/>
      </c>
      <c r="V222" s="30"/>
      <c r="W222" s="18" t="str">
        <f t="shared" si="73"/>
        <v/>
      </c>
      <c r="X222" s="16"/>
      <c r="Y222" t="str">
        <f t="shared" si="74"/>
        <v/>
      </c>
      <c r="Z222" t="str">
        <f t="shared" si="75"/>
        <v/>
      </c>
      <c r="AA222" t="str">
        <f t="shared" si="76"/>
        <v/>
      </c>
      <c r="AB222" t="str">
        <f>COUNTIFS(AC222:AC$596,AC222)&amp;AC222</f>
        <v>375</v>
      </c>
      <c r="AC222" t="str">
        <f t="shared" si="93"/>
        <v/>
      </c>
      <c r="AD222" t="str">
        <f>COUNTIFS(AC$2:AC222,AC222)&amp;AC222</f>
        <v>221</v>
      </c>
      <c r="AE222" t="str">
        <f t="shared" si="77"/>
        <v/>
      </c>
      <c r="AF222" t="str">
        <f t="shared" si="94"/>
        <v>..</v>
      </c>
      <c r="AG222" s="28" t="str">
        <f t="shared" si="78"/>
        <v/>
      </c>
      <c r="AH222" s="28" t="str">
        <f t="shared" si="79"/>
        <v/>
      </c>
      <c r="AI222" t="str">
        <f t="shared" si="80"/>
        <v/>
      </c>
      <c r="AJ222" t="str">
        <f t="shared" si="81"/>
        <v/>
      </c>
      <c r="AK222" t="str">
        <f t="shared" si="82"/>
        <v/>
      </c>
      <c r="AL222" t="str">
        <f t="shared" si="83"/>
        <v/>
      </c>
      <c r="AM222" t="str">
        <f t="shared" si="84"/>
        <v/>
      </c>
      <c r="AN222" t="str">
        <f t="shared" si="85"/>
        <v/>
      </c>
      <c r="AO222" t="str">
        <f t="shared" si="86"/>
        <v/>
      </c>
      <c r="AP222" t="str">
        <f t="shared" si="87"/>
        <v/>
      </c>
      <c r="AQ222" t="str">
        <f t="shared" si="88"/>
        <v/>
      </c>
      <c r="AR222" t="str">
        <f t="shared" si="89"/>
        <v/>
      </c>
      <c r="AS222" t="str">
        <f t="shared" si="90"/>
        <v/>
      </c>
      <c r="AT222" t="str">
        <f t="shared" si="91"/>
        <v/>
      </c>
      <c r="AU222" s="25" t="str">
        <f t="shared" si="95"/>
        <v/>
      </c>
      <c r="BA222">
        <f>'REGISTER SK'!F225</f>
        <v>0</v>
      </c>
    </row>
    <row r="223" spans="1:53" x14ac:dyDescent="0.35">
      <c r="A223" s="18">
        <v>222</v>
      </c>
      <c r="B223" s="36" t="s">
        <v>379</v>
      </c>
      <c r="C223" s="18" t="str">
        <f>IF(G223="","",IF(G223="Umum",G223,VLOOKUP(F223,'Data Induk Pegawai'!B:AE,4,FALSE)))</f>
        <v/>
      </c>
      <c r="D223" s="19" t="str">
        <f>IF('REGISTER SK'!A226="","",IF('REGISTER SK'!B226=0,D222,'REGISTER SK'!B226))</f>
        <v/>
      </c>
      <c r="E223" s="19" t="str">
        <f t="shared" si="92"/>
        <v/>
      </c>
      <c r="F223" s="29"/>
      <c r="G223" s="29"/>
      <c r="H223" s="31" t="str">
        <f>IF(F223="","",VLOOKUP(F223,'Data Induk Pegawai'!B:U,2,FALSE))</f>
        <v/>
      </c>
      <c r="I223" s="19" t="str">
        <f>IF('REGISTER SK'!C226="","",'REGISTER SK'!C226)</f>
        <v/>
      </c>
      <c r="J223" s="125"/>
      <c r="K223" s="125"/>
      <c r="L223" s="26" t="str">
        <f>IF('REGISTER SK'!D226="","",'REGISTER SK'!D226)</f>
        <v/>
      </c>
      <c r="M223" s="26" t="str">
        <f>IF('REGISTER SK'!E226="","",'REGISTER SK'!E226)</f>
        <v/>
      </c>
      <c r="N223" s="31" t="str">
        <f>IF(G223="","",IF(OR(G223="GTT",G223="PTT"),"--",VLOOKUP(F223,'Data Induk Pegawai'!B:AE,4,FALSE)))</f>
        <v/>
      </c>
      <c r="O223" s="18" t="s">
        <v>312</v>
      </c>
      <c r="P223" s="31" t="str">
        <f>IF(G223="","",VLOOKUP(F223,'Data Induk Pegawai'!B:AE,7,FALSE))</f>
        <v/>
      </c>
      <c r="Q223" s="30"/>
      <c r="R223" s="26" t="str">
        <f>IF(G223="","","Nomor "&amp;RIGHT(VLOOKUP(F223,'Data Induk Pegawai'!B:AE,12,FALSE),2)&amp;" Tahun "&amp;MID(VLOOKUP(F223,'Data Induk Pegawai'!B:AE,12,FALSE),5,4))</f>
        <v/>
      </c>
      <c r="S223" s="26" t="str">
        <f>IF(G223="","",VLOOKUP(F223,'Data Induk Pegawai'!B:AE,11,FALSE))</f>
        <v/>
      </c>
      <c r="T223" s="56"/>
      <c r="U223" s="18" t="str">
        <f t="shared" si="72"/>
        <v/>
      </c>
      <c r="V223" s="30"/>
      <c r="W223" s="18" t="str">
        <f t="shared" si="73"/>
        <v/>
      </c>
      <c r="X223" s="16"/>
      <c r="Y223" t="str">
        <f t="shared" si="74"/>
        <v/>
      </c>
      <c r="Z223" t="str">
        <f t="shared" si="75"/>
        <v/>
      </c>
      <c r="AA223" t="str">
        <f t="shared" si="76"/>
        <v/>
      </c>
      <c r="AB223" t="str">
        <f>COUNTIFS(AC223:AC$596,AC223)&amp;AC223</f>
        <v>374</v>
      </c>
      <c r="AC223" t="str">
        <f t="shared" si="93"/>
        <v/>
      </c>
      <c r="AD223" t="str">
        <f>COUNTIFS(AC$2:AC223,AC223)&amp;AC223</f>
        <v>222</v>
      </c>
      <c r="AE223" t="str">
        <f t="shared" si="77"/>
        <v/>
      </c>
      <c r="AF223" t="str">
        <f t="shared" si="94"/>
        <v>..</v>
      </c>
      <c r="AG223" s="28" t="str">
        <f t="shared" si="78"/>
        <v/>
      </c>
      <c r="AH223" s="28" t="str">
        <f t="shared" si="79"/>
        <v/>
      </c>
      <c r="AI223" t="str">
        <f t="shared" si="80"/>
        <v/>
      </c>
      <c r="AJ223" t="str">
        <f t="shared" si="81"/>
        <v/>
      </c>
      <c r="AK223" t="str">
        <f t="shared" si="82"/>
        <v/>
      </c>
      <c r="AL223" t="str">
        <f t="shared" si="83"/>
        <v/>
      </c>
      <c r="AM223" t="str">
        <f t="shared" si="84"/>
        <v/>
      </c>
      <c r="AN223" t="str">
        <f t="shared" si="85"/>
        <v/>
      </c>
      <c r="AO223" t="str">
        <f t="shared" si="86"/>
        <v/>
      </c>
      <c r="AP223" t="str">
        <f t="shared" si="87"/>
        <v/>
      </c>
      <c r="AQ223" t="str">
        <f t="shared" si="88"/>
        <v/>
      </c>
      <c r="AR223" t="str">
        <f t="shared" si="89"/>
        <v/>
      </c>
      <c r="AS223" t="str">
        <f t="shared" si="90"/>
        <v/>
      </c>
      <c r="AT223" t="str">
        <f t="shared" si="91"/>
        <v/>
      </c>
      <c r="AU223" s="25" t="str">
        <f t="shared" si="95"/>
        <v/>
      </c>
      <c r="BA223">
        <f>'REGISTER SK'!F226</f>
        <v>0</v>
      </c>
    </row>
    <row r="224" spans="1:53" x14ac:dyDescent="0.35">
      <c r="A224" s="18">
        <v>223</v>
      </c>
      <c r="B224" s="36" t="s">
        <v>379</v>
      </c>
      <c r="C224" s="18" t="str">
        <f>IF(G224="","",IF(G224="Umum",G224,VLOOKUP(F224,'Data Induk Pegawai'!B:AE,4,FALSE)))</f>
        <v/>
      </c>
      <c r="D224" s="19" t="str">
        <f>IF('REGISTER SK'!A227="","",IF('REGISTER SK'!B227=0,D223,'REGISTER SK'!B227))</f>
        <v/>
      </c>
      <c r="E224" s="19" t="str">
        <f t="shared" si="92"/>
        <v/>
      </c>
      <c r="F224" s="29"/>
      <c r="G224" s="29"/>
      <c r="H224" s="31" t="str">
        <f>IF(F224="","",VLOOKUP(F224,'Data Induk Pegawai'!B:U,2,FALSE))</f>
        <v/>
      </c>
      <c r="I224" s="19" t="str">
        <f>IF('REGISTER SK'!C227="","",'REGISTER SK'!C227)</f>
        <v/>
      </c>
      <c r="J224" s="125"/>
      <c r="K224" s="125"/>
      <c r="L224" s="26" t="str">
        <f>IF('REGISTER SK'!D227="","",'REGISTER SK'!D227)</f>
        <v/>
      </c>
      <c r="M224" s="26" t="str">
        <f>IF('REGISTER SK'!E227="","",'REGISTER SK'!E227)</f>
        <v/>
      </c>
      <c r="N224" s="31" t="str">
        <f>IF(G224="","",IF(OR(G224="GTT",G224="PTT"),"--",VLOOKUP(F224,'Data Induk Pegawai'!B:AE,4,FALSE)))</f>
        <v/>
      </c>
      <c r="O224" s="18" t="s">
        <v>311</v>
      </c>
      <c r="P224" s="31" t="str">
        <f>IF(G224="","",VLOOKUP(F224,'Data Induk Pegawai'!B:AE,7,FALSE))</f>
        <v/>
      </c>
      <c r="Q224" s="30"/>
      <c r="R224" s="26" t="str">
        <f>IF(G224="","","Nomor "&amp;RIGHT(VLOOKUP(F224,'Data Induk Pegawai'!B:AE,12,FALSE),2)&amp;" Tahun "&amp;MID(VLOOKUP(F224,'Data Induk Pegawai'!B:AE,12,FALSE),5,4))</f>
        <v/>
      </c>
      <c r="S224" s="26" t="str">
        <f>IF(G224="","",VLOOKUP(F224,'Data Induk Pegawai'!B:AE,11,FALSE))</f>
        <v/>
      </c>
      <c r="T224" s="56"/>
      <c r="U224" s="18" t="str">
        <f t="shared" si="72"/>
        <v/>
      </c>
      <c r="V224" s="30"/>
      <c r="W224" s="18" t="str">
        <f t="shared" si="73"/>
        <v/>
      </c>
      <c r="X224" s="16"/>
      <c r="Y224" t="str">
        <f t="shared" si="74"/>
        <v/>
      </c>
      <c r="Z224" t="str">
        <f t="shared" si="75"/>
        <v/>
      </c>
      <c r="AA224" t="str">
        <f t="shared" si="76"/>
        <v/>
      </c>
      <c r="AB224" t="str">
        <f>COUNTIFS(AC224:AC$596,AC224)&amp;AC224</f>
        <v>373</v>
      </c>
      <c r="AC224" t="str">
        <f t="shared" si="93"/>
        <v/>
      </c>
      <c r="AD224" t="str">
        <f>COUNTIFS(AC$2:AC224,AC224)&amp;AC224</f>
        <v>223</v>
      </c>
      <c r="AE224" t="str">
        <f t="shared" si="77"/>
        <v/>
      </c>
      <c r="AF224" t="str">
        <f t="shared" si="94"/>
        <v>..</v>
      </c>
      <c r="AG224" s="28" t="str">
        <f t="shared" si="78"/>
        <v/>
      </c>
      <c r="AH224" s="28" t="str">
        <f t="shared" si="79"/>
        <v/>
      </c>
      <c r="AI224" t="str">
        <f t="shared" si="80"/>
        <v/>
      </c>
      <c r="AJ224" t="str">
        <f t="shared" si="81"/>
        <v/>
      </c>
      <c r="AK224" t="str">
        <f t="shared" si="82"/>
        <v/>
      </c>
      <c r="AL224" t="str">
        <f t="shared" si="83"/>
        <v/>
      </c>
      <c r="AM224" t="str">
        <f t="shared" si="84"/>
        <v/>
      </c>
      <c r="AN224" t="str">
        <f t="shared" si="85"/>
        <v/>
      </c>
      <c r="AO224" t="str">
        <f t="shared" si="86"/>
        <v/>
      </c>
      <c r="AP224" t="str">
        <f t="shared" si="87"/>
        <v/>
      </c>
      <c r="AQ224" t="str">
        <f t="shared" si="88"/>
        <v/>
      </c>
      <c r="AR224" t="str">
        <f t="shared" si="89"/>
        <v/>
      </c>
      <c r="AS224" t="str">
        <f t="shared" si="90"/>
        <v/>
      </c>
      <c r="AT224" t="str">
        <f t="shared" si="91"/>
        <v/>
      </c>
      <c r="AU224" s="25" t="str">
        <f t="shared" si="95"/>
        <v/>
      </c>
      <c r="BA224">
        <f>'REGISTER SK'!F227</f>
        <v>0</v>
      </c>
    </row>
    <row r="225" spans="1:53" x14ac:dyDescent="0.35">
      <c r="A225" s="18">
        <v>224</v>
      </c>
      <c r="B225" s="36" t="s">
        <v>379</v>
      </c>
      <c r="C225" s="18" t="str">
        <f>IF(G225="","",IF(G225="Umum",G225,VLOOKUP(F225,'Data Induk Pegawai'!B:AE,4,FALSE)))</f>
        <v/>
      </c>
      <c r="D225" s="19" t="str">
        <f>IF('REGISTER SK'!A228="","",IF('REGISTER SK'!B228=0,D224,'REGISTER SK'!B228))</f>
        <v/>
      </c>
      <c r="E225" s="19" t="str">
        <f t="shared" si="92"/>
        <v/>
      </c>
      <c r="F225" s="29"/>
      <c r="G225" s="29"/>
      <c r="H225" s="31" t="str">
        <f>IF(F225="","",VLOOKUP(F225,'Data Induk Pegawai'!B:U,2,FALSE))</f>
        <v/>
      </c>
      <c r="I225" s="19" t="str">
        <f>IF('REGISTER SK'!C228="","",'REGISTER SK'!C228)</f>
        <v/>
      </c>
      <c r="J225" s="125"/>
      <c r="K225" s="125"/>
      <c r="L225" s="26" t="str">
        <f>IF('REGISTER SK'!D228="","",'REGISTER SK'!D228)</f>
        <v/>
      </c>
      <c r="M225" s="26" t="str">
        <f>IF('REGISTER SK'!E228="","",'REGISTER SK'!E228)</f>
        <v/>
      </c>
      <c r="N225" s="31" t="str">
        <f>IF(G225="","",IF(OR(G225="GTT",G225="PTT"),"--",VLOOKUP(F225,'Data Induk Pegawai'!B:AE,4,FALSE)))</f>
        <v/>
      </c>
      <c r="O225" s="18" t="s">
        <v>313</v>
      </c>
      <c r="P225" s="31" t="str">
        <f>IF(G225="","",VLOOKUP(F225,'Data Induk Pegawai'!B:AE,7,FALSE))</f>
        <v/>
      </c>
      <c r="Q225" s="30"/>
      <c r="R225" s="26" t="str">
        <f>IF(G225="","","Nomor "&amp;RIGHT(VLOOKUP(F225,'Data Induk Pegawai'!B:AE,12,FALSE),2)&amp;" Tahun "&amp;MID(VLOOKUP(F225,'Data Induk Pegawai'!B:AE,12,FALSE),5,4))</f>
        <v/>
      </c>
      <c r="S225" s="26" t="str">
        <f>IF(G225="","",VLOOKUP(F225,'Data Induk Pegawai'!B:AE,11,FALSE))</f>
        <v/>
      </c>
      <c r="T225" s="56"/>
      <c r="U225" s="18" t="str">
        <f t="shared" si="72"/>
        <v/>
      </c>
      <c r="V225" s="30"/>
      <c r="W225" s="18" t="str">
        <f t="shared" si="73"/>
        <v/>
      </c>
      <c r="X225" s="16"/>
      <c r="Y225" t="str">
        <f t="shared" si="74"/>
        <v/>
      </c>
      <c r="Z225" t="str">
        <f t="shared" si="75"/>
        <v/>
      </c>
      <c r="AA225" t="str">
        <f t="shared" si="76"/>
        <v/>
      </c>
      <c r="AB225" t="str">
        <f>COUNTIFS(AC225:AC$596,AC225)&amp;AC225</f>
        <v>372</v>
      </c>
      <c r="AC225" t="str">
        <f t="shared" si="93"/>
        <v/>
      </c>
      <c r="AD225" t="str">
        <f>COUNTIFS(AC$2:AC225,AC225)&amp;AC225</f>
        <v>224</v>
      </c>
      <c r="AE225" t="str">
        <f t="shared" si="77"/>
        <v/>
      </c>
      <c r="AF225" t="str">
        <f t="shared" si="94"/>
        <v>..</v>
      </c>
      <c r="AG225" s="28" t="str">
        <f t="shared" si="78"/>
        <v/>
      </c>
      <c r="AH225" s="28" t="str">
        <f t="shared" si="79"/>
        <v/>
      </c>
      <c r="AI225" t="str">
        <f t="shared" si="80"/>
        <v/>
      </c>
      <c r="AJ225" t="str">
        <f t="shared" si="81"/>
        <v/>
      </c>
      <c r="AK225" t="str">
        <f t="shared" si="82"/>
        <v/>
      </c>
      <c r="AL225" t="str">
        <f t="shared" si="83"/>
        <v/>
      </c>
      <c r="AM225" t="str">
        <f t="shared" si="84"/>
        <v/>
      </c>
      <c r="AN225" t="str">
        <f t="shared" si="85"/>
        <v/>
      </c>
      <c r="AO225" t="str">
        <f t="shared" si="86"/>
        <v/>
      </c>
      <c r="AP225" t="str">
        <f t="shared" si="87"/>
        <v/>
      </c>
      <c r="AQ225" t="str">
        <f t="shared" si="88"/>
        <v/>
      </c>
      <c r="AR225" t="str">
        <f t="shared" si="89"/>
        <v/>
      </c>
      <c r="AS225" t="str">
        <f t="shared" si="90"/>
        <v/>
      </c>
      <c r="AT225" t="str">
        <f t="shared" si="91"/>
        <v/>
      </c>
      <c r="AU225" s="25" t="str">
        <f t="shared" si="95"/>
        <v/>
      </c>
      <c r="BA225">
        <f>'REGISTER SK'!F228</f>
        <v>0</v>
      </c>
    </row>
    <row r="226" spans="1:53" x14ac:dyDescent="0.35">
      <c r="A226" s="18">
        <v>225</v>
      </c>
      <c r="B226" s="36" t="s">
        <v>379</v>
      </c>
      <c r="C226" s="18" t="str">
        <f>IF(G226="","",IF(G226="Umum",G226,VLOOKUP(F226,'Data Induk Pegawai'!B:AE,4,FALSE)))</f>
        <v/>
      </c>
      <c r="D226" s="19" t="str">
        <f>IF('REGISTER SK'!A229="","",IF('REGISTER SK'!B229=0,D225,'REGISTER SK'!B229))</f>
        <v/>
      </c>
      <c r="E226" s="19" t="str">
        <f t="shared" si="92"/>
        <v/>
      </c>
      <c r="F226" s="29"/>
      <c r="G226" s="29"/>
      <c r="H226" s="31" t="str">
        <f>IF(F226="","",VLOOKUP(F226,'Data Induk Pegawai'!B:U,2,FALSE))</f>
        <v/>
      </c>
      <c r="I226" s="19" t="str">
        <f>IF('REGISTER SK'!C229="","",'REGISTER SK'!C229)</f>
        <v/>
      </c>
      <c r="J226" s="125"/>
      <c r="K226" s="125"/>
      <c r="L226" s="26" t="str">
        <f>IF('REGISTER SK'!D229="","",'REGISTER SK'!D229)</f>
        <v/>
      </c>
      <c r="M226" s="26" t="str">
        <f>IF('REGISTER SK'!E229="","",'REGISTER SK'!E229)</f>
        <v/>
      </c>
      <c r="N226" s="31" t="str">
        <f>IF(G226="","",IF(OR(G226="GTT",G226="PTT"),"--",VLOOKUP(F226,'Data Induk Pegawai'!B:AE,4,FALSE)))</f>
        <v/>
      </c>
      <c r="O226" s="18" t="s">
        <v>299</v>
      </c>
      <c r="P226" s="31" t="str">
        <f>IF(G226="","",VLOOKUP(F226,'Data Induk Pegawai'!B:AE,7,FALSE))</f>
        <v/>
      </c>
      <c r="Q226" s="30"/>
      <c r="R226" s="26" t="str">
        <f>IF(G226="","","Nomor "&amp;RIGHT(VLOOKUP(F226,'Data Induk Pegawai'!B:AE,12,FALSE),2)&amp;" Tahun "&amp;MID(VLOOKUP(F226,'Data Induk Pegawai'!B:AE,12,FALSE),5,4))</f>
        <v/>
      </c>
      <c r="S226" s="26" t="str">
        <f>IF(G226="","",VLOOKUP(F226,'Data Induk Pegawai'!B:AE,11,FALSE))</f>
        <v/>
      </c>
      <c r="T226" s="56"/>
      <c r="U226" s="18" t="str">
        <f t="shared" si="72"/>
        <v/>
      </c>
      <c r="V226" s="30"/>
      <c r="W226" s="18" t="str">
        <f t="shared" si="73"/>
        <v/>
      </c>
      <c r="X226" s="16"/>
      <c r="Y226" t="str">
        <f t="shared" si="74"/>
        <v/>
      </c>
      <c r="Z226" t="str">
        <f t="shared" si="75"/>
        <v/>
      </c>
      <c r="AA226" t="str">
        <f t="shared" si="76"/>
        <v/>
      </c>
      <c r="AB226" t="str">
        <f>COUNTIFS(AC226:AC$596,AC226)&amp;AC226</f>
        <v>371</v>
      </c>
      <c r="AC226" t="str">
        <f t="shared" si="93"/>
        <v/>
      </c>
      <c r="AD226" t="str">
        <f>COUNTIFS(AC$2:AC226,AC226)&amp;AC226</f>
        <v>225</v>
      </c>
      <c r="AE226" t="str">
        <f t="shared" si="77"/>
        <v/>
      </c>
      <c r="AF226" t="str">
        <f t="shared" si="94"/>
        <v>..</v>
      </c>
      <c r="AG226" s="28" t="str">
        <f t="shared" si="78"/>
        <v/>
      </c>
      <c r="AH226" s="28" t="str">
        <f t="shared" si="79"/>
        <v/>
      </c>
      <c r="AI226" t="str">
        <f t="shared" si="80"/>
        <v/>
      </c>
      <c r="AJ226" t="str">
        <f t="shared" si="81"/>
        <v/>
      </c>
      <c r="AK226" t="str">
        <f t="shared" si="82"/>
        <v/>
      </c>
      <c r="AL226" t="str">
        <f t="shared" si="83"/>
        <v/>
      </c>
      <c r="AM226" t="str">
        <f t="shared" si="84"/>
        <v/>
      </c>
      <c r="AN226" t="str">
        <f t="shared" si="85"/>
        <v/>
      </c>
      <c r="AO226" t="str">
        <f t="shared" si="86"/>
        <v/>
      </c>
      <c r="AP226" t="str">
        <f t="shared" si="87"/>
        <v/>
      </c>
      <c r="AQ226" t="str">
        <f t="shared" si="88"/>
        <v/>
      </c>
      <c r="AR226" t="str">
        <f t="shared" si="89"/>
        <v/>
      </c>
      <c r="AS226" t="str">
        <f t="shared" si="90"/>
        <v/>
      </c>
      <c r="AT226" t="str">
        <f t="shared" si="91"/>
        <v/>
      </c>
      <c r="AU226" s="25" t="str">
        <f t="shared" si="95"/>
        <v/>
      </c>
      <c r="BA226">
        <f>'REGISTER SK'!F229</f>
        <v>0</v>
      </c>
    </row>
    <row r="227" spans="1:53" x14ac:dyDescent="0.35">
      <c r="A227" s="18">
        <v>226</v>
      </c>
      <c r="B227" s="36" t="s">
        <v>379</v>
      </c>
      <c r="C227" s="18" t="str">
        <f>IF(G227="","",IF(G227="Umum",G227,VLOOKUP(F227,'Data Induk Pegawai'!B:AE,4,FALSE)))</f>
        <v/>
      </c>
      <c r="D227" s="19" t="str">
        <f>IF('REGISTER SK'!A230="","",IF('REGISTER SK'!B230=0,D226,'REGISTER SK'!B230))</f>
        <v/>
      </c>
      <c r="E227" s="19" t="str">
        <f t="shared" si="92"/>
        <v/>
      </c>
      <c r="F227" s="29"/>
      <c r="G227" s="29"/>
      <c r="H227" s="31" t="str">
        <f>IF(F227="","",VLOOKUP(F227,'Data Induk Pegawai'!B:U,2,FALSE))</f>
        <v/>
      </c>
      <c r="I227" s="19" t="str">
        <f>IF('REGISTER SK'!C230="","",'REGISTER SK'!C230)</f>
        <v/>
      </c>
      <c r="J227" s="125"/>
      <c r="K227" s="125"/>
      <c r="L227" s="26" t="str">
        <f>IF('REGISTER SK'!D230="","",'REGISTER SK'!D230)</f>
        <v/>
      </c>
      <c r="M227" s="26" t="str">
        <f>IF('REGISTER SK'!E230="","",'REGISTER SK'!E230)</f>
        <v/>
      </c>
      <c r="N227" s="31" t="str">
        <f>IF(G227="","",IF(OR(G227="GTT",G227="PTT"),"--",VLOOKUP(F227,'Data Induk Pegawai'!B:AE,4,FALSE)))</f>
        <v/>
      </c>
      <c r="O227" s="18" t="s">
        <v>287</v>
      </c>
      <c r="P227" s="31" t="str">
        <f>IF(G227="","",VLOOKUP(F227,'Data Induk Pegawai'!B:AE,7,FALSE))</f>
        <v/>
      </c>
      <c r="Q227" s="30"/>
      <c r="R227" s="26" t="str">
        <f>IF(G227="","","Nomor "&amp;RIGHT(VLOOKUP(F227,'Data Induk Pegawai'!B:AE,12,FALSE),2)&amp;" Tahun "&amp;MID(VLOOKUP(F227,'Data Induk Pegawai'!B:AE,12,FALSE),5,4))</f>
        <v/>
      </c>
      <c r="S227" s="26" t="str">
        <f>IF(G227="","",VLOOKUP(F227,'Data Induk Pegawai'!B:AE,11,FALSE))</f>
        <v/>
      </c>
      <c r="T227" s="56"/>
      <c r="U227" s="18" t="str">
        <f t="shared" si="72"/>
        <v/>
      </c>
      <c r="V227" s="30"/>
      <c r="W227" s="18" t="str">
        <f t="shared" si="73"/>
        <v/>
      </c>
      <c r="X227" s="16"/>
      <c r="Y227" t="str">
        <f t="shared" si="74"/>
        <v/>
      </c>
      <c r="Z227" t="str">
        <f t="shared" si="75"/>
        <v/>
      </c>
      <c r="AA227" t="str">
        <f t="shared" si="76"/>
        <v/>
      </c>
      <c r="AB227" t="str">
        <f>COUNTIFS(AC227:AC$596,AC227)&amp;AC227</f>
        <v>370</v>
      </c>
      <c r="AC227" t="str">
        <f t="shared" si="93"/>
        <v/>
      </c>
      <c r="AD227" t="str">
        <f>COUNTIFS(AC$2:AC227,AC227)&amp;AC227</f>
        <v>226</v>
      </c>
      <c r="AE227" t="str">
        <f t="shared" si="77"/>
        <v/>
      </c>
      <c r="AF227" t="str">
        <f t="shared" si="94"/>
        <v>..</v>
      </c>
      <c r="AG227" s="28" t="str">
        <f t="shared" si="78"/>
        <v/>
      </c>
      <c r="AH227" s="28" t="str">
        <f t="shared" si="79"/>
        <v/>
      </c>
      <c r="AI227" t="str">
        <f t="shared" si="80"/>
        <v/>
      </c>
      <c r="AJ227" t="str">
        <f t="shared" si="81"/>
        <v/>
      </c>
      <c r="AK227" t="str">
        <f t="shared" si="82"/>
        <v/>
      </c>
      <c r="AL227" t="str">
        <f t="shared" si="83"/>
        <v/>
      </c>
      <c r="AM227" t="str">
        <f t="shared" si="84"/>
        <v/>
      </c>
      <c r="AN227" t="str">
        <f t="shared" si="85"/>
        <v/>
      </c>
      <c r="AO227" t="str">
        <f t="shared" si="86"/>
        <v/>
      </c>
      <c r="AP227" t="str">
        <f t="shared" si="87"/>
        <v/>
      </c>
      <c r="AQ227" t="str">
        <f t="shared" si="88"/>
        <v/>
      </c>
      <c r="AR227" t="str">
        <f t="shared" si="89"/>
        <v/>
      </c>
      <c r="AS227" t="str">
        <f t="shared" si="90"/>
        <v/>
      </c>
      <c r="AT227" t="str">
        <f t="shared" si="91"/>
        <v/>
      </c>
      <c r="AU227" s="25" t="str">
        <f t="shared" si="95"/>
        <v/>
      </c>
      <c r="BA227">
        <f>'REGISTER SK'!F230</f>
        <v>0</v>
      </c>
    </row>
    <row r="228" spans="1:53" x14ac:dyDescent="0.35">
      <c r="A228" s="18">
        <v>227</v>
      </c>
      <c r="B228" s="36" t="s">
        <v>379</v>
      </c>
      <c r="C228" s="18" t="str">
        <f>IF(G228="","",IF(G228="Umum",G228,VLOOKUP(F228,'Data Induk Pegawai'!B:AE,4,FALSE)))</f>
        <v/>
      </c>
      <c r="D228" s="19" t="str">
        <f>IF('REGISTER SK'!A231="","",IF('REGISTER SK'!B231=0,D227,'REGISTER SK'!B231))</f>
        <v/>
      </c>
      <c r="E228" s="19" t="str">
        <f t="shared" si="92"/>
        <v/>
      </c>
      <c r="F228" s="29"/>
      <c r="G228" s="29"/>
      <c r="H228" s="31" t="str">
        <f>IF(F228="","",VLOOKUP(F228,'Data Induk Pegawai'!B:U,2,FALSE))</f>
        <v/>
      </c>
      <c r="I228" s="19" t="str">
        <f>IF('REGISTER SK'!C231="","",'REGISTER SK'!C231)</f>
        <v/>
      </c>
      <c r="J228" s="125"/>
      <c r="K228" s="125"/>
      <c r="L228" s="26" t="str">
        <f>IF('REGISTER SK'!D231="","",'REGISTER SK'!D231)</f>
        <v/>
      </c>
      <c r="M228" s="26" t="str">
        <f>IF('REGISTER SK'!E231="","",'REGISTER SK'!E231)</f>
        <v/>
      </c>
      <c r="N228" s="31" t="str">
        <f>IF(G228="","",IF(OR(G228="GTT",G228="PTT"),"--",VLOOKUP(F228,'Data Induk Pegawai'!B:AE,4,FALSE)))</f>
        <v/>
      </c>
      <c r="O228" s="18" t="s">
        <v>426</v>
      </c>
      <c r="P228" s="31" t="str">
        <f>IF(G228="","",VLOOKUP(F228,'Data Induk Pegawai'!B:AE,7,FALSE))</f>
        <v/>
      </c>
      <c r="Q228" s="30"/>
      <c r="R228" s="26" t="str">
        <f>IF(G228="","","Nomor "&amp;RIGHT(VLOOKUP(F228,'Data Induk Pegawai'!B:AE,12,FALSE),2)&amp;" Tahun "&amp;MID(VLOOKUP(F228,'Data Induk Pegawai'!B:AE,12,FALSE),5,4))</f>
        <v/>
      </c>
      <c r="S228" s="26" t="str">
        <f>IF(G228="","",VLOOKUP(F228,'Data Induk Pegawai'!B:AE,11,FALSE))</f>
        <v/>
      </c>
      <c r="T228" s="56"/>
      <c r="U228" s="18" t="str">
        <f t="shared" si="72"/>
        <v/>
      </c>
      <c r="V228" s="30"/>
      <c r="W228" s="18" t="str">
        <f t="shared" si="73"/>
        <v/>
      </c>
      <c r="X228" s="16"/>
      <c r="Y228" t="str">
        <f t="shared" si="74"/>
        <v/>
      </c>
      <c r="Z228" t="str">
        <f t="shared" si="75"/>
        <v/>
      </c>
      <c r="AA228" t="str">
        <f t="shared" si="76"/>
        <v/>
      </c>
      <c r="AB228" t="str">
        <f>COUNTIFS(AC228:AC$596,AC228)&amp;AC228</f>
        <v>369</v>
      </c>
      <c r="AC228" t="str">
        <f t="shared" si="93"/>
        <v/>
      </c>
      <c r="AD228" t="str">
        <f>COUNTIFS(AC$2:AC228,AC228)&amp;AC228</f>
        <v>227</v>
      </c>
      <c r="AE228" t="str">
        <f t="shared" si="77"/>
        <v/>
      </c>
      <c r="AF228" t="str">
        <f t="shared" si="94"/>
        <v>..</v>
      </c>
      <c r="AG228" s="28" t="str">
        <f t="shared" si="78"/>
        <v/>
      </c>
      <c r="AH228" s="28" t="str">
        <f t="shared" si="79"/>
        <v/>
      </c>
      <c r="AI228" t="str">
        <f t="shared" si="80"/>
        <v/>
      </c>
      <c r="AJ228" t="str">
        <f t="shared" si="81"/>
        <v/>
      </c>
      <c r="AK228" t="str">
        <f t="shared" si="82"/>
        <v/>
      </c>
      <c r="AL228" t="str">
        <f t="shared" si="83"/>
        <v/>
      </c>
      <c r="AM228" t="str">
        <f t="shared" si="84"/>
        <v/>
      </c>
      <c r="AN228" t="str">
        <f t="shared" si="85"/>
        <v/>
      </c>
      <c r="AO228" t="str">
        <f t="shared" si="86"/>
        <v/>
      </c>
      <c r="AP228" t="str">
        <f t="shared" si="87"/>
        <v/>
      </c>
      <c r="AQ228" t="str">
        <f t="shared" si="88"/>
        <v/>
      </c>
      <c r="AR228" t="str">
        <f t="shared" si="89"/>
        <v/>
      </c>
      <c r="AS228" t="str">
        <f t="shared" si="90"/>
        <v/>
      </c>
      <c r="AT228" t="str">
        <f t="shared" si="91"/>
        <v/>
      </c>
      <c r="AU228" s="25" t="str">
        <f t="shared" si="95"/>
        <v/>
      </c>
      <c r="BA228">
        <f>'REGISTER SK'!F231</f>
        <v>0</v>
      </c>
    </row>
    <row r="229" spans="1:53" x14ac:dyDescent="0.35">
      <c r="A229" s="18">
        <v>228</v>
      </c>
      <c r="B229" s="36"/>
      <c r="C229" s="18" t="str">
        <f>IF(G229="","",IF(G229="Umum",G229,VLOOKUP(F229,'Data Induk Pegawai'!B:AE,4,FALSE)))</f>
        <v/>
      </c>
      <c r="D229" s="19" t="str">
        <f>IF('REGISTER SK'!A232="","",IF('REGISTER SK'!B232=0,D228,'REGISTER SK'!B232))</f>
        <v/>
      </c>
      <c r="E229" s="19" t="str">
        <f t="shared" si="92"/>
        <v/>
      </c>
      <c r="F229" s="29"/>
      <c r="G229" s="29"/>
      <c r="H229" s="31" t="str">
        <f>IF(F229="","",VLOOKUP(F229,'Data Induk Pegawai'!B:U,2,FALSE))</f>
        <v/>
      </c>
      <c r="I229" s="19" t="str">
        <f>IF('REGISTER SK'!C232="","",'REGISTER SK'!C232)</f>
        <v/>
      </c>
      <c r="J229" s="125"/>
      <c r="K229" s="125"/>
      <c r="L229" s="26" t="str">
        <f>IF('REGISTER SK'!D232="","",'REGISTER SK'!D232)</f>
        <v/>
      </c>
      <c r="M229" s="26" t="str">
        <f>IF('REGISTER SK'!E232="","",'REGISTER SK'!E232)</f>
        <v/>
      </c>
      <c r="N229" s="31" t="str">
        <f>IF(G229="","",IF(OR(G229="GTT",G229="PTT"),"--",VLOOKUP(F229,'Data Induk Pegawai'!B:AE,4,FALSE)))</f>
        <v/>
      </c>
      <c r="O229" s="18" t="s">
        <v>378</v>
      </c>
      <c r="P229" s="31" t="str">
        <f>IF(G229="","",VLOOKUP(F229,'Data Induk Pegawai'!B:AE,7,FALSE))</f>
        <v/>
      </c>
      <c r="Q229" s="30"/>
      <c r="R229" s="26" t="str">
        <f>IF(G229="","","Nomor "&amp;RIGHT(VLOOKUP(F229,'Data Induk Pegawai'!B:AE,12,FALSE),2)&amp;" Tahun "&amp;MID(VLOOKUP(F229,'Data Induk Pegawai'!B:AE,12,FALSE),5,4))</f>
        <v/>
      </c>
      <c r="S229" s="26" t="str">
        <f>IF(G229="","",VLOOKUP(F229,'Data Induk Pegawai'!B:AE,11,FALSE))</f>
        <v/>
      </c>
      <c r="T229" s="56"/>
      <c r="U229" s="18" t="str">
        <f t="shared" si="72"/>
        <v/>
      </c>
      <c r="V229" s="30"/>
      <c r="W229" s="18" t="str">
        <f t="shared" si="73"/>
        <v/>
      </c>
      <c r="X229" s="16"/>
      <c r="Y229" t="str">
        <f t="shared" si="74"/>
        <v/>
      </c>
      <c r="Z229" t="str">
        <f t="shared" si="75"/>
        <v/>
      </c>
      <c r="AA229" t="str">
        <f t="shared" si="76"/>
        <v/>
      </c>
      <c r="AB229" t="str">
        <f>COUNTIFS(AC229:AC$596,AC229)&amp;AC229</f>
        <v>368</v>
      </c>
      <c r="AC229" t="str">
        <f t="shared" si="93"/>
        <v/>
      </c>
      <c r="AD229" t="str">
        <f>COUNTIFS(AC$2:AC229,AC229)&amp;AC229</f>
        <v>228</v>
      </c>
      <c r="AE229" t="str">
        <f t="shared" si="77"/>
        <v/>
      </c>
      <c r="AF229" t="str">
        <f t="shared" si="94"/>
        <v>..</v>
      </c>
      <c r="AG229" s="28" t="str">
        <f t="shared" si="78"/>
        <v/>
      </c>
      <c r="AH229" s="28" t="str">
        <f t="shared" si="79"/>
        <v/>
      </c>
      <c r="AI229" t="str">
        <f t="shared" si="80"/>
        <v/>
      </c>
      <c r="AJ229" t="str">
        <f t="shared" si="81"/>
        <v/>
      </c>
      <c r="AK229" t="str">
        <f t="shared" si="82"/>
        <v/>
      </c>
      <c r="AL229" t="str">
        <f t="shared" si="83"/>
        <v/>
      </c>
      <c r="AM229" t="str">
        <f t="shared" si="84"/>
        <v/>
      </c>
      <c r="AN229" t="str">
        <f t="shared" si="85"/>
        <v/>
      </c>
      <c r="AO229" t="str">
        <f t="shared" si="86"/>
        <v/>
      </c>
      <c r="AP229" t="str">
        <f t="shared" si="87"/>
        <v/>
      </c>
      <c r="AQ229" t="str">
        <f t="shared" si="88"/>
        <v/>
      </c>
      <c r="AR229" t="str">
        <f t="shared" si="89"/>
        <v/>
      </c>
      <c r="AS229" t="str">
        <f t="shared" si="90"/>
        <v/>
      </c>
      <c r="AT229" t="str">
        <f t="shared" si="91"/>
        <v/>
      </c>
      <c r="AU229" s="25" t="str">
        <f t="shared" si="95"/>
        <v/>
      </c>
      <c r="BA229">
        <f>'REGISTER SK'!F232</f>
        <v>0</v>
      </c>
    </row>
    <row r="230" spans="1:53" x14ac:dyDescent="0.35">
      <c r="A230" s="18">
        <v>229</v>
      </c>
      <c r="B230" s="36" t="s">
        <v>379</v>
      </c>
      <c r="C230" s="18" t="str">
        <f>IF(G230="","",IF(G230="Umum",G230,VLOOKUP(F230,'Data Induk Pegawai'!B:AE,4,FALSE)))</f>
        <v/>
      </c>
      <c r="D230" s="19" t="str">
        <f>IF('REGISTER SK'!A233="","",IF('REGISTER SK'!B233=0,D229,'REGISTER SK'!B233))</f>
        <v/>
      </c>
      <c r="E230" s="19" t="str">
        <f t="shared" si="92"/>
        <v/>
      </c>
      <c r="F230" s="29"/>
      <c r="G230" s="29"/>
      <c r="H230" s="31" t="str">
        <f>IF(F230="","",VLOOKUP(F230,'Data Induk Pegawai'!B:U,2,FALSE))</f>
        <v/>
      </c>
      <c r="I230" s="19" t="str">
        <f>IF('REGISTER SK'!C233="","",'REGISTER SK'!C233)</f>
        <v/>
      </c>
      <c r="J230" s="125"/>
      <c r="K230" s="125"/>
      <c r="L230" s="26" t="str">
        <f>IF('REGISTER SK'!D233="","",'REGISTER SK'!D233)</f>
        <v/>
      </c>
      <c r="M230" s="26" t="str">
        <f>IF('REGISTER SK'!E233="","",'REGISTER SK'!E233)</f>
        <v/>
      </c>
      <c r="N230" s="31" t="str">
        <f>IF(G230="","",IF(OR(G230="GTT",G230="PTT"),"--",VLOOKUP(F230,'Data Induk Pegawai'!B:AE,4,FALSE)))</f>
        <v/>
      </c>
      <c r="O230" s="18" t="e">
        <v>#N/A</v>
      </c>
      <c r="P230" s="31" t="str">
        <f>IF(G230="","",VLOOKUP(F230,'Data Induk Pegawai'!B:AE,7,FALSE))</f>
        <v/>
      </c>
      <c r="Q230" s="30"/>
      <c r="R230" s="26" t="str">
        <f>IF(G230="","","Nomor "&amp;RIGHT(VLOOKUP(F230,'Data Induk Pegawai'!B:AE,12,FALSE),2)&amp;" Tahun "&amp;MID(VLOOKUP(F230,'Data Induk Pegawai'!B:AE,12,FALSE),5,4))</f>
        <v/>
      </c>
      <c r="S230" s="26" t="str">
        <f>IF(G230="","",VLOOKUP(F230,'Data Induk Pegawai'!B:AE,11,FALSE))</f>
        <v/>
      </c>
      <c r="T230" s="56"/>
      <c r="U230" s="18" t="str">
        <f t="shared" si="72"/>
        <v/>
      </c>
      <c r="V230" s="30"/>
      <c r="W230" s="18" t="str">
        <f t="shared" si="73"/>
        <v/>
      </c>
      <c r="X230" s="16"/>
      <c r="Y230" t="str">
        <f t="shared" si="74"/>
        <v/>
      </c>
      <c r="Z230" t="str">
        <f t="shared" si="75"/>
        <v/>
      </c>
      <c r="AA230" t="str">
        <f t="shared" si="76"/>
        <v/>
      </c>
      <c r="AB230" t="str">
        <f>COUNTIFS(AC230:AC$596,AC230)&amp;AC230</f>
        <v>367</v>
      </c>
      <c r="AC230" t="str">
        <f t="shared" si="93"/>
        <v/>
      </c>
      <c r="AD230" t="str">
        <f>COUNTIFS(AC$2:AC230,AC230)&amp;AC230</f>
        <v>229</v>
      </c>
      <c r="AE230" t="str">
        <f t="shared" si="77"/>
        <v/>
      </c>
      <c r="AF230" t="str">
        <f t="shared" si="94"/>
        <v>..</v>
      </c>
      <c r="AG230" s="28" t="str">
        <f t="shared" si="78"/>
        <v/>
      </c>
      <c r="AH230" s="28" t="str">
        <f t="shared" si="79"/>
        <v/>
      </c>
      <c r="AI230" t="str">
        <f t="shared" si="80"/>
        <v/>
      </c>
      <c r="AJ230" t="str">
        <f t="shared" si="81"/>
        <v/>
      </c>
      <c r="AK230" t="str">
        <f t="shared" si="82"/>
        <v/>
      </c>
      <c r="AL230" t="str">
        <f t="shared" si="83"/>
        <v/>
      </c>
      <c r="AM230" t="str">
        <f t="shared" si="84"/>
        <v/>
      </c>
      <c r="AN230" t="str">
        <f t="shared" si="85"/>
        <v/>
      </c>
      <c r="AO230" t="str">
        <f t="shared" si="86"/>
        <v/>
      </c>
      <c r="AP230" t="str">
        <f t="shared" si="87"/>
        <v/>
      </c>
      <c r="AQ230" t="str">
        <f t="shared" si="88"/>
        <v/>
      </c>
      <c r="AR230" t="str">
        <f t="shared" si="89"/>
        <v/>
      </c>
      <c r="AS230" t="str">
        <f t="shared" si="90"/>
        <v/>
      </c>
      <c r="AT230" t="str">
        <f t="shared" si="91"/>
        <v/>
      </c>
      <c r="AU230" s="25" t="str">
        <f t="shared" si="95"/>
        <v/>
      </c>
      <c r="BA230">
        <f>'REGISTER SK'!F233</f>
        <v>0</v>
      </c>
    </row>
    <row r="231" spans="1:53" x14ac:dyDescent="0.35">
      <c r="A231" s="18">
        <v>230</v>
      </c>
      <c r="B231" s="36" t="s">
        <v>379</v>
      </c>
      <c r="C231" s="18" t="str">
        <f>IF(G231="","",IF(G231="Umum",G231,VLOOKUP(F231,'Data Induk Pegawai'!B:AE,4,FALSE)))</f>
        <v/>
      </c>
      <c r="D231" s="19" t="str">
        <f>IF('REGISTER SK'!A234="","",IF('REGISTER SK'!B234=0,D230,'REGISTER SK'!B234))</f>
        <v/>
      </c>
      <c r="E231" s="19" t="str">
        <f t="shared" si="92"/>
        <v/>
      </c>
      <c r="F231" s="29"/>
      <c r="G231" s="29"/>
      <c r="H231" s="31" t="str">
        <f>IF(F231="","",VLOOKUP(F231,'Data Induk Pegawai'!B:U,2,FALSE))</f>
        <v/>
      </c>
      <c r="I231" s="19" t="str">
        <f>IF('REGISTER SK'!C234="","",'REGISTER SK'!C234)</f>
        <v/>
      </c>
      <c r="J231" s="125"/>
      <c r="K231" s="125"/>
      <c r="L231" s="26" t="str">
        <f>IF('REGISTER SK'!D234="","",'REGISTER SK'!D234)</f>
        <v/>
      </c>
      <c r="M231" s="26" t="str">
        <f>IF('REGISTER SK'!E234="","",'REGISTER SK'!E234)</f>
        <v/>
      </c>
      <c r="N231" s="31" t="str">
        <f>IF(G231="","",IF(OR(G231="GTT",G231="PTT"),"--",VLOOKUP(F231,'Data Induk Pegawai'!B:AE,4,FALSE)))</f>
        <v/>
      </c>
      <c r="O231" s="18" t="s">
        <v>282</v>
      </c>
      <c r="P231" s="31" t="str">
        <f>IF(G231="","",VLOOKUP(F231,'Data Induk Pegawai'!B:AE,7,FALSE))</f>
        <v/>
      </c>
      <c r="Q231" s="30"/>
      <c r="R231" s="26" t="str">
        <f>IF(G231="","","Nomor "&amp;RIGHT(VLOOKUP(F231,'Data Induk Pegawai'!B:AE,12,FALSE),2)&amp;" Tahun "&amp;MID(VLOOKUP(F231,'Data Induk Pegawai'!B:AE,12,FALSE),5,4))</f>
        <v/>
      </c>
      <c r="S231" s="26" t="str">
        <f>IF(G231="","",VLOOKUP(F231,'Data Induk Pegawai'!B:AE,11,FALSE))</f>
        <v/>
      </c>
      <c r="T231" s="56"/>
      <c r="U231" s="18" t="str">
        <f t="shared" si="72"/>
        <v/>
      </c>
      <c r="V231" s="30"/>
      <c r="W231" s="18" t="str">
        <f t="shared" si="73"/>
        <v/>
      </c>
      <c r="X231" s="16"/>
      <c r="Y231" t="str">
        <f t="shared" si="74"/>
        <v/>
      </c>
      <c r="Z231" t="str">
        <f t="shared" si="75"/>
        <v/>
      </c>
      <c r="AA231" t="str">
        <f t="shared" si="76"/>
        <v/>
      </c>
      <c r="AB231" t="str">
        <f>COUNTIFS(AC231:AC$596,AC231)&amp;AC231</f>
        <v>366</v>
      </c>
      <c r="AC231" t="str">
        <f t="shared" si="93"/>
        <v/>
      </c>
      <c r="AD231" t="str">
        <f>COUNTIFS(AC$2:AC231,AC231)&amp;AC231</f>
        <v>230</v>
      </c>
      <c r="AE231" t="str">
        <f t="shared" si="77"/>
        <v/>
      </c>
      <c r="AF231" t="str">
        <f t="shared" si="94"/>
        <v>..</v>
      </c>
      <c r="AG231" s="28" t="str">
        <f t="shared" si="78"/>
        <v/>
      </c>
      <c r="AH231" s="28" t="str">
        <f t="shared" si="79"/>
        <v/>
      </c>
      <c r="AI231" t="str">
        <f t="shared" si="80"/>
        <v/>
      </c>
      <c r="AJ231" t="str">
        <f t="shared" si="81"/>
        <v/>
      </c>
      <c r="AK231" t="str">
        <f t="shared" si="82"/>
        <v/>
      </c>
      <c r="AL231" t="str">
        <f t="shared" si="83"/>
        <v/>
      </c>
      <c r="AM231" t="str">
        <f t="shared" si="84"/>
        <v/>
      </c>
      <c r="AN231" t="str">
        <f t="shared" si="85"/>
        <v/>
      </c>
      <c r="AO231" t="str">
        <f t="shared" si="86"/>
        <v/>
      </c>
      <c r="AP231" t="str">
        <f t="shared" si="87"/>
        <v/>
      </c>
      <c r="AQ231" t="str">
        <f t="shared" si="88"/>
        <v/>
      </c>
      <c r="AR231" t="str">
        <f t="shared" si="89"/>
        <v/>
      </c>
      <c r="AS231" t="str">
        <f t="shared" si="90"/>
        <v/>
      </c>
      <c r="AT231" t="str">
        <f t="shared" si="91"/>
        <v/>
      </c>
      <c r="AU231" s="25" t="str">
        <f t="shared" si="95"/>
        <v/>
      </c>
      <c r="BA231">
        <f>'REGISTER SK'!F234</f>
        <v>0</v>
      </c>
    </row>
    <row r="232" spans="1:53" x14ac:dyDescent="0.35">
      <c r="A232" s="18">
        <v>231</v>
      </c>
      <c r="B232" s="36" t="s">
        <v>379</v>
      </c>
      <c r="C232" s="18" t="str">
        <f>IF(G232="","",IF(G232="Umum",G232,VLOOKUP(F232,'Data Induk Pegawai'!B:AE,4,FALSE)))</f>
        <v/>
      </c>
      <c r="D232" s="19" t="str">
        <f>IF('REGISTER SK'!A235="","",IF('REGISTER SK'!B235=0,D231,'REGISTER SK'!B235))</f>
        <v/>
      </c>
      <c r="E232" s="19" t="str">
        <f t="shared" si="92"/>
        <v/>
      </c>
      <c r="F232" s="29"/>
      <c r="G232" s="29"/>
      <c r="H232" s="31" t="str">
        <f>IF(F232="","",VLOOKUP(F232,'Data Induk Pegawai'!B:U,2,FALSE))</f>
        <v/>
      </c>
      <c r="I232" s="19" t="str">
        <f>IF('REGISTER SK'!C235="","",'REGISTER SK'!C235)</f>
        <v/>
      </c>
      <c r="J232" s="125"/>
      <c r="K232" s="125"/>
      <c r="L232" s="26" t="str">
        <f>IF('REGISTER SK'!D235="","",'REGISTER SK'!D235)</f>
        <v/>
      </c>
      <c r="M232" s="26" t="str">
        <f>IF('REGISTER SK'!E235="","",'REGISTER SK'!E235)</f>
        <v/>
      </c>
      <c r="N232" s="31" t="str">
        <f>IF(G232="","",IF(OR(G232="GTT",G232="PTT"),"--",VLOOKUP(F232,'Data Induk Pegawai'!B:AE,4,FALSE)))</f>
        <v/>
      </c>
      <c r="O232" s="18" t="s">
        <v>291</v>
      </c>
      <c r="P232" s="31" t="str">
        <f>IF(G232="","",VLOOKUP(F232,'Data Induk Pegawai'!B:AE,7,FALSE))</f>
        <v/>
      </c>
      <c r="Q232" s="30"/>
      <c r="R232" s="26" t="str">
        <f>IF(G232="","","Nomor "&amp;RIGHT(VLOOKUP(F232,'Data Induk Pegawai'!B:AE,12,FALSE),2)&amp;" Tahun "&amp;MID(VLOOKUP(F232,'Data Induk Pegawai'!B:AE,12,FALSE),5,4))</f>
        <v/>
      </c>
      <c r="S232" s="26" t="str">
        <f>IF(G232="","",VLOOKUP(F232,'Data Induk Pegawai'!B:AE,11,FALSE))</f>
        <v/>
      </c>
      <c r="T232" s="56"/>
      <c r="U232" s="18" t="str">
        <f t="shared" si="72"/>
        <v/>
      </c>
      <c r="V232" s="30"/>
      <c r="W232" s="18" t="str">
        <f t="shared" si="73"/>
        <v/>
      </c>
      <c r="X232" s="16"/>
      <c r="Y232" t="str">
        <f t="shared" si="74"/>
        <v/>
      </c>
      <c r="Z232" t="str">
        <f t="shared" si="75"/>
        <v/>
      </c>
      <c r="AA232" t="str">
        <f t="shared" si="76"/>
        <v/>
      </c>
      <c r="AB232" t="str">
        <f>COUNTIFS(AC232:AC$596,AC232)&amp;AC232</f>
        <v>365</v>
      </c>
      <c r="AC232" t="str">
        <f t="shared" si="93"/>
        <v/>
      </c>
      <c r="AD232" t="str">
        <f>COUNTIFS(AC$2:AC232,AC232)&amp;AC232</f>
        <v>231</v>
      </c>
      <c r="AE232" t="str">
        <f t="shared" si="77"/>
        <v/>
      </c>
      <c r="AF232" t="str">
        <f t="shared" si="94"/>
        <v>..</v>
      </c>
      <c r="AG232" s="28" t="str">
        <f t="shared" si="78"/>
        <v/>
      </c>
      <c r="AH232" s="28" t="str">
        <f t="shared" si="79"/>
        <v/>
      </c>
      <c r="AI232" t="str">
        <f t="shared" si="80"/>
        <v/>
      </c>
      <c r="AJ232" t="str">
        <f t="shared" si="81"/>
        <v/>
      </c>
      <c r="AK232" t="str">
        <f t="shared" si="82"/>
        <v/>
      </c>
      <c r="AL232" t="str">
        <f t="shared" si="83"/>
        <v/>
      </c>
      <c r="AM232" t="str">
        <f t="shared" si="84"/>
        <v/>
      </c>
      <c r="AN232" t="str">
        <f t="shared" si="85"/>
        <v/>
      </c>
      <c r="AO232" t="str">
        <f t="shared" si="86"/>
        <v/>
      </c>
      <c r="AP232" t="str">
        <f t="shared" si="87"/>
        <v/>
      </c>
      <c r="AQ232" t="str">
        <f t="shared" si="88"/>
        <v/>
      </c>
      <c r="AR232" t="str">
        <f t="shared" si="89"/>
        <v/>
      </c>
      <c r="AS232" t="str">
        <f t="shared" si="90"/>
        <v/>
      </c>
      <c r="AT232" t="str">
        <f t="shared" si="91"/>
        <v/>
      </c>
      <c r="AU232" s="25" t="str">
        <f t="shared" si="95"/>
        <v/>
      </c>
      <c r="BA232">
        <f>'REGISTER SK'!F235</f>
        <v>0</v>
      </c>
    </row>
    <row r="233" spans="1:53" x14ac:dyDescent="0.35">
      <c r="A233" s="18">
        <v>232</v>
      </c>
      <c r="B233" s="36" t="s">
        <v>379</v>
      </c>
      <c r="C233" s="18" t="str">
        <f>IF(G233="","",IF(G233="Umum",G233,VLOOKUP(F233,'Data Induk Pegawai'!B:AE,4,FALSE)))</f>
        <v/>
      </c>
      <c r="D233" s="19" t="str">
        <f>IF('REGISTER SK'!A236="","",IF('REGISTER SK'!B236=0,D232,'REGISTER SK'!B236))</f>
        <v/>
      </c>
      <c r="E233" s="19" t="str">
        <f t="shared" si="92"/>
        <v/>
      </c>
      <c r="F233" s="29"/>
      <c r="G233" s="29"/>
      <c r="H233" s="31" t="str">
        <f>IF(F233="","",VLOOKUP(F233,'Data Induk Pegawai'!B:U,2,FALSE))</f>
        <v/>
      </c>
      <c r="I233" s="19" t="str">
        <f>IF('REGISTER SK'!C236="","",'REGISTER SK'!C236)</f>
        <v/>
      </c>
      <c r="J233" s="125"/>
      <c r="K233" s="125"/>
      <c r="L233" s="26" t="str">
        <f>IF('REGISTER SK'!D236="","",'REGISTER SK'!D236)</f>
        <v/>
      </c>
      <c r="M233" s="26" t="str">
        <f>IF('REGISTER SK'!E236="","",'REGISTER SK'!E236)</f>
        <v/>
      </c>
      <c r="N233" s="31" t="str">
        <f>IF(G233="","",IF(OR(G233="GTT",G233="PTT"),"--",VLOOKUP(F233,'Data Induk Pegawai'!B:AE,4,FALSE)))</f>
        <v/>
      </c>
      <c r="O233" s="18" t="s">
        <v>434</v>
      </c>
      <c r="P233" s="31" t="str">
        <f>IF(G233="","",VLOOKUP(F233,'Data Induk Pegawai'!B:AE,7,FALSE))</f>
        <v/>
      </c>
      <c r="Q233" s="30"/>
      <c r="R233" s="26" t="str">
        <f>IF(G233="","","Nomor "&amp;RIGHT(VLOOKUP(F233,'Data Induk Pegawai'!B:AE,12,FALSE),2)&amp;" Tahun "&amp;MID(VLOOKUP(F233,'Data Induk Pegawai'!B:AE,12,FALSE),5,4))</f>
        <v/>
      </c>
      <c r="S233" s="26" t="str">
        <f>IF(G233="","",VLOOKUP(F233,'Data Induk Pegawai'!B:AE,11,FALSE))</f>
        <v/>
      </c>
      <c r="T233" s="56"/>
      <c r="U233" s="18" t="str">
        <f t="shared" si="72"/>
        <v/>
      </c>
      <c r="V233" s="30"/>
      <c r="W233" s="18" t="str">
        <f t="shared" si="73"/>
        <v/>
      </c>
      <c r="X233" s="16"/>
      <c r="Y233" t="str">
        <f t="shared" si="74"/>
        <v/>
      </c>
      <c r="Z233" t="str">
        <f t="shared" si="75"/>
        <v/>
      </c>
      <c r="AA233" t="str">
        <f t="shared" si="76"/>
        <v/>
      </c>
      <c r="AB233" t="str">
        <f>COUNTIFS(AC233:AC$596,AC233)&amp;AC233</f>
        <v>364</v>
      </c>
      <c r="AC233" t="str">
        <f t="shared" si="93"/>
        <v/>
      </c>
      <c r="AD233" t="str">
        <f>COUNTIFS(AC$2:AC233,AC233)&amp;AC233</f>
        <v>232</v>
      </c>
      <c r="AE233" t="str">
        <f t="shared" si="77"/>
        <v/>
      </c>
      <c r="AF233" t="str">
        <f t="shared" si="94"/>
        <v>..</v>
      </c>
      <c r="AG233" s="28" t="str">
        <f t="shared" si="78"/>
        <v/>
      </c>
      <c r="AH233" s="28" t="str">
        <f t="shared" si="79"/>
        <v/>
      </c>
      <c r="AI233" t="str">
        <f t="shared" si="80"/>
        <v/>
      </c>
      <c r="AJ233" t="str">
        <f t="shared" si="81"/>
        <v/>
      </c>
      <c r="AK233" t="str">
        <f t="shared" si="82"/>
        <v/>
      </c>
      <c r="AL233" t="str">
        <f t="shared" si="83"/>
        <v/>
      </c>
      <c r="AM233" t="str">
        <f t="shared" si="84"/>
        <v/>
      </c>
      <c r="AN233" t="str">
        <f t="shared" si="85"/>
        <v/>
      </c>
      <c r="AO233" t="str">
        <f t="shared" si="86"/>
        <v/>
      </c>
      <c r="AP233" t="str">
        <f t="shared" si="87"/>
        <v/>
      </c>
      <c r="AQ233" t="str">
        <f t="shared" si="88"/>
        <v/>
      </c>
      <c r="AR233" t="str">
        <f t="shared" si="89"/>
        <v/>
      </c>
      <c r="AS233" t="str">
        <f t="shared" si="90"/>
        <v/>
      </c>
      <c r="AT233" t="str">
        <f t="shared" si="91"/>
        <v/>
      </c>
      <c r="AU233" s="25" t="str">
        <f t="shared" si="95"/>
        <v/>
      </c>
      <c r="BA233">
        <f>'REGISTER SK'!F236</f>
        <v>0</v>
      </c>
    </row>
    <row r="234" spans="1:53" x14ac:dyDescent="0.35">
      <c r="A234" s="18">
        <v>233</v>
      </c>
      <c r="B234" s="36" t="s">
        <v>379</v>
      </c>
      <c r="C234" s="18" t="str">
        <f>IF(G234="","",IF(G234="Umum",G234,VLOOKUP(F234,'Data Induk Pegawai'!B:AE,4,FALSE)))</f>
        <v/>
      </c>
      <c r="D234" s="19" t="str">
        <f>IF('REGISTER SK'!A237="","",IF('REGISTER SK'!B237=0,D233,'REGISTER SK'!B237))</f>
        <v/>
      </c>
      <c r="E234" s="19" t="str">
        <f t="shared" si="92"/>
        <v/>
      </c>
      <c r="F234" s="29"/>
      <c r="G234" s="29"/>
      <c r="H234" s="31" t="str">
        <f>IF(F234="","",VLOOKUP(F234,'Data Induk Pegawai'!B:U,2,FALSE))</f>
        <v/>
      </c>
      <c r="I234" s="19" t="str">
        <f>IF('REGISTER SK'!C237="","",'REGISTER SK'!C237)</f>
        <v/>
      </c>
      <c r="J234" s="125"/>
      <c r="K234" s="125"/>
      <c r="L234" s="26" t="str">
        <f>IF('REGISTER SK'!D237="","",'REGISTER SK'!D237)</f>
        <v/>
      </c>
      <c r="M234" s="26" t="str">
        <f>IF('REGISTER SK'!E237="","",'REGISTER SK'!E237)</f>
        <v/>
      </c>
      <c r="N234" s="31" t="str">
        <f>IF(G234="","",IF(OR(G234="GTT",G234="PTT"),"--",VLOOKUP(F234,'Data Induk Pegawai'!B:AE,4,FALSE)))</f>
        <v/>
      </c>
      <c r="O234" s="18" t="s">
        <v>427</v>
      </c>
      <c r="P234" s="31" t="str">
        <f>IF(G234="","",VLOOKUP(F234,'Data Induk Pegawai'!B:AE,7,FALSE))</f>
        <v/>
      </c>
      <c r="Q234" s="30"/>
      <c r="R234" s="26" t="str">
        <f>IF(G234="","","Nomor "&amp;RIGHT(VLOOKUP(F234,'Data Induk Pegawai'!B:AE,12,FALSE),2)&amp;" Tahun "&amp;MID(VLOOKUP(F234,'Data Induk Pegawai'!B:AE,12,FALSE),5,4))</f>
        <v/>
      </c>
      <c r="S234" s="26" t="str">
        <f>IF(G234="","",VLOOKUP(F234,'Data Induk Pegawai'!B:AE,11,FALSE))</f>
        <v/>
      </c>
      <c r="T234" s="56"/>
      <c r="U234" s="18" t="str">
        <f t="shared" si="72"/>
        <v/>
      </c>
      <c r="V234" s="30"/>
      <c r="W234" s="18" t="str">
        <f t="shared" si="73"/>
        <v/>
      </c>
      <c r="X234" s="16"/>
      <c r="Y234" t="str">
        <f t="shared" si="74"/>
        <v/>
      </c>
      <c r="Z234" t="str">
        <f t="shared" si="75"/>
        <v/>
      </c>
      <c r="AA234" t="str">
        <f t="shared" si="76"/>
        <v/>
      </c>
      <c r="AB234" t="str">
        <f>COUNTIFS(AC234:AC$596,AC234)&amp;AC234</f>
        <v>363</v>
      </c>
      <c r="AC234" t="str">
        <f t="shared" si="93"/>
        <v/>
      </c>
      <c r="AD234" t="str">
        <f>COUNTIFS(AC$2:AC234,AC234)&amp;AC234</f>
        <v>233</v>
      </c>
      <c r="AE234" t="str">
        <f t="shared" si="77"/>
        <v/>
      </c>
      <c r="AF234" t="str">
        <f t="shared" si="94"/>
        <v>..</v>
      </c>
      <c r="AG234" s="28" t="str">
        <f t="shared" si="78"/>
        <v/>
      </c>
      <c r="AH234" s="28" t="str">
        <f t="shared" si="79"/>
        <v/>
      </c>
      <c r="AI234" t="str">
        <f t="shared" si="80"/>
        <v/>
      </c>
      <c r="AJ234" t="str">
        <f t="shared" si="81"/>
        <v/>
      </c>
      <c r="AK234" t="str">
        <f t="shared" si="82"/>
        <v/>
      </c>
      <c r="AL234" t="str">
        <f t="shared" si="83"/>
        <v/>
      </c>
      <c r="AM234" t="str">
        <f t="shared" si="84"/>
        <v/>
      </c>
      <c r="AN234" t="str">
        <f t="shared" si="85"/>
        <v/>
      </c>
      <c r="AO234" t="str">
        <f t="shared" si="86"/>
        <v/>
      </c>
      <c r="AP234" t="str">
        <f t="shared" si="87"/>
        <v/>
      </c>
      <c r="AQ234" t="str">
        <f t="shared" si="88"/>
        <v/>
      </c>
      <c r="AR234" t="str">
        <f t="shared" si="89"/>
        <v/>
      </c>
      <c r="AS234" t="str">
        <f t="shared" si="90"/>
        <v/>
      </c>
      <c r="AT234" t="str">
        <f t="shared" si="91"/>
        <v/>
      </c>
      <c r="AU234" s="25" t="str">
        <f t="shared" si="95"/>
        <v/>
      </c>
      <c r="BA234">
        <f>'REGISTER SK'!F237</f>
        <v>0</v>
      </c>
    </row>
    <row r="235" spans="1:53" x14ac:dyDescent="0.35">
      <c r="A235" s="18">
        <v>234</v>
      </c>
      <c r="B235" s="36" t="s">
        <v>379</v>
      </c>
      <c r="C235" s="18" t="str">
        <f>IF(G235="","",IF(G235="Umum",G235,VLOOKUP(F235,'Data Induk Pegawai'!B:AE,4,FALSE)))</f>
        <v/>
      </c>
      <c r="D235" s="19" t="str">
        <f>IF('REGISTER SK'!A238="","",IF('REGISTER SK'!B238=0,D234,'REGISTER SK'!B238))</f>
        <v/>
      </c>
      <c r="E235" s="19" t="str">
        <f t="shared" si="92"/>
        <v/>
      </c>
      <c r="F235" s="29"/>
      <c r="G235" s="29"/>
      <c r="H235" s="31" t="str">
        <f>IF(F235="","",VLOOKUP(F235,'Data Induk Pegawai'!B:U,2,FALSE))</f>
        <v/>
      </c>
      <c r="I235" s="19" t="str">
        <f>IF('REGISTER SK'!C238="","",'REGISTER SK'!C238)</f>
        <v/>
      </c>
      <c r="J235" s="125"/>
      <c r="K235" s="125"/>
      <c r="L235" s="26" t="str">
        <f>IF('REGISTER SK'!D238="","",'REGISTER SK'!D238)</f>
        <v/>
      </c>
      <c r="M235" s="26" t="str">
        <f>IF('REGISTER SK'!E238="","",'REGISTER SK'!E238)</f>
        <v/>
      </c>
      <c r="N235" s="31" t="str">
        <f>IF(G235="","",IF(OR(G235="GTT",G235="PTT"),"--",VLOOKUP(F235,'Data Induk Pegawai'!B:AE,4,FALSE)))</f>
        <v/>
      </c>
      <c r="O235" s="18" t="s">
        <v>436</v>
      </c>
      <c r="P235" s="31" t="str">
        <f>IF(G235="","",VLOOKUP(F235,'Data Induk Pegawai'!B:AE,7,FALSE))</f>
        <v/>
      </c>
      <c r="Q235" s="30"/>
      <c r="R235" s="26" t="str">
        <f>IF(G235="","","Nomor "&amp;RIGHT(VLOOKUP(F235,'Data Induk Pegawai'!B:AE,12,FALSE),2)&amp;" Tahun "&amp;MID(VLOOKUP(F235,'Data Induk Pegawai'!B:AE,12,FALSE),5,4))</f>
        <v/>
      </c>
      <c r="S235" s="26" t="str">
        <f>IF(G235="","",VLOOKUP(F235,'Data Induk Pegawai'!B:AE,11,FALSE))</f>
        <v/>
      </c>
      <c r="T235" s="56"/>
      <c r="U235" s="18" t="str">
        <f t="shared" si="72"/>
        <v/>
      </c>
      <c r="V235" s="30"/>
      <c r="W235" s="18" t="str">
        <f t="shared" si="73"/>
        <v/>
      </c>
      <c r="X235" s="16"/>
      <c r="Y235" t="str">
        <f t="shared" si="74"/>
        <v/>
      </c>
      <c r="Z235" t="str">
        <f t="shared" si="75"/>
        <v/>
      </c>
      <c r="AA235" t="str">
        <f t="shared" si="76"/>
        <v/>
      </c>
      <c r="AB235" t="str">
        <f>COUNTIFS(AC235:AC$596,AC235)&amp;AC235</f>
        <v>362</v>
      </c>
      <c r="AC235" t="str">
        <f t="shared" si="93"/>
        <v/>
      </c>
      <c r="AD235" t="str">
        <f>COUNTIFS(AC$2:AC235,AC235)&amp;AC235</f>
        <v>234</v>
      </c>
      <c r="AE235" t="str">
        <f t="shared" si="77"/>
        <v/>
      </c>
      <c r="AF235" t="str">
        <f t="shared" si="94"/>
        <v>..</v>
      </c>
      <c r="AG235" s="28" t="str">
        <f t="shared" si="78"/>
        <v/>
      </c>
      <c r="AH235" s="28" t="str">
        <f t="shared" si="79"/>
        <v/>
      </c>
      <c r="AI235" t="str">
        <f t="shared" si="80"/>
        <v/>
      </c>
      <c r="AJ235" t="str">
        <f t="shared" si="81"/>
        <v/>
      </c>
      <c r="AK235" t="str">
        <f t="shared" si="82"/>
        <v/>
      </c>
      <c r="AL235" t="str">
        <f t="shared" si="83"/>
        <v/>
      </c>
      <c r="AM235" t="str">
        <f t="shared" si="84"/>
        <v/>
      </c>
      <c r="AN235" t="str">
        <f t="shared" si="85"/>
        <v/>
      </c>
      <c r="AO235" t="str">
        <f t="shared" si="86"/>
        <v/>
      </c>
      <c r="AP235" t="str">
        <f t="shared" si="87"/>
        <v/>
      </c>
      <c r="AQ235" t="str">
        <f t="shared" si="88"/>
        <v/>
      </c>
      <c r="AR235" t="str">
        <f t="shared" si="89"/>
        <v/>
      </c>
      <c r="AS235" t="str">
        <f t="shared" si="90"/>
        <v/>
      </c>
      <c r="AT235" t="str">
        <f t="shared" si="91"/>
        <v/>
      </c>
      <c r="AU235" s="25" t="str">
        <f t="shared" si="95"/>
        <v/>
      </c>
      <c r="BA235">
        <f>'REGISTER SK'!F238</f>
        <v>0</v>
      </c>
    </row>
    <row r="236" spans="1:53" x14ac:dyDescent="0.35">
      <c r="A236" s="18">
        <v>235</v>
      </c>
      <c r="B236" s="36" t="s">
        <v>379</v>
      </c>
      <c r="C236" s="18" t="str">
        <f>IF(G236="","",IF(G236="Umum",G236,VLOOKUP(F236,'Data Induk Pegawai'!B:AE,4,FALSE)))</f>
        <v/>
      </c>
      <c r="D236" s="19" t="str">
        <f>IF('REGISTER SK'!A239="","",IF('REGISTER SK'!B239=0,D235,'REGISTER SK'!B239))</f>
        <v/>
      </c>
      <c r="E236" s="19" t="str">
        <f t="shared" si="92"/>
        <v/>
      </c>
      <c r="F236" s="29"/>
      <c r="G236" s="29"/>
      <c r="H236" s="31" t="str">
        <f>IF(F236="","",VLOOKUP(F236,'Data Induk Pegawai'!B:U,2,FALSE))</f>
        <v/>
      </c>
      <c r="I236" s="19" t="str">
        <f>IF('REGISTER SK'!C239="","",'REGISTER SK'!C239)</f>
        <v/>
      </c>
      <c r="J236" s="125"/>
      <c r="K236" s="125"/>
      <c r="L236" s="26" t="str">
        <f>IF('REGISTER SK'!D239="","",'REGISTER SK'!D239)</f>
        <v/>
      </c>
      <c r="M236" s="26" t="str">
        <f>IF('REGISTER SK'!E239="","",'REGISTER SK'!E239)</f>
        <v/>
      </c>
      <c r="N236" s="31" t="str">
        <f>IF(G236="","",IF(OR(G236="GTT",G236="PTT"),"--",VLOOKUP(F236,'Data Induk Pegawai'!B:AE,4,FALSE)))</f>
        <v/>
      </c>
      <c r="O236" s="18" t="s">
        <v>432</v>
      </c>
      <c r="P236" s="31" t="str">
        <f>IF(G236="","",VLOOKUP(F236,'Data Induk Pegawai'!B:AE,7,FALSE))</f>
        <v/>
      </c>
      <c r="Q236" s="30"/>
      <c r="R236" s="26" t="str">
        <f>IF(G236="","","Nomor "&amp;RIGHT(VLOOKUP(F236,'Data Induk Pegawai'!B:AE,12,FALSE),2)&amp;" Tahun "&amp;MID(VLOOKUP(F236,'Data Induk Pegawai'!B:AE,12,FALSE),5,4))</f>
        <v/>
      </c>
      <c r="S236" s="26" t="str">
        <f>IF(G236="","",VLOOKUP(F236,'Data Induk Pegawai'!B:AE,11,FALSE))</f>
        <v/>
      </c>
      <c r="T236" s="56"/>
      <c r="U236" s="18" t="str">
        <f t="shared" si="72"/>
        <v/>
      </c>
      <c r="V236" s="30"/>
      <c r="W236" s="18" t="str">
        <f t="shared" si="73"/>
        <v/>
      </c>
      <c r="X236" s="16"/>
      <c r="Y236" t="str">
        <f t="shared" si="74"/>
        <v/>
      </c>
      <c r="Z236" t="str">
        <f t="shared" si="75"/>
        <v/>
      </c>
      <c r="AA236" t="str">
        <f t="shared" si="76"/>
        <v/>
      </c>
      <c r="AB236" t="str">
        <f>COUNTIFS(AC236:AC$596,AC236)&amp;AC236</f>
        <v>361</v>
      </c>
      <c r="AC236" t="str">
        <f t="shared" si="93"/>
        <v/>
      </c>
      <c r="AD236" t="str">
        <f>COUNTIFS(AC$2:AC236,AC236)&amp;AC236</f>
        <v>235</v>
      </c>
      <c r="AE236" t="str">
        <f t="shared" si="77"/>
        <v/>
      </c>
      <c r="AF236" t="str">
        <f t="shared" si="94"/>
        <v>..</v>
      </c>
      <c r="AG236" s="28" t="str">
        <f t="shared" si="78"/>
        <v/>
      </c>
      <c r="AH236" s="28" t="str">
        <f t="shared" si="79"/>
        <v/>
      </c>
      <c r="AI236" t="str">
        <f t="shared" si="80"/>
        <v/>
      </c>
      <c r="AJ236" t="str">
        <f t="shared" si="81"/>
        <v/>
      </c>
      <c r="AK236" t="str">
        <f t="shared" si="82"/>
        <v/>
      </c>
      <c r="AL236" t="str">
        <f t="shared" si="83"/>
        <v/>
      </c>
      <c r="AM236" t="str">
        <f t="shared" si="84"/>
        <v/>
      </c>
      <c r="AN236" t="str">
        <f t="shared" si="85"/>
        <v/>
      </c>
      <c r="AO236" t="str">
        <f t="shared" si="86"/>
        <v/>
      </c>
      <c r="AP236" t="str">
        <f t="shared" si="87"/>
        <v/>
      </c>
      <c r="AQ236" t="str">
        <f t="shared" si="88"/>
        <v/>
      </c>
      <c r="AR236" t="str">
        <f t="shared" si="89"/>
        <v/>
      </c>
      <c r="AS236" t="str">
        <f t="shared" si="90"/>
        <v/>
      </c>
      <c r="AT236" t="str">
        <f t="shared" si="91"/>
        <v/>
      </c>
      <c r="AU236" s="25" t="str">
        <f t="shared" si="95"/>
        <v/>
      </c>
      <c r="BA236">
        <f>'REGISTER SK'!F239</f>
        <v>0</v>
      </c>
    </row>
    <row r="237" spans="1:53" x14ac:dyDescent="0.35">
      <c r="A237" s="18">
        <v>236</v>
      </c>
      <c r="B237" s="36" t="s">
        <v>379</v>
      </c>
      <c r="C237" s="18" t="str">
        <f>IF(G237="","",IF(G237="Umum",G237,VLOOKUP(F237,'Data Induk Pegawai'!B:AE,4,FALSE)))</f>
        <v/>
      </c>
      <c r="D237" s="19" t="str">
        <f>IF('REGISTER SK'!A240="","",IF('REGISTER SK'!B240=0,D236,'REGISTER SK'!B240))</f>
        <v/>
      </c>
      <c r="E237" s="19" t="str">
        <f t="shared" si="92"/>
        <v/>
      </c>
      <c r="F237" s="29"/>
      <c r="G237" s="29"/>
      <c r="H237" s="31" t="str">
        <f>IF(F237="","",VLOOKUP(F237,'Data Induk Pegawai'!B:U,2,FALSE))</f>
        <v/>
      </c>
      <c r="I237" s="19" t="str">
        <f>IF('REGISTER SK'!C240="","",'REGISTER SK'!C240)</f>
        <v/>
      </c>
      <c r="J237" s="125"/>
      <c r="K237" s="125"/>
      <c r="L237" s="26" t="str">
        <f>IF('REGISTER SK'!D240="","",'REGISTER SK'!D240)</f>
        <v/>
      </c>
      <c r="M237" s="26" t="str">
        <f>IF('REGISTER SK'!E240="","",'REGISTER SK'!E240)</f>
        <v/>
      </c>
      <c r="N237" s="31" t="str">
        <f>IF(G237="","",IF(OR(G237="GTT",G237="PTT"),"--",VLOOKUP(F237,'Data Induk Pegawai'!B:AE,4,FALSE)))</f>
        <v/>
      </c>
      <c r="O237" s="18" t="s">
        <v>429</v>
      </c>
      <c r="P237" s="31" t="str">
        <f>IF(G237="","",VLOOKUP(F237,'Data Induk Pegawai'!B:AE,7,FALSE))</f>
        <v/>
      </c>
      <c r="Q237" s="30"/>
      <c r="R237" s="26" t="str">
        <f>IF(G237="","","Nomor "&amp;RIGHT(VLOOKUP(F237,'Data Induk Pegawai'!B:AE,12,FALSE),2)&amp;" Tahun "&amp;MID(VLOOKUP(F237,'Data Induk Pegawai'!B:AE,12,FALSE),5,4))</f>
        <v/>
      </c>
      <c r="S237" s="26" t="str">
        <f>IF(G237="","",VLOOKUP(F237,'Data Induk Pegawai'!B:AE,11,FALSE))</f>
        <v/>
      </c>
      <c r="T237" s="56"/>
      <c r="U237" s="18" t="str">
        <f t="shared" si="72"/>
        <v/>
      </c>
      <c r="V237" s="30"/>
      <c r="W237" s="18" t="str">
        <f t="shared" si="73"/>
        <v/>
      </c>
      <c r="X237" s="16"/>
      <c r="Y237" t="str">
        <f t="shared" si="74"/>
        <v/>
      </c>
      <c r="Z237" t="str">
        <f t="shared" si="75"/>
        <v/>
      </c>
      <c r="AA237" t="str">
        <f t="shared" si="76"/>
        <v/>
      </c>
      <c r="AB237" t="str">
        <f>COUNTIFS(AC237:AC$596,AC237)&amp;AC237</f>
        <v>360</v>
      </c>
      <c r="AC237" t="str">
        <f t="shared" si="93"/>
        <v/>
      </c>
      <c r="AD237" t="str">
        <f>COUNTIFS(AC$2:AC237,AC237)&amp;AC237</f>
        <v>236</v>
      </c>
      <c r="AE237" t="str">
        <f t="shared" si="77"/>
        <v/>
      </c>
      <c r="AF237" t="str">
        <f t="shared" si="94"/>
        <v>..</v>
      </c>
      <c r="AG237" s="28" t="str">
        <f t="shared" si="78"/>
        <v/>
      </c>
      <c r="AH237" s="28" t="str">
        <f t="shared" si="79"/>
        <v/>
      </c>
      <c r="AI237" t="str">
        <f t="shared" si="80"/>
        <v/>
      </c>
      <c r="AJ237" t="str">
        <f t="shared" si="81"/>
        <v/>
      </c>
      <c r="AK237" t="str">
        <f t="shared" si="82"/>
        <v/>
      </c>
      <c r="AL237" t="str">
        <f t="shared" si="83"/>
        <v/>
      </c>
      <c r="AM237" t="str">
        <f t="shared" si="84"/>
        <v/>
      </c>
      <c r="AN237" t="str">
        <f t="shared" si="85"/>
        <v/>
      </c>
      <c r="AO237" t="str">
        <f t="shared" si="86"/>
        <v/>
      </c>
      <c r="AP237" t="str">
        <f t="shared" si="87"/>
        <v/>
      </c>
      <c r="AQ237" t="str">
        <f t="shared" si="88"/>
        <v/>
      </c>
      <c r="AR237" t="str">
        <f t="shared" si="89"/>
        <v/>
      </c>
      <c r="AS237" t="str">
        <f t="shared" si="90"/>
        <v/>
      </c>
      <c r="AT237" t="str">
        <f t="shared" si="91"/>
        <v/>
      </c>
      <c r="AU237" s="25" t="str">
        <f t="shared" si="95"/>
        <v/>
      </c>
      <c r="BA237">
        <f>'REGISTER SK'!F240</f>
        <v>0</v>
      </c>
    </row>
    <row r="238" spans="1:53" x14ac:dyDescent="0.35">
      <c r="A238" s="18">
        <v>237</v>
      </c>
      <c r="B238" s="36" t="s">
        <v>379</v>
      </c>
      <c r="C238" s="18" t="str">
        <f>IF(G238="","",IF(G238="Umum",G238,VLOOKUP(F238,'Data Induk Pegawai'!B:AE,4,FALSE)))</f>
        <v/>
      </c>
      <c r="D238" s="19" t="str">
        <f>IF('REGISTER SK'!A241="","",IF('REGISTER SK'!B241=0,D237,'REGISTER SK'!B241))</f>
        <v/>
      </c>
      <c r="E238" s="19" t="str">
        <f t="shared" si="92"/>
        <v/>
      </c>
      <c r="F238" s="29"/>
      <c r="G238" s="29"/>
      <c r="H238" s="31" t="str">
        <f>IF(F238="","",VLOOKUP(F238,'Data Induk Pegawai'!B:U,2,FALSE))</f>
        <v/>
      </c>
      <c r="I238" s="19" t="str">
        <f>IF('REGISTER SK'!C241="","",'REGISTER SK'!C241)</f>
        <v/>
      </c>
      <c r="J238" s="125"/>
      <c r="K238" s="125"/>
      <c r="L238" s="26" t="str">
        <f>IF('REGISTER SK'!D241="","",'REGISTER SK'!D241)</f>
        <v/>
      </c>
      <c r="M238" s="26" t="str">
        <f>IF('REGISTER SK'!E241="","",'REGISTER SK'!E241)</f>
        <v/>
      </c>
      <c r="N238" s="31" t="str">
        <f>IF(G238="","",IF(OR(G238="GTT",G238="PTT"),"--",VLOOKUP(F238,'Data Induk Pegawai'!B:AE,4,FALSE)))</f>
        <v/>
      </c>
      <c r="O238" s="18" t="s">
        <v>428</v>
      </c>
      <c r="P238" s="31" t="str">
        <f>IF(G238="","",VLOOKUP(F238,'Data Induk Pegawai'!B:AE,7,FALSE))</f>
        <v/>
      </c>
      <c r="Q238" s="30"/>
      <c r="R238" s="26" t="str">
        <f>IF(G238="","","Nomor "&amp;RIGHT(VLOOKUP(F238,'Data Induk Pegawai'!B:AE,12,FALSE),2)&amp;" Tahun "&amp;MID(VLOOKUP(F238,'Data Induk Pegawai'!B:AE,12,FALSE),5,4))</f>
        <v/>
      </c>
      <c r="S238" s="26" t="str">
        <f>IF(G238="","",VLOOKUP(F238,'Data Induk Pegawai'!B:AE,11,FALSE))</f>
        <v/>
      </c>
      <c r="T238" s="56"/>
      <c r="U238" s="18" t="str">
        <f t="shared" si="72"/>
        <v/>
      </c>
      <c r="V238" s="30"/>
      <c r="W238" s="18" t="str">
        <f t="shared" si="73"/>
        <v/>
      </c>
      <c r="X238" s="16"/>
      <c r="Y238" t="str">
        <f t="shared" si="74"/>
        <v/>
      </c>
      <c r="Z238" t="str">
        <f t="shared" si="75"/>
        <v/>
      </c>
      <c r="AA238" t="str">
        <f t="shared" si="76"/>
        <v/>
      </c>
      <c r="AB238" t="str">
        <f>COUNTIFS(AC238:AC$596,AC238)&amp;AC238</f>
        <v>359</v>
      </c>
      <c r="AC238" t="str">
        <f t="shared" si="93"/>
        <v/>
      </c>
      <c r="AD238" t="str">
        <f>COUNTIFS(AC$2:AC238,AC238)&amp;AC238</f>
        <v>237</v>
      </c>
      <c r="AE238" t="str">
        <f t="shared" si="77"/>
        <v/>
      </c>
      <c r="AF238" t="str">
        <f t="shared" si="94"/>
        <v>..</v>
      </c>
      <c r="AG238" s="28" t="str">
        <f t="shared" si="78"/>
        <v/>
      </c>
      <c r="AH238" s="28" t="str">
        <f t="shared" si="79"/>
        <v/>
      </c>
      <c r="AI238" t="str">
        <f t="shared" si="80"/>
        <v/>
      </c>
      <c r="AJ238" t="str">
        <f t="shared" si="81"/>
        <v/>
      </c>
      <c r="AK238" t="str">
        <f t="shared" si="82"/>
        <v/>
      </c>
      <c r="AL238" t="str">
        <f t="shared" si="83"/>
        <v/>
      </c>
      <c r="AM238" t="str">
        <f t="shared" si="84"/>
        <v/>
      </c>
      <c r="AN238" t="str">
        <f t="shared" si="85"/>
        <v/>
      </c>
      <c r="AO238" t="str">
        <f t="shared" si="86"/>
        <v/>
      </c>
      <c r="AP238" t="str">
        <f t="shared" si="87"/>
        <v/>
      </c>
      <c r="AQ238" t="str">
        <f t="shared" si="88"/>
        <v/>
      </c>
      <c r="AR238" t="str">
        <f t="shared" si="89"/>
        <v/>
      </c>
      <c r="AS238" t="str">
        <f t="shared" si="90"/>
        <v/>
      </c>
      <c r="AT238" t="str">
        <f t="shared" si="91"/>
        <v/>
      </c>
      <c r="AU238" s="25" t="str">
        <f t="shared" si="95"/>
        <v/>
      </c>
      <c r="BA238">
        <f>'REGISTER SK'!F241</f>
        <v>0</v>
      </c>
    </row>
    <row r="239" spans="1:53" x14ac:dyDescent="0.35">
      <c r="A239" s="18">
        <v>238</v>
      </c>
      <c r="B239" s="36" t="s">
        <v>379</v>
      </c>
      <c r="C239" s="18" t="str">
        <f>IF(G239="","",IF(G239="Umum",G239,VLOOKUP(F239,'Data Induk Pegawai'!B:AE,4,FALSE)))</f>
        <v/>
      </c>
      <c r="D239" s="19" t="str">
        <f>IF('REGISTER SK'!A242="","",IF('REGISTER SK'!B242=0,D238,'REGISTER SK'!B242))</f>
        <v/>
      </c>
      <c r="E239" s="19" t="str">
        <f t="shared" si="92"/>
        <v/>
      </c>
      <c r="F239" s="29"/>
      <c r="G239" s="29"/>
      <c r="H239" s="31" t="str">
        <f>IF(F239="","",VLOOKUP(F239,'Data Induk Pegawai'!B:U,2,FALSE))</f>
        <v/>
      </c>
      <c r="I239" s="19" t="str">
        <f>IF('REGISTER SK'!C242="","",'REGISTER SK'!C242)</f>
        <v/>
      </c>
      <c r="J239" s="125"/>
      <c r="K239" s="125"/>
      <c r="L239" s="26" t="str">
        <f>IF('REGISTER SK'!D242="","",'REGISTER SK'!D242)</f>
        <v/>
      </c>
      <c r="M239" s="26" t="str">
        <f>IF('REGISTER SK'!E242="","",'REGISTER SK'!E242)</f>
        <v/>
      </c>
      <c r="N239" s="31" t="str">
        <f>IF(G239="","",IF(OR(G239="GTT",G239="PTT"),"--",VLOOKUP(F239,'Data Induk Pegawai'!B:AE,4,FALSE)))</f>
        <v/>
      </c>
      <c r="O239" s="18" t="s">
        <v>397</v>
      </c>
      <c r="P239" s="31" t="str">
        <f>IF(G239="","",VLOOKUP(F239,'Data Induk Pegawai'!B:AE,7,FALSE))</f>
        <v/>
      </c>
      <c r="Q239" s="30"/>
      <c r="R239" s="26" t="str">
        <f>IF(G239="","","Nomor "&amp;RIGHT(VLOOKUP(F239,'Data Induk Pegawai'!B:AE,12,FALSE),2)&amp;" Tahun "&amp;MID(VLOOKUP(F239,'Data Induk Pegawai'!B:AE,12,FALSE),5,4))</f>
        <v/>
      </c>
      <c r="S239" s="26" t="str">
        <f>IF(G239="","",VLOOKUP(F239,'Data Induk Pegawai'!B:AE,11,FALSE))</f>
        <v/>
      </c>
      <c r="T239" s="56"/>
      <c r="U239" s="18" t="str">
        <f t="shared" si="72"/>
        <v/>
      </c>
      <c r="V239" s="30"/>
      <c r="W239" s="18" t="str">
        <f t="shared" si="73"/>
        <v/>
      </c>
      <c r="X239" s="16"/>
      <c r="Y239" t="str">
        <f t="shared" si="74"/>
        <v/>
      </c>
      <c r="Z239" t="str">
        <f t="shared" si="75"/>
        <v/>
      </c>
      <c r="AA239" t="str">
        <f t="shared" si="76"/>
        <v/>
      </c>
      <c r="AB239" t="str">
        <f>COUNTIFS(AC239:AC$596,AC239)&amp;AC239</f>
        <v>358</v>
      </c>
      <c r="AC239" t="str">
        <f t="shared" si="93"/>
        <v/>
      </c>
      <c r="AD239" t="str">
        <f>COUNTIFS(AC$2:AC239,AC239)&amp;AC239</f>
        <v>238</v>
      </c>
      <c r="AE239" t="str">
        <f t="shared" si="77"/>
        <v/>
      </c>
      <c r="AF239" t="str">
        <f t="shared" si="94"/>
        <v>..</v>
      </c>
      <c r="AG239" s="28" t="str">
        <f t="shared" si="78"/>
        <v/>
      </c>
      <c r="AH239" s="28" t="str">
        <f t="shared" si="79"/>
        <v/>
      </c>
      <c r="AI239" t="str">
        <f t="shared" si="80"/>
        <v/>
      </c>
      <c r="AJ239" t="str">
        <f t="shared" si="81"/>
        <v/>
      </c>
      <c r="AK239" t="str">
        <f t="shared" si="82"/>
        <v/>
      </c>
      <c r="AL239" t="str">
        <f t="shared" si="83"/>
        <v/>
      </c>
      <c r="AM239" t="str">
        <f t="shared" si="84"/>
        <v/>
      </c>
      <c r="AN239" t="str">
        <f t="shared" si="85"/>
        <v/>
      </c>
      <c r="AO239" t="str">
        <f t="shared" si="86"/>
        <v/>
      </c>
      <c r="AP239" t="str">
        <f t="shared" si="87"/>
        <v/>
      </c>
      <c r="AQ239" t="str">
        <f t="shared" si="88"/>
        <v/>
      </c>
      <c r="AR239" t="str">
        <f t="shared" si="89"/>
        <v/>
      </c>
      <c r="AS239" t="str">
        <f t="shared" si="90"/>
        <v/>
      </c>
      <c r="AT239" t="str">
        <f t="shared" si="91"/>
        <v/>
      </c>
      <c r="AU239" s="25" t="str">
        <f t="shared" si="95"/>
        <v/>
      </c>
      <c r="BA239">
        <f>'REGISTER SK'!F242</f>
        <v>0</v>
      </c>
    </row>
    <row r="240" spans="1:53" x14ac:dyDescent="0.35">
      <c r="A240" s="18">
        <v>239</v>
      </c>
      <c r="B240" s="36" t="s">
        <v>379</v>
      </c>
      <c r="C240" s="18" t="str">
        <f>IF(G240="","",IF(G240="Umum",G240,VLOOKUP(F240,'Data Induk Pegawai'!B:AE,4,FALSE)))</f>
        <v/>
      </c>
      <c r="D240" s="19" t="str">
        <f>IF('REGISTER SK'!A243="","",IF('REGISTER SK'!B243=0,D239,'REGISTER SK'!B243))</f>
        <v/>
      </c>
      <c r="E240" s="19" t="str">
        <f t="shared" si="92"/>
        <v/>
      </c>
      <c r="F240" s="29"/>
      <c r="G240" s="29"/>
      <c r="H240" s="31" t="str">
        <f>IF(F240="","",VLOOKUP(F240,'Data Induk Pegawai'!B:U,2,FALSE))</f>
        <v/>
      </c>
      <c r="I240" s="19" t="str">
        <f>IF('REGISTER SK'!C243="","",'REGISTER SK'!C243)</f>
        <v/>
      </c>
      <c r="J240" s="125"/>
      <c r="K240" s="125"/>
      <c r="L240" s="26" t="str">
        <f>IF('REGISTER SK'!D243="","",'REGISTER SK'!D243)</f>
        <v/>
      </c>
      <c r="M240" s="26" t="str">
        <f>IF('REGISTER SK'!E243="","",'REGISTER SK'!E243)</f>
        <v/>
      </c>
      <c r="N240" s="31" t="str">
        <f>IF(G240="","",IF(OR(G240="GTT",G240="PTT"),"--",VLOOKUP(F240,'Data Induk Pegawai'!B:AE,4,FALSE)))</f>
        <v/>
      </c>
      <c r="O240" s="18" t="s">
        <v>318</v>
      </c>
      <c r="P240" s="31" t="str">
        <f>IF(G240="","",VLOOKUP(F240,'Data Induk Pegawai'!B:AE,7,FALSE))</f>
        <v/>
      </c>
      <c r="Q240" s="30"/>
      <c r="R240" s="26" t="str">
        <f>IF(G240="","","Nomor "&amp;RIGHT(VLOOKUP(F240,'Data Induk Pegawai'!B:AE,12,FALSE),2)&amp;" Tahun "&amp;MID(VLOOKUP(F240,'Data Induk Pegawai'!B:AE,12,FALSE),5,4))</f>
        <v/>
      </c>
      <c r="S240" s="26" t="str">
        <f>IF(G240="","",VLOOKUP(F240,'Data Induk Pegawai'!B:AE,11,FALSE))</f>
        <v/>
      </c>
      <c r="T240" s="56"/>
      <c r="U240" s="18" t="str">
        <f t="shared" si="72"/>
        <v/>
      </c>
      <c r="V240" s="30"/>
      <c r="W240" s="18" t="str">
        <f t="shared" si="73"/>
        <v/>
      </c>
      <c r="X240" s="16"/>
      <c r="Y240" t="str">
        <f t="shared" si="74"/>
        <v/>
      </c>
      <c r="Z240" t="str">
        <f t="shared" si="75"/>
        <v/>
      </c>
      <c r="AA240" t="str">
        <f t="shared" si="76"/>
        <v/>
      </c>
      <c r="AB240" t="str">
        <f>COUNTIFS(AC240:AC$596,AC240)&amp;AC240</f>
        <v>357</v>
      </c>
      <c r="AC240" t="str">
        <f t="shared" si="93"/>
        <v/>
      </c>
      <c r="AD240" t="str">
        <f>COUNTIFS(AC$2:AC240,AC240)&amp;AC240</f>
        <v>239</v>
      </c>
      <c r="AE240" t="str">
        <f t="shared" si="77"/>
        <v/>
      </c>
      <c r="AF240" t="str">
        <f t="shared" si="94"/>
        <v>..</v>
      </c>
      <c r="AG240" s="28" t="str">
        <f t="shared" si="78"/>
        <v/>
      </c>
      <c r="AH240" s="28" t="str">
        <f t="shared" si="79"/>
        <v/>
      </c>
      <c r="AI240" t="str">
        <f t="shared" si="80"/>
        <v/>
      </c>
      <c r="AJ240" t="str">
        <f t="shared" si="81"/>
        <v/>
      </c>
      <c r="AK240" t="str">
        <f t="shared" si="82"/>
        <v/>
      </c>
      <c r="AL240" t="str">
        <f t="shared" si="83"/>
        <v/>
      </c>
      <c r="AM240" t="str">
        <f t="shared" si="84"/>
        <v/>
      </c>
      <c r="AN240" t="str">
        <f t="shared" si="85"/>
        <v/>
      </c>
      <c r="AO240" t="str">
        <f t="shared" si="86"/>
        <v/>
      </c>
      <c r="AP240" t="str">
        <f t="shared" si="87"/>
        <v/>
      </c>
      <c r="AQ240" t="str">
        <f t="shared" si="88"/>
        <v/>
      </c>
      <c r="AR240" t="str">
        <f t="shared" si="89"/>
        <v/>
      </c>
      <c r="AS240" t="str">
        <f t="shared" si="90"/>
        <v/>
      </c>
      <c r="AT240" t="str">
        <f t="shared" si="91"/>
        <v/>
      </c>
      <c r="AU240" s="25" t="str">
        <f t="shared" si="95"/>
        <v/>
      </c>
      <c r="BA240">
        <f>'REGISTER SK'!F243</f>
        <v>0</v>
      </c>
    </row>
    <row r="241" spans="1:53" x14ac:dyDescent="0.35">
      <c r="A241" s="18">
        <v>240</v>
      </c>
      <c r="B241" s="36" t="s">
        <v>379</v>
      </c>
      <c r="C241" s="18" t="str">
        <f>IF(G241="","",IF(G241="Umum",G241,VLOOKUP(F241,'Data Induk Pegawai'!B:AE,4,FALSE)))</f>
        <v/>
      </c>
      <c r="D241" s="19" t="str">
        <f>IF('REGISTER SK'!A244="","",IF('REGISTER SK'!B244=0,D240,'REGISTER SK'!B244))</f>
        <v/>
      </c>
      <c r="E241" s="19" t="str">
        <f t="shared" si="92"/>
        <v/>
      </c>
      <c r="F241" s="29"/>
      <c r="G241" s="29"/>
      <c r="H241" s="31" t="str">
        <f>IF(F241="","",VLOOKUP(F241,'Data Induk Pegawai'!B:U,2,FALSE))</f>
        <v/>
      </c>
      <c r="I241" s="19" t="str">
        <f>IF('REGISTER SK'!C244="","",'REGISTER SK'!C244)</f>
        <v/>
      </c>
      <c r="J241" s="125"/>
      <c r="K241" s="125"/>
      <c r="L241" s="26" t="str">
        <f>IF('REGISTER SK'!D244="","",'REGISTER SK'!D244)</f>
        <v/>
      </c>
      <c r="M241" s="26" t="str">
        <f>IF('REGISTER SK'!E244="","",'REGISTER SK'!E244)</f>
        <v/>
      </c>
      <c r="N241" s="31" t="str">
        <f>IF(G241="","",IF(OR(G241="GTT",G241="PTT"),"--",VLOOKUP(F241,'Data Induk Pegawai'!B:AE,4,FALSE)))</f>
        <v/>
      </c>
      <c r="O241" s="18" t="s">
        <v>290</v>
      </c>
      <c r="P241" s="31" t="str">
        <f>IF(G241="","",VLOOKUP(F241,'Data Induk Pegawai'!B:AE,7,FALSE))</f>
        <v/>
      </c>
      <c r="Q241" s="30"/>
      <c r="R241" s="26" t="str">
        <f>IF(G241="","","Nomor "&amp;RIGHT(VLOOKUP(F241,'Data Induk Pegawai'!B:AE,12,FALSE),2)&amp;" Tahun "&amp;MID(VLOOKUP(F241,'Data Induk Pegawai'!B:AE,12,FALSE),5,4))</f>
        <v/>
      </c>
      <c r="S241" s="26" t="str">
        <f>IF(G241="","",VLOOKUP(F241,'Data Induk Pegawai'!B:AE,11,FALSE))</f>
        <v/>
      </c>
      <c r="T241" s="56"/>
      <c r="U241" s="18" t="str">
        <f t="shared" si="72"/>
        <v/>
      </c>
      <c r="V241" s="30"/>
      <c r="W241" s="18" t="str">
        <f t="shared" si="73"/>
        <v/>
      </c>
      <c r="X241" s="16"/>
      <c r="Y241" t="str">
        <f t="shared" si="74"/>
        <v/>
      </c>
      <c r="Z241" t="str">
        <f t="shared" si="75"/>
        <v/>
      </c>
      <c r="AA241" t="str">
        <f t="shared" si="76"/>
        <v/>
      </c>
      <c r="AB241" t="str">
        <f>COUNTIFS(AC241:AC$596,AC241)&amp;AC241</f>
        <v>356</v>
      </c>
      <c r="AC241" t="str">
        <f t="shared" si="93"/>
        <v/>
      </c>
      <c r="AD241" t="str">
        <f>COUNTIFS(AC$2:AC241,AC241)&amp;AC241</f>
        <v>240</v>
      </c>
      <c r="AE241" t="str">
        <f t="shared" si="77"/>
        <v/>
      </c>
      <c r="AF241" t="str">
        <f t="shared" si="94"/>
        <v>..</v>
      </c>
      <c r="AG241" s="28" t="str">
        <f t="shared" si="78"/>
        <v/>
      </c>
      <c r="AH241" s="28" t="str">
        <f t="shared" si="79"/>
        <v/>
      </c>
      <c r="AI241" t="str">
        <f t="shared" si="80"/>
        <v/>
      </c>
      <c r="AJ241" t="str">
        <f t="shared" si="81"/>
        <v/>
      </c>
      <c r="AK241" t="str">
        <f t="shared" si="82"/>
        <v/>
      </c>
      <c r="AL241" t="str">
        <f t="shared" si="83"/>
        <v/>
      </c>
      <c r="AM241" t="str">
        <f t="shared" si="84"/>
        <v/>
      </c>
      <c r="AN241" t="str">
        <f t="shared" si="85"/>
        <v/>
      </c>
      <c r="AO241" t="str">
        <f t="shared" si="86"/>
        <v/>
      </c>
      <c r="AP241" t="str">
        <f t="shared" si="87"/>
        <v/>
      </c>
      <c r="AQ241" t="str">
        <f t="shared" si="88"/>
        <v/>
      </c>
      <c r="AR241" t="str">
        <f t="shared" si="89"/>
        <v/>
      </c>
      <c r="AS241" t="str">
        <f t="shared" si="90"/>
        <v/>
      </c>
      <c r="AT241" t="str">
        <f t="shared" si="91"/>
        <v/>
      </c>
      <c r="AU241" s="25" t="str">
        <f t="shared" si="95"/>
        <v/>
      </c>
      <c r="BA241">
        <f>'REGISTER SK'!F244</f>
        <v>0</v>
      </c>
    </row>
    <row r="242" spans="1:53" x14ac:dyDescent="0.35">
      <c r="A242" s="18">
        <v>241</v>
      </c>
      <c r="B242" s="36" t="s">
        <v>379</v>
      </c>
      <c r="C242" s="18" t="str">
        <f>IF(G242="","",IF(G242="Umum",G242,VLOOKUP(F242,'Data Induk Pegawai'!B:AE,4,FALSE)))</f>
        <v/>
      </c>
      <c r="D242" s="19" t="str">
        <f>IF('REGISTER SK'!A245="","",IF('REGISTER SK'!B245=0,D241,'REGISTER SK'!B245))</f>
        <v/>
      </c>
      <c r="E242" s="19" t="str">
        <f t="shared" si="92"/>
        <v/>
      </c>
      <c r="F242" s="29"/>
      <c r="G242" s="29"/>
      <c r="H242" s="31" t="str">
        <f>IF(F242="","",VLOOKUP(F242,'Data Induk Pegawai'!B:U,2,FALSE))</f>
        <v/>
      </c>
      <c r="I242" s="19" t="str">
        <f>IF('REGISTER SK'!C245="","",'REGISTER SK'!C245)</f>
        <v/>
      </c>
      <c r="J242" s="125"/>
      <c r="K242" s="125"/>
      <c r="L242" s="26" t="str">
        <f>IF('REGISTER SK'!D245="","",'REGISTER SK'!D245)</f>
        <v/>
      </c>
      <c r="M242" s="26" t="str">
        <f>IF('REGISTER SK'!E245="","",'REGISTER SK'!E245)</f>
        <v/>
      </c>
      <c r="N242" s="31" t="str">
        <f>IF(G242="","",IF(OR(G242="GTT",G242="PTT"),"--",VLOOKUP(F242,'Data Induk Pegawai'!B:AE,4,FALSE)))</f>
        <v/>
      </c>
      <c r="O242" s="18" t="s">
        <v>267</v>
      </c>
      <c r="P242" s="31" t="str">
        <f>IF(G242="","",VLOOKUP(F242,'Data Induk Pegawai'!B:AE,7,FALSE))</f>
        <v/>
      </c>
      <c r="Q242" s="30"/>
      <c r="R242" s="26" t="str">
        <f>IF(G242="","","Nomor "&amp;RIGHT(VLOOKUP(F242,'Data Induk Pegawai'!B:AE,12,FALSE),2)&amp;" Tahun "&amp;MID(VLOOKUP(F242,'Data Induk Pegawai'!B:AE,12,FALSE),5,4))</f>
        <v/>
      </c>
      <c r="S242" s="26" t="str">
        <f>IF(G242="","",VLOOKUP(F242,'Data Induk Pegawai'!B:AE,11,FALSE))</f>
        <v/>
      </c>
      <c r="T242" s="56"/>
      <c r="U242" s="18" t="str">
        <f t="shared" si="72"/>
        <v/>
      </c>
      <c r="V242" s="30"/>
      <c r="W242" s="18" t="str">
        <f t="shared" si="73"/>
        <v/>
      </c>
      <c r="X242" s="16"/>
      <c r="Y242" t="str">
        <f t="shared" si="74"/>
        <v/>
      </c>
      <c r="Z242" t="str">
        <f t="shared" si="75"/>
        <v/>
      </c>
      <c r="AA242" t="str">
        <f t="shared" si="76"/>
        <v/>
      </c>
      <c r="AB242" t="str">
        <f>COUNTIFS(AC242:AC$596,AC242)&amp;AC242</f>
        <v>355</v>
      </c>
      <c r="AC242" t="str">
        <f t="shared" si="93"/>
        <v/>
      </c>
      <c r="AD242" t="str">
        <f>COUNTIFS(AC$2:AC242,AC242)&amp;AC242</f>
        <v>241</v>
      </c>
      <c r="AE242" t="str">
        <f t="shared" si="77"/>
        <v/>
      </c>
      <c r="AF242" t="str">
        <f t="shared" si="94"/>
        <v>..</v>
      </c>
      <c r="AG242" s="28" t="str">
        <f t="shared" si="78"/>
        <v/>
      </c>
      <c r="AH242" s="28" t="str">
        <f t="shared" si="79"/>
        <v/>
      </c>
      <c r="AI242" t="str">
        <f t="shared" si="80"/>
        <v/>
      </c>
      <c r="AJ242" t="str">
        <f t="shared" si="81"/>
        <v/>
      </c>
      <c r="AK242" t="str">
        <f t="shared" si="82"/>
        <v/>
      </c>
      <c r="AL242" t="str">
        <f t="shared" si="83"/>
        <v/>
      </c>
      <c r="AM242" t="str">
        <f t="shared" si="84"/>
        <v/>
      </c>
      <c r="AN242" t="str">
        <f t="shared" si="85"/>
        <v/>
      </c>
      <c r="AO242" t="str">
        <f t="shared" si="86"/>
        <v/>
      </c>
      <c r="AP242" t="str">
        <f t="shared" si="87"/>
        <v/>
      </c>
      <c r="AQ242" t="str">
        <f t="shared" si="88"/>
        <v/>
      </c>
      <c r="AR242" t="str">
        <f t="shared" si="89"/>
        <v/>
      </c>
      <c r="AS242" t="str">
        <f t="shared" si="90"/>
        <v/>
      </c>
      <c r="AT242" t="str">
        <f t="shared" si="91"/>
        <v/>
      </c>
      <c r="AU242" s="25" t="str">
        <f t="shared" si="95"/>
        <v/>
      </c>
      <c r="BA242">
        <f>'REGISTER SK'!F245</f>
        <v>0</v>
      </c>
    </row>
    <row r="243" spans="1:53" x14ac:dyDescent="0.35">
      <c r="A243" s="18">
        <v>242</v>
      </c>
      <c r="B243" s="36" t="s">
        <v>379</v>
      </c>
      <c r="C243" s="18" t="str">
        <f>IF(G243="","",IF(G243="Umum",G243,VLOOKUP(F243,'Data Induk Pegawai'!B:AE,4,FALSE)))</f>
        <v/>
      </c>
      <c r="D243" s="19" t="str">
        <f>IF('REGISTER SK'!A246="","",IF('REGISTER SK'!B246=0,D242,'REGISTER SK'!B246))</f>
        <v/>
      </c>
      <c r="E243" s="19" t="str">
        <f t="shared" si="92"/>
        <v/>
      </c>
      <c r="F243" s="29"/>
      <c r="G243" s="29"/>
      <c r="H243" s="31" t="str">
        <f>IF(F243="","",VLOOKUP(F243,'Data Induk Pegawai'!B:U,2,FALSE))</f>
        <v/>
      </c>
      <c r="I243" s="19" t="str">
        <f>IF('REGISTER SK'!C246="","",'REGISTER SK'!C246)</f>
        <v/>
      </c>
      <c r="J243" s="125"/>
      <c r="K243" s="125"/>
      <c r="L243" s="26" t="str">
        <f>IF('REGISTER SK'!D246="","",'REGISTER SK'!D246)</f>
        <v/>
      </c>
      <c r="M243" s="26" t="str">
        <f>IF('REGISTER SK'!E246="","",'REGISTER SK'!E246)</f>
        <v/>
      </c>
      <c r="N243" s="31" t="str">
        <f>IF(G243="","",IF(OR(G243="GTT",G243="PTT"),"--",VLOOKUP(F243,'Data Induk Pegawai'!B:AE,4,FALSE)))</f>
        <v/>
      </c>
      <c r="O243" s="18" t="s">
        <v>290</v>
      </c>
      <c r="P243" s="31" t="str">
        <f>IF(G243="","",VLOOKUP(F243,'Data Induk Pegawai'!B:AE,7,FALSE))</f>
        <v/>
      </c>
      <c r="Q243" s="30"/>
      <c r="R243" s="26" t="str">
        <f>IF(G243="","","Nomor "&amp;RIGHT(VLOOKUP(F243,'Data Induk Pegawai'!B:AE,12,FALSE),2)&amp;" Tahun "&amp;MID(VLOOKUP(F243,'Data Induk Pegawai'!B:AE,12,FALSE),5,4))</f>
        <v/>
      </c>
      <c r="S243" s="26" t="str">
        <f>IF(G243="","",VLOOKUP(F243,'Data Induk Pegawai'!B:AE,11,FALSE))</f>
        <v/>
      </c>
      <c r="T243" s="56"/>
      <c r="U243" s="18" t="str">
        <f t="shared" si="72"/>
        <v/>
      </c>
      <c r="V243" s="30"/>
      <c r="W243" s="18" t="str">
        <f t="shared" si="73"/>
        <v/>
      </c>
      <c r="X243" s="16"/>
      <c r="Y243" t="str">
        <f t="shared" si="74"/>
        <v/>
      </c>
      <c r="Z243" t="str">
        <f t="shared" si="75"/>
        <v/>
      </c>
      <c r="AA243" t="str">
        <f t="shared" si="76"/>
        <v/>
      </c>
      <c r="AB243" t="str">
        <f>COUNTIFS(AC243:AC$596,AC243)&amp;AC243</f>
        <v>354</v>
      </c>
      <c r="AC243" t="str">
        <f t="shared" si="93"/>
        <v/>
      </c>
      <c r="AD243" t="str">
        <f>COUNTIFS(AC$2:AC243,AC243)&amp;AC243</f>
        <v>242</v>
      </c>
      <c r="AE243" t="str">
        <f t="shared" si="77"/>
        <v/>
      </c>
      <c r="AF243" t="str">
        <f t="shared" si="94"/>
        <v>..</v>
      </c>
      <c r="AG243" s="28" t="str">
        <f t="shared" si="78"/>
        <v/>
      </c>
      <c r="AH243" s="28" t="str">
        <f t="shared" si="79"/>
        <v/>
      </c>
      <c r="AI243" t="str">
        <f t="shared" si="80"/>
        <v/>
      </c>
      <c r="AJ243" t="str">
        <f t="shared" si="81"/>
        <v/>
      </c>
      <c r="AK243" t="str">
        <f t="shared" si="82"/>
        <v/>
      </c>
      <c r="AL243" t="str">
        <f t="shared" si="83"/>
        <v/>
      </c>
      <c r="AM243" t="str">
        <f t="shared" si="84"/>
        <v/>
      </c>
      <c r="AN243" t="str">
        <f t="shared" si="85"/>
        <v/>
      </c>
      <c r="AO243" t="str">
        <f t="shared" si="86"/>
        <v/>
      </c>
      <c r="AP243" t="str">
        <f t="shared" si="87"/>
        <v/>
      </c>
      <c r="AQ243" t="str">
        <f t="shared" si="88"/>
        <v/>
      </c>
      <c r="AR243" t="str">
        <f t="shared" si="89"/>
        <v/>
      </c>
      <c r="AS243" t="str">
        <f t="shared" si="90"/>
        <v/>
      </c>
      <c r="AT243" t="str">
        <f t="shared" si="91"/>
        <v/>
      </c>
      <c r="AU243" s="25" t="str">
        <f t="shared" si="95"/>
        <v/>
      </c>
      <c r="BA243">
        <f>'REGISTER SK'!F246</f>
        <v>0</v>
      </c>
    </row>
    <row r="244" spans="1:53" x14ac:dyDescent="0.35">
      <c r="A244" s="18">
        <v>243</v>
      </c>
      <c r="B244" s="36" t="s">
        <v>379</v>
      </c>
      <c r="C244" s="18" t="str">
        <f>IF(G244="","",IF(G244="Umum",G244,VLOOKUP(F244,'Data Induk Pegawai'!B:AE,4,FALSE)))</f>
        <v/>
      </c>
      <c r="D244" s="19" t="str">
        <f>IF('REGISTER SK'!A247="","",IF('REGISTER SK'!B247=0,D243,'REGISTER SK'!B247))</f>
        <v/>
      </c>
      <c r="E244" s="19" t="str">
        <f t="shared" si="92"/>
        <v/>
      </c>
      <c r="F244" s="29"/>
      <c r="G244" s="29"/>
      <c r="H244" s="31" t="str">
        <f>IF(F244="","",VLOOKUP(F244,'Data Induk Pegawai'!B:U,2,FALSE))</f>
        <v/>
      </c>
      <c r="I244" s="19" t="str">
        <f>IF('REGISTER SK'!C247="","",'REGISTER SK'!C247)</f>
        <v/>
      </c>
      <c r="J244" s="125"/>
      <c r="K244" s="125"/>
      <c r="L244" s="26" t="str">
        <f>IF('REGISTER SK'!D247="","",'REGISTER SK'!D247)</f>
        <v/>
      </c>
      <c r="M244" s="26" t="str">
        <f>IF('REGISTER SK'!E247="","",'REGISTER SK'!E247)</f>
        <v/>
      </c>
      <c r="N244" s="31" t="str">
        <f>IF(G244="","",IF(OR(G244="GTT",G244="PTT"),"--",VLOOKUP(F244,'Data Induk Pegawai'!B:AE,4,FALSE)))</f>
        <v/>
      </c>
      <c r="O244" s="18" t="s">
        <v>257</v>
      </c>
      <c r="P244" s="31" t="str">
        <f>IF(G244="","",VLOOKUP(F244,'Data Induk Pegawai'!B:AE,7,FALSE))</f>
        <v/>
      </c>
      <c r="Q244" s="30"/>
      <c r="R244" s="26" t="str">
        <f>IF(G244="","","Nomor "&amp;RIGHT(VLOOKUP(F244,'Data Induk Pegawai'!B:AE,12,FALSE),2)&amp;" Tahun "&amp;MID(VLOOKUP(F244,'Data Induk Pegawai'!B:AE,12,FALSE),5,4))</f>
        <v/>
      </c>
      <c r="S244" s="26" t="str">
        <f>IF(G244="","",VLOOKUP(F244,'Data Induk Pegawai'!B:AE,11,FALSE))</f>
        <v/>
      </c>
      <c r="T244" s="56"/>
      <c r="U244" s="18" t="str">
        <f t="shared" si="72"/>
        <v/>
      </c>
      <c r="V244" s="30"/>
      <c r="W244" s="18" t="str">
        <f t="shared" si="73"/>
        <v/>
      </c>
      <c r="X244" s="16"/>
      <c r="Y244" t="str">
        <f t="shared" si="74"/>
        <v/>
      </c>
      <c r="Z244" t="str">
        <f t="shared" si="75"/>
        <v/>
      </c>
      <c r="AA244" t="str">
        <f t="shared" si="76"/>
        <v/>
      </c>
      <c r="AB244" t="str">
        <f>COUNTIFS(AC244:AC$596,AC244)&amp;AC244</f>
        <v>353</v>
      </c>
      <c r="AC244" t="str">
        <f t="shared" si="93"/>
        <v/>
      </c>
      <c r="AD244" t="str">
        <f>COUNTIFS(AC$2:AC244,AC244)&amp;AC244</f>
        <v>243</v>
      </c>
      <c r="AE244" t="str">
        <f t="shared" si="77"/>
        <v/>
      </c>
      <c r="AF244" t="str">
        <f t="shared" si="94"/>
        <v>..</v>
      </c>
      <c r="AG244" s="28" t="str">
        <f t="shared" si="78"/>
        <v/>
      </c>
      <c r="AH244" s="28" t="str">
        <f t="shared" si="79"/>
        <v/>
      </c>
      <c r="AI244" t="str">
        <f t="shared" si="80"/>
        <v/>
      </c>
      <c r="AJ244" t="str">
        <f t="shared" si="81"/>
        <v/>
      </c>
      <c r="AK244" t="str">
        <f t="shared" si="82"/>
        <v/>
      </c>
      <c r="AL244" t="str">
        <f t="shared" si="83"/>
        <v/>
      </c>
      <c r="AM244" t="str">
        <f t="shared" si="84"/>
        <v/>
      </c>
      <c r="AN244" t="str">
        <f t="shared" si="85"/>
        <v/>
      </c>
      <c r="AO244" t="str">
        <f t="shared" si="86"/>
        <v/>
      </c>
      <c r="AP244" t="str">
        <f t="shared" si="87"/>
        <v/>
      </c>
      <c r="AQ244" t="str">
        <f t="shared" si="88"/>
        <v/>
      </c>
      <c r="AR244" t="str">
        <f t="shared" si="89"/>
        <v/>
      </c>
      <c r="AS244" t="str">
        <f t="shared" si="90"/>
        <v/>
      </c>
      <c r="AT244" t="str">
        <f t="shared" si="91"/>
        <v/>
      </c>
      <c r="AU244" s="25" t="str">
        <f t="shared" si="95"/>
        <v/>
      </c>
      <c r="BA244">
        <f>'REGISTER SK'!F247</f>
        <v>0</v>
      </c>
    </row>
    <row r="245" spans="1:53" x14ac:dyDescent="0.35">
      <c r="A245" s="18">
        <v>244</v>
      </c>
      <c r="B245" s="36" t="s">
        <v>379</v>
      </c>
      <c r="C245" s="18" t="str">
        <f>IF(G245="","",IF(G245="Umum",G245,VLOOKUP(F245,'Data Induk Pegawai'!B:AE,4,FALSE)))</f>
        <v/>
      </c>
      <c r="D245" s="19" t="str">
        <f>IF('REGISTER SK'!A248="","",IF('REGISTER SK'!B248=0,D244,'REGISTER SK'!B248))</f>
        <v/>
      </c>
      <c r="E245" s="19" t="str">
        <f t="shared" si="92"/>
        <v/>
      </c>
      <c r="F245" s="29"/>
      <c r="G245" s="29"/>
      <c r="H245" s="31" t="str">
        <f>IF(F245="","",VLOOKUP(F245,'Data Induk Pegawai'!B:U,2,FALSE))</f>
        <v/>
      </c>
      <c r="I245" s="19" t="str">
        <f>IF('REGISTER SK'!C248="","",'REGISTER SK'!C248)</f>
        <v/>
      </c>
      <c r="J245" s="125"/>
      <c r="K245" s="125"/>
      <c r="L245" s="26" t="str">
        <f>IF('REGISTER SK'!D248="","",'REGISTER SK'!D248)</f>
        <v/>
      </c>
      <c r="M245" s="26" t="str">
        <f>IF('REGISTER SK'!E248="","",'REGISTER SK'!E248)</f>
        <v/>
      </c>
      <c r="N245" s="31" t="str">
        <f>IF(G245="","",IF(OR(G245="GTT",G245="PTT"),"--",VLOOKUP(F245,'Data Induk Pegawai'!B:AE,4,FALSE)))</f>
        <v/>
      </c>
      <c r="O245" s="18" t="s">
        <v>267</v>
      </c>
      <c r="P245" s="31" t="str">
        <f>IF(G245="","",VLOOKUP(F245,'Data Induk Pegawai'!B:AE,7,FALSE))</f>
        <v/>
      </c>
      <c r="Q245" s="30"/>
      <c r="R245" s="26" t="str">
        <f>IF(G245="","","Nomor "&amp;RIGHT(VLOOKUP(F245,'Data Induk Pegawai'!B:AE,12,FALSE),2)&amp;" Tahun "&amp;MID(VLOOKUP(F245,'Data Induk Pegawai'!B:AE,12,FALSE),5,4))</f>
        <v/>
      </c>
      <c r="S245" s="26" t="str">
        <f>IF(G245="","",VLOOKUP(F245,'Data Induk Pegawai'!B:AE,11,FALSE))</f>
        <v/>
      </c>
      <c r="T245" s="56"/>
      <c r="U245" s="18" t="str">
        <f t="shared" si="72"/>
        <v/>
      </c>
      <c r="V245" s="30"/>
      <c r="W245" s="18" t="str">
        <f t="shared" si="73"/>
        <v/>
      </c>
      <c r="X245" s="16"/>
      <c r="Y245" t="str">
        <f t="shared" si="74"/>
        <v/>
      </c>
      <c r="Z245" t="str">
        <f t="shared" si="75"/>
        <v/>
      </c>
      <c r="AA245" t="str">
        <f t="shared" si="76"/>
        <v/>
      </c>
      <c r="AB245" t="str">
        <f>COUNTIFS(AC245:AC$596,AC245)&amp;AC245</f>
        <v>352</v>
      </c>
      <c r="AC245" t="str">
        <f t="shared" si="93"/>
        <v/>
      </c>
      <c r="AD245" t="str">
        <f>COUNTIFS(AC$2:AC245,AC245)&amp;AC245</f>
        <v>244</v>
      </c>
      <c r="AE245" t="str">
        <f t="shared" si="77"/>
        <v/>
      </c>
      <c r="AF245" t="str">
        <f t="shared" si="94"/>
        <v>..</v>
      </c>
      <c r="AG245" s="28" t="str">
        <f t="shared" si="78"/>
        <v/>
      </c>
      <c r="AH245" s="28" t="str">
        <f t="shared" si="79"/>
        <v/>
      </c>
      <c r="AI245" t="str">
        <f t="shared" si="80"/>
        <v/>
      </c>
      <c r="AJ245" t="str">
        <f t="shared" si="81"/>
        <v/>
      </c>
      <c r="AK245" t="str">
        <f t="shared" si="82"/>
        <v/>
      </c>
      <c r="AL245" t="str">
        <f t="shared" si="83"/>
        <v/>
      </c>
      <c r="AM245" t="str">
        <f t="shared" si="84"/>
        <v/>
      </c>
      <c r="AN245" t="str">
        <f t="shared" si="85"/>
        <v/>
      </c>
      <c r="AO245" t="str">
        <f t="shared" si="86"/>
        <v/>
      </c>
      <c r="AP245" t="str">
        <f t="shared" si="87"/>
        <v/>
      </c>
      <c r="AQ245" t="str">
        <f t="shared" si="88"/>
        <v/>
      </c>
      <c r="AR245" t="str">
        <f t="shared" si="89"/>
        <v/>
      </c>
      <c r="AS245" t="str">
        <f t="shared" si="90"/>
        <v/>
      </c>
      <c r="AT245" t="str">
        <f t="shared" si="91"/>
        <v/>
      </c>
      <c r="AU245" s="25" t="str">
        <f t="shared" si="95"/>
        <v/>
      </c>
      <c r="BA245">
        <f>'REGISTER SK'!F248</f>
        <v>0</v>
      </c>
    </row>
    <row r="246" spans="1:53" x14ac:dyDescent="0.35">
      <c r="A246" s="18">
        <v>245</v>
      </c>
      <c r="B246" s="36" t="s">
        <v>379</v>
      </c>
      <c r="C246" s="18" t="str">
        <f>IF(G246="","",IF(G246="Umum",G246,VLOOKUP(F246,'Data Induk Pegawai'!B:AE,4,FALSE)))</f>
        <v/>
      </c>
      <c r="D246" s="19" t="str">
        <f>IF('REGISTER SK'!A249="","",IF('REGISTER SK'!B249=0,D245,'REGISTER SK'!B249))</f>
        <v/>
      </c>
      <c r="E246" s="19" t="str">
        <f t="shared" si="92"/>
        <v/>
      </c>
      <c r="F246" s="29"/>
      <c r="G246" s="29"/>
      <c r="H246" s="31" t="str">
        <f>IF(F246="","",VLOOKUP(F246,'Data Induk Pegawai'!B:U,2,FALSE))</f>
        <v/>
      </c>
      <c r="I246" s="19" t="str">
        <f>IF('REGISTER SK'!C249="","",'REGISTER SK'!C249)</f>
        <v/>
      </c>
      <c r="J246" s="125"/>
      <c r="K246" s="125"/>
      <c r="L246" s="26" t="str">
        <f>IF('REGISTER SK'!D249="","",'REGISTER SK'!D249)</f>
        <v/>
      </c>
      <c r="M246" s="26" t="str">
        <f>IF('REGISTER SK'!E249="","",'REGISTER SK'!E249)</f>
        <v/>
      </c>
      <c r="N246" s="31" t="str">
        <f>IF(G246="","",IF(OR(G246="GTT",G246="PTT"),"--",VLOOKUP(F246,'Data Induk Pegawai'!B:AE,4,FALSE)))</f>
        <v/>
      </c>
      <c r="O246" s="18" t="s">
        <v>275</v>
      </c>
      <c r="P246" s="31" t="str">
        <f>IF(G246="","",VLOOKUP(F246,'Data Induk Pegawai'!B:AE,7,FALSE))</f>
        <v/>
      </c>
      <c r="Q246" s="30"/>
      <c r="R246" s="26" t="str">
        <f>IF(G246="","","Nomor "&amp;RIGHT(VLOOKUP(F246,'Data Induk Pegawai'!B:AE,12,FALSE),2)&amp;" Tahun "&amp;MID(VLOOKUP(F246,'Data Induk Pegawai'!B:AE,12,FALSE),5,4))</f>
        <v/>
      </c>
      <c r="S246" s="26" t="str">
        <f>IF(G246="","",VLOOKUP(F246,'Data Induk Pegawai'!B:AE,11,FALSE))</f>
        <v/>
      </c>
      <c r="T246" s="56"/>
      <c r="U246" s="18" t="str">
        <f t="shared" si="72"/>
        <v/>
      </c>
      <c r="V246" s="30"/>
      <c r="W246" s="18" t="str">
        <f t="shared" si="73"/>
        <v/>
      </c>
      <c r="X246" s="16"/>
      <c r="Y246" t="str">
        <f t="shared" si="74"/>
        <v/>
      </c>
      <c r="Z246" t="str">
        <f t="shared" si="75"/>
        <v/>
      </c>
      <c r="AA246" t="str">
        <f t="shared" si="76"/>
        <v/>
      </c>
      <c r="AB246" t="str">
        <f>COUNTIFS(AC246:AC$596,AC246)&amp;AC246</f>
        <v>351</v>
      </c>
      <c r="AC246" t="str">
        <f t="shared" si="93"/>
        <v/>
      </c>
      <c r="AD246" t="str">
        <f>COUNTIFS(AC$2:AC246,AC246)&amp;AC246</f>
        <v>245</v>
      </c>
      <c r="AE246" t="str">
        <f t="shared" si="77"/>
        <v/>
      </c>
      <c r="AF246" t="str">
        <f t="shared" si="94"/>
        <v>..</v>
      </c>
      <c r="AG246" s="28" t="str">
        <f t="shared" si="78"/>
        <v/>
      </c>
      <c r="AH246" s="28" t="str">
        <f t="shared" si="79"/>
        <v/>
      </c>
      <c r="AI246" t="str">
        <f t="shared" si="80"/>
        <v/>
      </c>
      <c r="AJ246" t="str">
        <f t="shared" si="81"/>
        <v/>
      </c>
      <c r="AK246" t="str">
        <f t="shared" si="82"/>
        <v/>
      </c>
      <c r="AL246" t="str">
        <f t="shared" si="83"/>
        <v/>
      </c>
      <c r="AM246" t="str">
        <f t="shared" si="84"/>
        <v/>
      </c>
      <c r="AN246" t="str">
        <f t="shared" si="85"/>
        <v/>
      </c>
      <c r="AO246" t="str">
        <f t="shared" si="86"/>
        <v/>
      </c>
      <c r="AP246" t="str">
        <f t="shared" si="87"/>
        <v/>
      </c>
      <c r="AQ246" t="str">
        <f t="shared" si="88"/>
        <v/>
      </c>
      <c r="AR246" t="str">
        <f t="shared" si="89"/>
        <v/>
      </c>
      <c r="AS246" t="str">
        <f t="shared" si="90"/>
        <v/>
      </c>
      <c r="AT246" t="str">
        <f t="shared" si="91"/>
        <v/>
      </c>
      <c r="AU246" s="25" t="str">
        <f t="shared" si="95"/>
        <v/>
      </c>
      <c r="BA246">
        <f>'REGISTER SK'!F249</f>
        <v>0</v>
      </c>
    </row>
    <row r="247" spans="1:53" x14ac:dyDescent="0.35">
      <c r="A247" s="18">
        <v>246</v>
      </c>
      <c r="B247" s="36" t="s">
        <v>379</v>
      </c>
      <c r="C247" s="18" t="str">
        <f>IF(G247="","",IF(G247="Umum",G247,VLOOKUP(F247,'Data Induk Pegawai'!B:AE,4,FALSE)))</f>
        <v/>
      </c>
      <c r="D247" s="19" t="str">
        <f>IF('REGISTER SK'!A250="","",IF('REGISTER SK'!B250=0,D246,'REGISTER SK'!B250))</f>
        <v/>
      </c>
      <c r="E247" s="19" t="str">
        <f t="shared" si="92"/>
        <v/>
      </c>
      <c r="F247" s="29"/>
      <c r="G247" s="29"/>
      <c r="H247" s="31" t="str">
        <f>IF(F247="","",VLOOKUP(F247,'Data Induk Pegawai'!B:U,2,FALSE))</f>
        <v/>
      </c>
      <c r="I247" s="19" t="str">
        <f>IF('REGISTER SK'!C250="","",'REGISTER SK'!C250)</f>
        <v/>
      </c>
      <c r="J247" s="125"/>
      <c r="K247" s="125"/>
      <c r="L247" s="26" t="str">
        <f>IF('REGISTER SK'!D250="","",'REGISTER SK'!D250)</f>
        <v/>
      </c>
      <c r="M247" s="26" t="str">
        <f>IF('REGISTER SK'!E250="","",'REGISTER SK'!E250)</f>
        <v/>
      </c>
      <c r="N247" s="31" t="str">
        <f>IF(G247="","",IF(OR(G247="GTT",G247="PTT"),"--",VLOOKUP(F247,'Data Induk Pegawai'!B:AE,4,FALSE)))</f>
        <v/>
      </c>
      <c r="O247" s="18" t="s">
        <v>264</v>
      </c>
      <c r="P247" s="31" t="str">
        <f>IF(G247="","",VLOOKUP(F247,'Data Induk Pegawai'!B:AE,7,FALSE))</f>
        <v/>
      </c>
      <c r="Q247" s="30"/>
      <c r="R247" s="26" t="str">
        <f>IF(G247="","","Nomor "&amp;RIGHT(VLOOKUP(F247,'Data Induk Pegawai'!B:AE,12,FALSE),2)&amp;" Tahun "&amp;MID(VLOOKUP(F247,'Data Induk Pegawai'!B:AE,12,FALSE),5,4))</f>
        <v/>
      </c>
      <c r="S247" s="26" t="str">
        <f>IF(G247="","",VLOOKUP(F247,'Data Induk Pegawai'!B:AE,11,FALSE))</f>
        <v/>
      </c>
      <c r="T247" s="56"/>
      <c r="U247" s="18" t="str">
        <f t="shared" si="72"/>
        <v/>
      </c>
      <c r="V247" s="30"/>
      <c r="W247" s="18" t="str">
        <f t="shared" si="73"/>
        <v/>
      </c>
      <c r="X247" s="16"/>
      <c r="Y247" t="str">
        <f t="shared" si="74"/>
        <v/>
      </c>
      <c r="Z247" t="str">
        <f t="shared" si="75"/>
        <v/>
      </c>
      <c r="AA247" t="str">
        <f t="shared" si="76"/>
        <v/>
      </c>
      <c r="AB247" t="str">
        <f>COUNTIFS(AC247:AC$596,AC247)&amp;AC247</f>
        <v>350</v>
      </c>
      <c r="AC247" t="str">
        <f t="shared" si="93"/>
        <v/>
      </c>
      <c r="AD247" t="str">
        <f>COUNTIFS(AC$2:AC247,AC247)&amp;AC247</f>
        <v>246</v>
      </c>
      <c r="AE247" t="str">
        <f t="shared" si="77"/>
        <v/>
      </c>
      <c r="AF247" t="str">
        <f t="shared" si="94"/>
        <v>..</v>
      </c>
      <c r="AG247" s="28" t="str">
        <f t="shared" si="78"/>
        <v/>
      </c>
      <c r="AH247" s="28" t="str">
        <f t="shared" si="79"/>
        <v/>
      </c>
      <c r="AI247" t="str">
        <f t="shared" si="80"/>
        <v/>
      </c>
      <c r="AJ247" t="str">
        <f t="shared" si="81"/>
        <v/>
      </c>
      <c r="AK247" t="str">
        <f t="shared" si="82"/>
        <v/>
      </c>
      <c r="AL247" t="str">
        <f t="shared" si="83"/>
        <v/>
      </c>
      <c r="AM247" t="str">
        <f t="shared" si="84"/>
        <v/>
      </c>
      <c r="AN247" t="str">
        <f t="shared" si="85"/>
        <v/>
      </c>
      <c r="AO247" t="str">
        <f t="shared" si="86"/>
        <v/>
      </c>
      <c r="AP247" t="str">
        <f t="shared" si="87"/>
        <v/>
      </c>
      <c r="AQ247" t="str">
        <f t="shared" si="88"/>
        <v/>
      </c>
      <c r="AR247" t="str">
        <f t="shared" si="89"/>
        <v/>
      </c>
      <c r="AS247" t="str">
        <f t="shared" si="90"/>
        <v/>
      </c>
      <c r="AT247" t="str">
        <f t="shared" si="91"/>
        <v/>
      </c>
      <c r="AU247" s="25" t="str">
        <f t="shared" si="95"/>
        <v/>
      </c>
      <c r="BA247">
        <f>'REGISTER SK'!F250</f>
        <v>0</v>
      </c>
    </row>
    <row r="248" spans="1:53" x14ac:dyDescent="0.35">
      <c r="A248" s="18">
        <v>247</v>
      </c>
      <c r="B248" s="36" t="s">
        <v>379</v>
      </c>
      <c r="C248" s="18" t="str">
        <f>IF(G248="","",IF(G248="Umum",G248,VLOOKUP(F248,'Data Induk Pegawai'!B:AE,4,FALSE)))</f>
        <v/>
      </c>
      <c r="D248" s="19" t="str">
        <f>IF('REGISTER SK'!A251="","",IF('REGISTER SK'!B251=0,D247,'REGISTER SK'!B251))</f>
        <v/>
      </c>
      <c r="E248" s="19" t="str">
        <f t="shared" si="92"/>
        <v/>
      </c>
      <c r="F248" s="29"/>
      <c r="G248" s="29"/>
      <c r="H248" s="31" t="str">
        <f>IF(F248="","",VLOOKUP(F248,'Data Induk Pegawai'!B:U,2,FALSE))</f>
        <v/>
      </c>
      <c r="I248" s="19" t="str">
        <f>IF('REGISTER SK'!C251="","",'REGISTER SK'!C251)</f>
        <v/>
      </c>
      <c r="J248" s="125"/>
      <c r="K248" s="125"/>
      <c r="L248" s="26" t="str">
        <f>IF('REGISTER SK'!D251="","",'REGISTER SK'!D251)</f>
        <v/>
      </c>
      <c r="M248" s="26" t="str">
        <f>IF('REGISTER SK'!E251="","",'REGISTER SK'!E251)</f>
        <v/>
      </c>
      <c r="N248" s="31" t="str">
        <f>IF(G248="","",IF(OR(G248="GTT",G248="PTT"),"--",VLOOKUP(F248,'Data Induk Pegawai'!B:AE,4,FALSE)))</f>
        <v/>
      </c>
      <c r="O248" s="18" t="s">
        <v>271</v>
      </c>
      <c r="P248" s="31" t="str">
        <f>IF(G248="","",VLOOKUP(F248,'Data Induk Pegawai'!B:AE,7,FALSE))</f>
        <v/>
      </c>
      <c r="Q248" s="30"/>
      <c r="R248" s="26" t="str">
        <f>IF(G248="","","Nomor "&amp;RIGHT(VLOOKUP(F248,'Data Induk Pegawai'!B:AE,12,FALSE),2)&amp;" Tahun "&amp;MID(VLOOKUP(F248,'Data Induk Pegawai'!B:AE,12,FALSE),5,4))</f>
        <v/>
      </c>
      <c r="S248" s="26" t="str">
        <f>IF(G248="","",VLOOKUP(F248,'Data Induk Pegawai'!B:AE,11,FALSE))</f>
        <v/>
      </c>
      <c r="T248" s="56"/>
      <c r="U248" s="18" t="str">
        <f t="shared" si="72"/>
        <v/>
      </c>
      <c r="V248" s="30"/>
      <c r="W248" s="18" t="str">
        <f t="shared" si="73"/>
        <v/>
      </c>
      <c r="X248" s="16"/>
      <c r="Y248" t="str">
        <f t="shared" si="74"/>
        <v/>
      </c>
      <c r="Z248" t="str">
        <f t="shared" si="75"/>
        <v/>
      </c>
      <c r="AA248" t="str">
        <f t="shared" si="76"/>
        <v/>
      </c>
      <c r="AB248" t="str">
        <f>COUNTIFS(AC248:AC$596,AC248)&amp;AC248</f>
        <v>349</v>
      </c>
      <c r="AC248" t="str">
        <f t="shared" si="93"/>
        <v/>
      </c>
      <c r="AD248" t="str">
        <f>COUNTIFS(AC$2:AC248,AC248)&amp;AC248</f>
        <v>247</v>
      </c>
      <c r="AE248" t="str">
        <f t="shared" si="77"/>
        <v/>
      </c>
      <c r="AF248" t="str">
        <f t="shared" si="94"/>
        <v>..</v>
      </c>
      <c r="AG248" s="28" t="str">
        <f t="shared" si="78"/>
        <v/>
      </c>
      <c r="AH248" s="28" t="str">
        <f t="shared" si="79"/>
        <v/>
      </c>
      <c r="AI248" t="str">
        <f t="shared" si="80"/>
        <v/>
      </c>
      <c r="AJ248" t="str">
        <f t="shared" si="81"/>
        <v/>
      </c>
      <c r="AK248" t="str">
        <f t="shared" si="82"/>
        <v/>
      </c>
      <c r="AL248" t="str">
        <f t="shared" si="83"/>
        <v/>
      </c>
      <c r="AM248" t="str">
        <f t="shared" si="84"/>
        <v/>
      </c>
      <c r="AN248" t="str">
        <f t="shared" si="85"/>
        <v/>
      </c>
      <c r="AO248" t="str">
        <f t="shared" si="86"/>
        <v/>
      </c>
      <c r="AP248" t="str">
        <f t="shared" si="87"/>
        <v/>
      </c>
      <c r="AQ248" t="str">
        <f t="shared" si="88"/>
        <v/>
      </c>
      <c r="AR248" t="str">
        <f t="shared" si="89"/>
        <v/>
      </c>
      <c r="AS248" t="str">
        <f t="shared" si="90"/>
        <v/>
      </c>
      <c r="AT248" t="str">
        <f t="shared" si="91"/>
        <v/>
      </c>
      <c r="AU248" s="25" t="str">
        <f t="shared" si="95"/>
        <v/>
      </c>
      <c r="BA248">
        <f>'REGISTER SK'!F251</f>
        <v>0</v>
      </c>
    </row>
    <row r="249" spans="1:53" x14ac:dyDescent="0.35">
      <c r="A249" s="18">
        <v>248</v>
      </c>
      <c r="B249" s="36" t="s">
        <v>379</v>
      </c>
      <c r="C249" s="18" t="str">
        <f>IF(G249="","",IF(G249="Umum",G249,VLOOKUP(F249,'Data Induk Pegawai'!B:AE,4,FALSE)))</f>
        <v/>
      </c>
      <c r="D249" s="19" t="str">
        <f>IF('REGISTER SK'!A252="","",IF('REGISTER SK'!B252=0,D248,'REGISTER SK'!B252))</f>
        <v/>
      </c>
      <c r="E249" s="19" t="str">
        <f t="shared" si="92"/>
        <v/>
      </c>
      <c r="F249" s="29"/>
      <c r="G249" s="29"/>
      <c r="H249" s="31" t="str">
        <f>IF(F249="","",VLOOKUP(F249,'Data Induk Pegawai'!B:U,2,FALSE))</f>
        <v/>
      </c>
      <c r="I249" s="19" t="str">
        <f>IF('REGISTER SK'!C252="","",'REGISTER SK'!C252)</f>
        <v/>
      </c>
      <c r="J249" s="125"/>
      <c r="K249" s="125"/>
      <c r="L249" s="26" t="str">
        <f>IF('REGISTER SK'!D252="","",'REGISTER SK'!D252)</f>
        <v/>
      </c>
      <c r="M249" s="26" t="str">
        <f>IF('REGISTER SK'!E252="","",'REGISTER SK'!E252)</f>
        <v/>
      </c>
      <c r="N249" s="31" t="str">
        <f>IF(G249="","",IF(OR(G249="GTT",G249="PTT"),"--",VLOOKUP(F249,'Data Induk Pegawai'!B:AE,4,FALSE)))</f>
        <v/>
      </c>
      <c r="O249" s="18" t="s">
        <v>273</v>
      </c>
      <c r="P249" s="31" t="str">
        <f>IF(G249="","",VLOOKUP(F249,'Data Induk Pegawai'!B:AE,7,FALSE))</f>
        <v/>
      </c>
      <c r="Q249" s="30"/>
      <c r="R249" s="26" t="str">
        <f>IF(G249="","","Nomor "&amp;RIGHT(VLOOKUP(F249,'Data Induk Pegawai'!B:AE,12,FALSE),2)&amp;" Tahun "&amp;MID(VLOOKUP(F249,'Data Induk Pegawai'!B:AE,12,FALSE),5,4))</f>
        <v/>
      </c>
      <c r="S249" s="26" t="str">
        <f>IF(G249="","",VLOOKUP(F249,'Data Induk Pegawai'!B:AE,11,FALSE))</f>
        <v/>
      </c>
      <c r="T249" s="56"/>
      <c r="U249" s="18" t="str">
        <f t="shared" si="72"/>
        <v/>
      </c>
      <c r="V249" s="30"/>
      <c r="W249" s="18" t="str">
        <f t="shared" si="73"/>
        <v/>
      </c>
      <c r="X249" s="16"/>
      <c r="Y249" t="str">
        <f t="shared" si="74"/>
        <v/>
      </c>
      <c r="Z249" t="str">
        <f t="shared" si="75"/>
        <v/>
      </c>
      <c r="AA249" t="str">
        <f t="shared" si="76"/>
        <v/>
      </c>
      <c r="AB249" t="str">
        <f>COUNTIFS(AC249:AC$596,AC249)&amp;AC249</f>
        <v>348</v>
      </c>
      <c r="AC249" t="str">
        <f t="shared" si="93"/>
        <v/>
      </c>
      <c r="AD249" t="str">
        <f>COUNTIFS(AC$2:AC249,AC249)&amp;AC249</f>
        <v>248</v>
      </c>
      <c r="AE249" t="str">
        <f t="shared" si="77"/>
        <v/>
      </c>
      <c r="AF249" t="str">
        <f t="shared" si="94"/>
        <v>..</v>
      </c>
      <c r="AG249" s="28" t="str">
        <f t="shared" si="78"/>
        <v/>
      </c>
      <c r="AH249" s="28" t="str">
        <f t="shared" si="79"/>
        <v/>
      </c>
      <c r="AI249" t="str">
        <f t="shared" si="80"/>
        <v/>
      </c>
      <c r="AJ249" t="str">
        <f t="shared" si="81"/>
        <v/>
      </c>
      <c r="AK249" t="str">
        <f t="shared" si="82"/>
        <v/>
      </c>
      <c r="AL249" t="str">
        <f t="shared" si="83"/>
        <v/>
      </c>
      <c r="AM249" t="str">
        <f t="shared" si="84"/>
        <v/>
      </c>
      <c r="AN249" t="str">
        <f t="shared" si="85"/>
        <v/>
      </c>
      <c r="AO249" t="str">
        <f t="shared" si="86"/>
        <v/>
      </c>
      <c r="AP249" t="str">
        <f t="shared" si="87"/>
        <v/>
      </c>
      <c r="AQ249" t="str">
        <f t="shared" si="88"/>
        <v/>
      </c>
      <c r="AR249" t="str">
        <f t="shared" si="89"/>
        <v/>
      </c>
      <c r="AS249" t="str">
        <f t="shared" si="90"/>
        <v/>
      </c>
      <c r="AT249" t="str">
        <f t="shared" si="91"/>
        <v/>
      </c>
      <c r="AU249" s="25" t="str">
        <f t="shared" si="95"/>
        <v/>
      </c>
      <c r="BA249">
        <f>'REGISTER SK'!F252</f>
        <v>0</v>
      </c>
    </row>
    <row r="250" spans="1:53" x14ac:dyDescent="0.35">
      <c r="A250" s="18">
        <v>249</v>
      </c>
      <c r="B250" s="36" t="s">
        <v>379</v>
      </c>
      <c r="C250" s="18" t="str">
        <f>IF(G250="","",IF(G250="Umum",G250,VLOOKUP(F250,'Data Induk Pegawai'!B:AE,4,FALSE)))</f>
        <v/>
      </c>
      <c r="D250" s="19" t="str">
        <f>IF('REGISTER SK'!A253="","",IF('REGISTER SK'!B253=0,D249,'REGISTER SK'!B253))</f>
        <v/>
      </c>
      <c r="E250" s="19" t="str">
        <f t="shared" si="92"/>
        <v/>
      </c>
      <c r="F250" s="29"/>
      <c r="G250" s="29"/>
      <c r="H250" s="31" t="str">
        <f>IF(F250="","",VLOOKUP(F250,'Data Induk Pegawai'!B:U,2,FALSE))</f>
        <v/>
      </c>
      <c r="I250" s="19" t="str">
        <f>IF('REGISTER SK'!C253="","",'REGISTER SK'!C253)</f>
        <v/>
      </c>
      <c r="J250" s="125"/>
      <c r="K250" s="125"/>
      <c r="L250" s="26" t="str">
        <f>IF('REGISTER SK'!D253="","",'REGISTER SK'!D253)</f>
        <v/>
      </c>
      <c r="M250" s="26" t="str">
        <f>IF('REGISTER SK'!E253="","",'REGISTER SK'!E253)</f>
        <v/>
      </c>
      <c r="N250" s="31" t="str">
        <f>IF(G250="","",IF(OR(G250="GTT",G250="PTT"),"--",VLOOKUP(F250,'Data Induk Pegawai'!B:AE,4,FALSE)))</f>
        <v/>
      </c>
      <c r="O250" s="18" t="s">
        <v>500</v>
      </c>
      <c r="P250" s="31" t="str">
        <f>IF(G250="","",VLOOKUP(F250,'Data Induk Pegawai'!B:AE,7,FALSE))</f>
        <v/>
      </c>
      <c r="Q250" s="30"/>
      <c r="R250" s="26" t="str">
        <f>IF(G250="","","Nomor "&amp;RIGHT(VLOOKUP(F250,'Data Induk Pegawai'!B:AE,12,FALSE),2)&amp;" Tahun "&amp;MID(VLOOKUP(F250,'Data Induk Pegawai'!B:AE,12,FALSE),5,4))</f>
        <v/>
      </c>
      <c r="S250" s="26" t="str">
        <f>IF(G250="","",VLOOKUP(F250,'Data Induk Pegawai'!B:AE,11,FALSE))</f>
        <v/>
      </c>
      <c r="T250" s="56"/>
      <c r="U250" s="18" t="str">
        <f t="shared" si="72"/>
        <v/>
      </c>
      <c r="V250" s="30"/>
      <c r="W250" s="18" t="str">
        <f t="shared" si="73"/>
        <v/>
      </c>
      <c r="X250" s="16"/>
      <c r="Y250" t="str">
        <f t="shared" si="74"/>
        <v/>
      </c>
      <c r="Z250" t="str">
        <f t="shared" si="75"/>
        <v/>
      </c>
      <c r="AA250" t="str">
        <f t="shared" si="76"/>
        <v/>
      </c>
      <c r="AB250" t="str">
        <f>COUNTIFS(AC250:AC$596,AC250)&amp;AC250</f>
        <v>347</v>
      </c>
      <c r="AC250" t="str">
        <f t="shared" si="93"/>
        <v/>
      </c>
      <c r="AD250" t="str">
        <f>COUNTIFS(AC$2:AC250,AC250)&amp;AC250</f>
        <v>249</v>
      </c>
      <c r="AE250" t="str">
        <f t="shared" si="77"/>
        <v/>
      </c>
      <c r="AF250" t="str">
        <f t="shared" si="94"/>
        <v>..</v>
      </c>
      <c r="AG250" s="28" t="str">
        <f t="shared" si="78"/>
        <v/>
      </c>
      <c r="AH250" s="28" t="str">
        <f t="shared" si="79"/>
        <v/>
      </c>
      <c r="AI250" t="str">
        <f t="shared" si="80"/>
        <v/>
      </c>
      <c r="AJ250" t="str">
        <f t="shared" si="81"/>
        <v/>
      </c>
      <c r="AK250" t="str">
        <f t="shared" si="82"/>
        <v/>
      </c>
      <c r="AL250" t="str">
        <f t="shared" si="83"/>
        <v/>
      </c>
      <c r="AM250" t="str">
        <f t="shared" si="84"/>
        <v/>
      </c>
      <c r="AN250" t="str">
        <f t="shared" si="85"/>
        <v/>
      </c>
      <c r="AO250" t="str">
        <f t="shared" si="86"/>
        <v/>
      </c>
      <c r="AP250" t="str">
        <f t="shared" si="87"/>
        <v/>
      </c>
      <c r="AQ250" t="str">
        <f t="shared" si="88"/>
        <v/>
      </c>
      <c r="AR250" t="str">
        <f t="shared" si="89"/>
        <v/>
      </c>
      <c r="AS250" t="str">
        <f t="shared" si="90"/>
        <v/>
      </c>
      <c r="AT250" t="str">
        <f t="shared" si="91"/>
        <v/>
      </c>
      <c r="AU250" s="25" t="str">
        <f t="shared" si="95"/>
        <v/>
      </c>
      <c r="BA250">
        <f>'REGISTER SK'!F253</f>
        <v>0</v>
      </c>
    </row>
    <row r="251" spans="1:53" x14ac:dyDescent="0.35">
      <c r="A251" s="18">
        <v>250</v>
      </c>
      <c r="B251" s="36" t="s">
        <v>379</v>
      </c>
      <c r="C251" s="18" t="str">
        <f>IF(G251="","",IF(G251="Umum",G251,VLOOKUP(F251,'Data Induk Pegawai'!B:AE,4,FALSE)))</f>
        <v/>
      </c>
      <c r="D251" s="19" t="str">
        <f>IF('REGISTER SK'!A254="","",IF('REGISTER SK'!B254=0,D250,'REGISTER SK'!B254))</f>
        <v/>
      </c>
      <c r="E251" s="19" t="str">
        <f t="shared" si="92"/>
        <v/>
      </c>
      <c r="F251" s="29"/>
      <c r="G251" s="29"/>
      <c r="H251" s="31" t="str">
        <f>IF(F251="","",VLOOKUP(F251,'Data Induk Pegawai'!B:U,2,FALSE))</f>
        <v/>
      </c>
      <c r="I251" s="19" t="str">
        <f>IF('REGISTER SK'!C254="","",'REGISTER SK'!C254)</f>
        <v/>
      </c>
      <c r="J251" s="125"/>
      <c r="K251" s="125"/>
      <c r="L251" s="26" t="str">
        <f>IF('REGISTER SK'!D254="","",'REGISTER SK'!D254)</f>
        <v/>
      </c>
      <c r="M251" s="26" t="str">
        <f>IF('REGISTER SK'!E254="","",'REGISTER SK'!E254)</f>
        <v/>
      </c>
      <c r="N251" s="31" t="str">
        <f>IF(G251="","",IF(OR(G251="GTT",G251="PTT"),"--",VLOOKUP(F251,'Data Induk Pegawai'!B:AE,4,FALSE)))</f>
        <v/>
      </c>
      <c r="O251" s="18" t="s">
        <v>277</v>
      </c>
      <c r="P251" s="31" t="str">
        <f>IF(G251="","",VLOOKUP(F251,'Data Induk Pegawai'!B:AE,7,FALSE))</f>
        <v/>
      </c>
      <c r="Q251" s="30"/>
      <c r="R251" s="26" t="str">
        <f>IF(G251="","","Nomor "&amp;RIGHT(VLOOKUP(F251,'Data Induk Pegawai'!B:AE,12,FALSE),2)&amp;" Tahun "&amp;MID(VLOOKUP(F251,'Data Induk Pegawai'!B:AE,12,FALSE),5,4))</f>
        <v/>
      </c>
      <c r="S251" s="26" t="str">
        <f>IF(G251="","",VLOOKUP(F251,'Data Induk Pegawai'!B:AE,11,FALSE))</f>
        <v/>
      </c>
      <c r="T251" s="56"/>
      <c r="U251" s="18" t="str">
        <f t="shared" si="72"/>
        <v/>
      </c>
      <c r="V251" s="30"/>
      <c r="W251" s="18" t="str">
        <f t="shared" si="73"/>
        <v/>
      </c>
      <c r="X251" s="16"/>
      <c r="Y251" t="str">
        <f t="shared" si="74"/>
        <v/>
      </c>
      <c r="Z251" t="str">
        <f t="shared" si="75"/>
        <v/>
      </c>
      <c r="AA251" t="str">
        <f t="shared" si="76"/>
        <v/>
      </c>
      <c r="AB251" t="str">
        <f>COUNTIFS(AC251:AC$596,AC251)&amp;AC251</f>
        <v>346</v>
      </c>
      <c r="AC251" t="str">
        <f t="shared" si="93"/>
        <v/>
      </c>
      <c r="AD251" t="str">
        <f>COUNTIFS(AC$2:AC251,AC251)&amp;AC251</f>
        <v>250</v>
      </c>
      <c r="AE251" t="str">
        <f t="shared" si="77"/>
        <v/>
      </c>
      <c r="AF251" t="str">
        <f t="shared" si="94"/>
        <v>..</v>
      </c>
      <c r="AG251" s="28" t="str">
        <f t="shared" si="78"/>
        <v/>
      </c>
      <c r="AH251" s="28" t="str">
        <f t="shared" si="79"/>
        <v/>
      </c>
      <c r="AI251" t="str">
        <f t="shared" si="80"/>
        <v/>
      </c>
      <c r="AJ251" t="str">
        <f t="shared" si="81"/>
        <v/>
      </c>
      <c r="AK251" t="str">
        <f t="shared" si="82"/>
        <v/>
      </c>
      <c r="AL251" t="str">
        <f t="shared" si="83"/>
        <v/>
      </c>
      <c r="AM251" t="str">
        <f t="shared" si="84"/>
        <v/>
      </c>
      <c r="AN251" t="str">
        <f t="shared" si="85"/>
        <v/>
      </c>
      <c r="AO251" t="str">
        <f t="shared" si="86"/>
        <v/>
      </c>
      <c r="AP251" t="str">
        <f t="shared" si="87"/>
        <v/>
      </c>
      <c r="AQ251" t="str">
        <f t="shared" si="88"/>
        <v/>
      </c>
      <c r="AR251" t="str">
        <f t="shared" si="89"/>
        <v/>
      </c>
      <c r="AS251" t="str">
        <f t="shared" si="90"/>
        <v/>
      </c>
      <c r="AT251" t="str">
        <f t="shared" si="91"/>
        <v/>
      </c>
      <c r="AU251" s="25" t="str">
        <f t="shared" si="95"/>
        <v/>
      </c>
      <c r="BA251">
        <f>'REGISTER SK'!F254</f>
        <v>0</v>
      </c>
    </row>
    <row r="252" spans="1:53" x14ac:dyDescent="0.35">
      <c r="A252" s="18">
        <v>251</v>
      </c>
      <c r="B252" s="36" t="s">
        <v>379</v>
      </c>
      <c r="C252" s="18" t="str">
        <f>IF(G252="","",IF(G252="Umum",G252,VLOOKUP(F252,'Data Induk Pegawai'!B:AE,4,FALSE)))</f>
        <v/>
      </c>
      <c r="D252" s="19" t="str">
        <f>IF('REGISTER SK'!A255="","",IF('REGISTER SK'!B255=0,D251,'REGISTER SK'!B255))</f>
        <v/>
      </c>
      <c r="E252" s="19" t="str">
        <f t="shared" si="92"/>
        <v/>
      </c>
      <c r="F252" s="29"/>
      <c r="G252" s="29"/>
      <c r="H252" s="31" t="str">
        <f>IF(F252="","",VLOOKUP(F252,'Data Induk Pegawai'!B:U,2,FALSE))</f>
        <v/>
      </c>
      <c r="I252" s="19" t="str">
        <f>IF('REGISTER SK'!C255="","",'REGISTER SK'!C255)</f>
        <v/>
      </c>
      <c r="J252" s="125"/>
      <c r="K252" s="125"/>
      <c r="L252" s="26" t="str">
        <f>IF('REGISTER SK'!D255="","",'REGISTER SK'!D255)</f>
        <v/>
      </c>
      <c r="M252" s="26" t="str">
        <f>IF('REGISTER SK'!E255="","",'REGISTER SK'!E255)</f>
        <v/>
      </c>
      <c r="N252" s="31" t="str">
        <f>IF(G252="","",IF(OR(G252="GTT",G252="PTT"),"--",VLOOKUP(F252,'Data Induk Pegawai'!B:AE,4,FALSE)))</f>
        <v/>
      </c>
      <c r="O252" s="18" t="s">
        <v>284</v>
      </c>
      <c r="P252" s="31" t="str">
        <f>IF(G252="","",VLOOKUP(F252,'Data Induk Pegawai'!B:AE,7,FALSE))</f>
        <v/>
      </c>
      <c r="Q252" s="30"/>
      <c r="R252" s="26" t="str">
        <f>IF(G252="","","Nomor "&amp;RIGHT(VLOOKUP(F252,'Data Induk Pegawai'!B:AE,12,FALSE),2)&amp;" Tahun "&amp;MID(VLOOKUP(F252,'Data Induk Pegawai'!B:AE,12,FALSE),5,4))</f>
        <v/>
      </c>
      <c r="S252" s="26" t="str">
        <f>IF(G252="","",VLOOKUP(F252,'Data Induk Pegawai'!B:AE,11,FALSE))</f>
        <v/>
      </c>
      <c r="T252" s="56"/>
      <c r="U252" s="18" t="str">
        <f t="shared" si="72"/>
        <v/>
      </c>
      <c r="V252" s="30"/>
      <c r="W252" s="18" t="str">
        <f t="shared" si="73"/>
        <v/>
      </c>
      <c r="X252" s="16"/>
      <c r="Y252" t="str">
        <f t="shared" si="74"/>
        <v/>
      </c>
      <c r="Z252" t="str">
        <f t="shared" si="75"/>
        <v/>
      </c>
      <c r="AA252" t="str">
        <f t="shared" si="76"/>
        <v/>
      </c>
      <c r="AB252" t="str">
        <f>COUNTIFS(AC252:AC$596,AC252)&amp;AC252</f>
        <v>345</v>
      </c>
      <c r="AC252" t="str">
        <f t="shared" si="93"/>
        <v/>
      </c>
      <c r="AD252" t="str">
        <f>COUNTIFS(AC$2:AC252,AC252)&amp;AC252</f>
        <v>251</v>
      </c>
      <c r="AE252" t="str">
        <f t="shared" si="77"/>
        <v/>
      </c>
      <c r="AF252" t="str">
        <f t="shared" si="94"/>
        <v>..</v>
      </c>
      <c r="AG252" s="28" t="str">
        <f t="shared" si="78"/>
        <v/>
      </c>
      <c r="AH252" s="28" t="str">
        <f t="shared" si="79"/>
        <v/>
      </c>
      <c r="AI252" t="str">
        <f t="shared" si="80"/>
        <v/>
      </c>
      <c r="AJ252" t="str">
        <f t="shared" si="81"/>
        <v/>
      </c>
      <c r="AK252" t="str">
        <f t="shared" si="82"/>
        <v/>
      </c>
      <c r="AL252" t="str">
        <f t="shared" si="83"/>
        <v/>
      </c>
      <c r="AM252" t="str">
        <f t="shared" si="84"/>
        <v/>
      </c>
      <c r="AN252" t="str">
        <f t="shared" si="85"/>
        <v/>
      </c>
      <c r="AO252" t="str">
        <f t="shared" si="86"/>
        <v/>
      </c>
      <c r="AP252" t="str">
        <f t="shared" si="87"/>
        <v/>
      </c>
      <c r="AQ252" t="str">
        <f t="shared" si="88"/>
        <v/>
      </c>
      <c r="AR252" t="str">
        <f t="shared" si="89"/>
        <v/>
      </c>
      <c r="AS252" t="str">
        <f t="shared" si="90"/>
        <v/>
      </c>
      <c r="AT252" t="str">
        <f t="shared" si="91"/>
        <v/>
      </c>
      <c r="AU252" s="25" t="str">
        <f t="shared" si="95"/>
        <v/>
      </c>
      <c r="BA252">
        <f>'REGISTER SK'!F255</f>
        <v>0</v>
      </c>
    </row>
    <row r="253" spans="1:53" x14ac:dyDescent="0.35">
      <c r="A253" s="18">
        <v>252</v>
      </c>
      <c r="B253" s="36" t="s">
        <v>379</v>
      </c>
      <c r="C253" s="18" t="str">
        <f>IF(G253="","",IF(G253="Umum",G253,VLOOKUP(F253,'Data Induk Pegawai'!B:AE,4,FALSE)))</f>
        <v/>
      </c>
      <c r="D253" s="19" t="str">
        <f>IF('REGISTER SK'!A256="","",IF('REGISTER SK'!B256=0,D252,'REGISTER SK'!B256))</f>
        <v/>
      </c>
      <c r="E253" s="19" t="str">
        <f t="shared" si="92"/>
        <v/>
      </c>
      <c r="F253" s="29"/>
      <c r="G253" s="29"/>
      <c r="H253" s="31" t="str">
        <f>IF(F253="","",VLOOKUP(F253,'Data Induk Pegawai'!B:U,2,FALSE))</f>
        <v/>
      </c>
      <c r="I253" s="19" t="str">
        <f>IF('REGISTER SK'!C256="","",'REGISTER SK'!C256)</f>
        <v/>
      </c>
      <c r="J253" s="125"/>
      <c r="K253" s="125"/>
      <c r="L253" s="26" t="str">
        <f>IF('REGISTER SK'!D256="","",'REGISTER SK'!D256)</f>
        <v/>
      </c>
      <c r="M253" s="26" t="str">
        <f>IF('REGISTER SK'!E256="","",'REGISTER SK'!E256)</f>
        <v/>
      </c>
      <c r="N253" s="31" t="str">
        <f>IF(G253="","",IF(OR(G253="GTT",G253="PTT"),"--",VLOOKUP(F253,'Data Induk Pegawai'!B:AE,4,FALSE)))</f>
        <v/>
      </c>
      <c r="O253" s="18" t="s">
        <v>285</v>
      </c>
      <c r="P253" s="31" t="str">
        <f>IF(G253="","",VLOOKUP(F253,'Data Induk Pegawai'!B:AE,7,FALSE))</f>
        <v/>
      </c>
      <c r="Q253" s="30"/>
      <c r="R253" s="26" t="str">
        <f>IF(G253="","","Nomor "&amp;RIGHT(VLOOKUP(F253,'Data Induk Pegawai'!B:AE,12,FALSE),2)&amp;" Tahun "&amp;MID(VLOOKUP(F253,'Data Induk Pegawai'!B:AE,12,FALSE),5,4))</f>
        <v/>
      </c>
      <c r="S253" s="26" t="str">
        <f>IF(G253="","",VLOOKUP(F253,'Data Induk Pegawai'!B:AE,11,FALSE))</f>
        <v/>
      </c>
      <c r="T253" s="56"/>
      <c r="U253" s="18" t="str">
        <f t="shared" si="72"/>
        <v/>
      </c>
      <c r="V253" s="30"/>
      <c r="W253" s="18" t="str">
        <f t="shared" si="73"/>
        <v/>
      </c>
      <c r="X253" s="16"/>
      <c r="Y253" t="str">
        <f t="shared" si="74"/>
        <v/>
      </c>
      <c r="Z253" t="str">
        <f t="shared" si="75"/>
        <v/>
      </c>
      <c r="AA253" t="str">
        <f t="shared" si="76"/>
        <v/>
      </c>
      <c r="AB253" t="str">
        <f>COUNTIFS(AC253:AC$596,AC253)&amp;AC253</f>
        <v>344</v>
      </c>
      <c r="AC253" t="str">
        <f t="shared" si="93"/>
        <v/>
      </c>
      <c r="AD253" t="str">
        <f>COUNTIFS(AC$2:AC253,AC253)&amp;AC253</f>
        <v>252</v>
      </c>
      <c r="AE253" t="str">
        <f t="shared" si="77"/>
        <v/>
      </c>
      <c r="AF253" t="str">
        <f t="shared" si="94"/>
        <v>..</v>
      </c>
      <c r="AG253" s="28" t="str">
        <f t="shared" si="78"/>
        <v/>
      </c>
      <c r="AH253" s="28" t="str">
        <f t="shared" si="79"/>
        <v/>
      </c>
      <c r="AI253" t="str">
        <f t="shared" si="80"/>
        <v/>
      </c>
      <c r="AJ253" t="str">
        <f t="shared" si="81"/>
        <v/>
      </c>
      <c r="AK253" t="str">
        <f t="shared" si="82"/>
        <v/>
      </c>
      <c r="AL253" t="str">
        <f t="shared" si="83"/>
        <v/>
      </c>
      <c r="AM253" t="str">
        <f t="shared" si="84"/>
        <v/>
      </c>
      <c r="AN253" t="str">
        <f t="shared" si="85"/>
        <v/>
      </c>
      <c r="AO253" t="str">
        <f t="shared" si="86"/>
        <v/>
      </c>
      <c r="AP253" t="str">
        <f t="shared" si="87"/>
        <v/>
      </c>
      <c r="AQ253" t="str">
        <f t="shared" si="88"/>
        <v/>
      </c>
      <c r="AR253" t="str">
        <f t="shared" si="89"/>
        <v/>
      </c>
      <c r="AS253" t="str">
        <f t="shared" si="90"/>
        <v/>
      </c>
      <c r="AT253" t="str">
        <f t="shared" si="91"/>
        <v/>
      </c>
      <c r="AU253" s="25" t="str">
        <f t="shared" si="95"/>
        <v/>
      </c>
      <c r="BA253">
        <f>'REGISTER SK'!F256</f>
        <v>0</v>
      </c>
    </row>
    <row r="254" spans="1:53" x14ac:dyDescent="0.35">
      <c r="A254" s="18">
        <v>253</v>
      </c>
      <c r="B254" s="36" t="s">
        <v>379</v>
      </c>
      <c r="C254" s="18" t="str">
        <f>IF(G254="","",IF(G254="Umum",G254,VLOOKUP(F254,'Data Induk Pegawai'!B:AE,4,FALSE)))</f>
        <v/>
      </c>
      <c r="D254" s="19" t="str">
        <f>IF('REGISTER SK'!A257="","",IF('REGISTER SK'!B257=0,D253,'REGISTER SK'!B257))</f>
        <v/>
      </c>
      <c r="E254" s="19" t="str">
        <f t="shared" si="92"/>
        <v/>
      </c>
      <c r="F254" s="29"/>
      <c r="G254" s="29"/>
      <c r="H254" s="31" t="str">
        <f>IF(F254="","",VLOOKUP(F254,'Data Induk Pegawai'!B:U,2,FALSE))</f>
        <v/>
      </c>
      <c r="I254" s="19" t="str">
        <f>IF('REGISTER SK'!C257="","",'REGISTER SK'!C257)</f>
        <v/>
      </c>
      <c r="J254" s="125"/>
      <c r="K254" s="125"/>
      <c r="L254" s="26" t="str">
        <f>IF('REGISTER SK'!D257="","",'REGISTER SK'!D257)</f>
        <v/>
      </c>
      <c r="M254" s="26" t="str">
        <f>IF('REGISTER SK'!E257="","",'REGISTER SK'!E257)</f>
        <v/>
      </c>
      <c r="N254" s="31" t="str">
        <f>IF(G254="","",IF(OR(G254="GTT",G254="PTT"),"--",VLOOKUP(F254,'Data Induk Pegawai'!B:AE,4,FALSE)))</f>
        <v/>
      </c>
      <c r="O254" s="18" t="s">
        <v>286</v>
      </c>
      <c r="P254" s="31" t="str">
        <f>IF(G254="","",VLOOKUP(F254,'Data Induk Pegawai'!B:AE,7,FALSE))</f>
        <v/>
      </c>
      <c r="Q254" s="30"/>
      <c r="R254" s="26" t="str">
        <f>IF(G254="","","Nomor "&amp;RIGHT(VLOOKUP(F254,'Data Induk Pegawai'!B:AE,12,FALSE),2)&amp;" Tahun "&amp;MID(VLOOKUP(F254,'Data Induk Pegawai'!B:AE,12,FALSE),5,4))</f>
        <v/>
      </c>
      <c r="S254" s="26" t="str">
        <f>IF(G254="","",VLOOKUP(F254,'Data Induk Pegawai'!B:AE,11,FALSE))</f>
        <v/>
      </c>
      <c r="T254" s="56"/>
      <c r="U254" s="18" t="str">
        <f t="shared" si="72"/>
        <v/>
      </c>
      <c r="V254" s="30"/>
      <c r="W254" s="18" t="str">
        <f t="shared" si="73"/>
        <v/>
      </c>
      <c r="X254" s="16"/>
      <c r="Y254" t="str">
        <f t="shared" si="74"/>
        <v/>
      </c>
      <c r="Z254" t="str">
        <f t="shared" si="75"/>
        <v/>
      </c>
      <c r="AA254" t="str">
        <f t="shared" si="76"/>
        <v/>
      </c>
      <c r="AB254" t="str">
        <f>COUNTIFS(AC254:AC$596,AC254)&amp;AC254</f>
        <v>343</v>
      </c>
      <c r="AC254" t="str">
        <f t="shared" si="93"/>
        <v/>
      </c>
      <c r="AD254" t="str">
        <f>COUNTIFS(AC$2:AC254,AC254)&amp;AC254</f>
        <v>253</v>
      </c>
      <c r="AE254" t="str">
        <f t="shared" si="77"/>
        <v/>
      </c>
      <c r="AF254" t="str">
        <f t="shared" si="94"/>
        <v>..</v>
      </c>
      <c r="AG254" s="28" t="str">
        <f t="shared" si="78"/>
        <v/>
      </c>
      <c r="AH254" s="28" t="str">
        <f t="shared" si="79"/>
        <v/>
      </c>
      <c r="AI254" t="str">
        <f t="shared" si="80"/>
        <v/>
      </c>
      <c r="AJ254" t="str">
        <f t="shared" si="81"/>
        <v/>
      </c>
      <c r="AK254" t="str">
        <f t="shared" si="82"/>
        <v/>
      </c>
      <c r="AL254" t="str">
        <f t="shared" si="83"/>
        <v/>
      </c>
      <c r="AM254" t="str">
        <f t="shared" si="84"/>
        <v/>
      </c>
      <c r="AN254" t="str">
        <f t="shared" si="85"/>
        <v/>
      </c>
      <c r="AO254" t="str">
        <f t="shared" si="86"/>
        <v/>
      </c>
      <c r="AP254" t="str">
        <f t="shared" si="87"/>
        <v/>
      </c>
      <c r="AQ254" t="str">
        <f t="shared" si="88"/>
        <v/>
      </c>
      <c r="AR254" t="str">
        <f t="shared" si="89"/>
        <v/>
      </c>
      <c r="AS254" t="str">
        <f t="shared" si="90"/>
        <v/>
      </c>
      <c r="AT254" t="str">
        <f t="shared" si="91"/>
        <v/>
      </c>
      <c r="AU254" s="25" t="str">
        <f t="shared" si="95"/>
        <v/>
      </c>
      <c r="BA254">
        <f>'REGISTER SK'!F257</f>
        <v>0</v>
      </c>
    </row>
    <row r="255" spans="1:53" x14ac:dyDescent="0.35">
      <c r="A255" s="18">
        <v>254</v>
      </c>
      <c r="B255" s="36" t="s">
        <v>379</v>
      </c>
      <c r="C255" s="18" t="str">
        <f>IF(G255="","",IF(G255="Umum",G255,VLOOKUP(F255,'Data Induk Pegawai'!B:AE,4,FALSE)))</f>
        <v/>
      </c>
      <c r="D255" s="19" t="str">
        <f>IF('REGISTER SK'!A258="","",IF('REGISTER SK'!B258=0,D254,'REGISTER SK'!B258))</f>
        <v/>
      </c>
      <c r="E255" s="19" t="str">
        <f t="shared" si="92"/>
        <v/>
      </c>
      <c r="F255" s="29"/>
      <c r="G255" s="29"/>
      <c r="H255" s="31" t="str">
        <f>IF(F255="","",VLOOKUP(F255,'Data Induk Pegawai'!B:U,2,FALSE))</f>
        <v/>
      </c>
      <c r="I255" s="19" t="str">
        <f>IF('REGISTER SK'!C258="","",'REGISTER SK'!C258)</f>
        <v/>
      </c>
      <c r="J255" s="125"/>
      <c r="K255" s="125"/>
      <c r="L255" s="26" t="str">
        <f>IF('REGISTER SK'!D258="","",'REGISTER SK'!D258)</f>
        <v/>
      </c>
      <c r="M255" s="26" t="str">
        <f>IF('REGISTER SK'!E258="","",'REGISTER SK'!E258)</f>
        <v/>
      </c>
      <c r="N255" s="31" t="str">
        <f>IF(G255="","",IF(OR(G255="GTT",G255="PTT"),"--",VLOOKUP(F255,'Data Induk Pegawai'!B:AE,4,FALSE)))</f>
        <v/>
      </c>
      <c r="O255" s="18" t="s">
        <v>290</v>
      </c>
      <c r="P255" s="31" t="str">
        <f>IF(G255="","",VLOOKUP(F255,'Data Induk Pegawai'!B:AE,7,FALSE))</f>
        <v/>
      </c>
      <c r="Q255" s="30"/>
      <c r="R255" s="26" t="str">
        <f>IF(G255="","","Nomor "&amp;RIGHT(VLOOKUP(F255,'Data Induk Pegawai'!B:AE,12,FALSE),2)&amp;" Tahun "&amp;MID(VLOOKUP(F255,'Data Induk Pegawai'!B:AE,12,FALSE),5,4))</f>
        <v/>
      </c>
      <c r="S255" s="26" t="str">
        <f>IF(G255="","",VLOOKUP(F255,'Data Induk Pegawai'!B:AE,11,FALSE))</f>
        <v/>
      </c>
      <c r="T255" s="56"/>
      <c r="U255" s="18" t="str">
        <f t="shared" si="72"/>
        <v/>
      </c>
      <c r="V255" s="30"/>
      <c r="W255" s="18" t="str">
        <f t="shared" si="73"/>
        <v/>
      </c>
      <c r="X255" s="16"/>
      <c r="Y255" t="str">
        <f t="shared" si="74"/>
        <v/>
      </c>
      <c r="Z255" t="str">
        <f t="shared" si="75"/>
        <v/>
      </c>
      <c r="AA255" t="str">
        <f t="shared" si="76"/>
        <v/>
      </c>
      <c r="AB255" t="str">
        <f>COUNTIFS(AC255:AC$596,AC255)&amp;AC255</f>
        <v>342</v>
      </c>
      <c r="AC255" t="str">
        <f t="shared" si="93"/>
        <v/>
      </c>
      <c r="AD255" t="str">
        <f>COUNTIFS(AC$2:AC255,AC255)&amp;AC255</f>
        <v>254</v>
      </c>
      <c r="AE255" t="str">
        <f t="shared" si="77"/>
        <v/>
      </c>
      <c r="AF255" t="str">
        <f t="shared" si="94"/>
        <v>..</v>
      </c>
      <c r="AG255" s="28" t="str">
        <f t="shared" si="78"/>
        <v/>
      </c>
      <c r="AH255" s="28" t="str">
        <f t="shared" si="79"/>
        <v/>
      </c>
      <c r="AI255" t="str">
        <f t="shared" si="80"/>
        <v/>
      </c>
      <c r="AJ255" t="str">
        <f t="shared" si="81"/>
        <v/>
      </c>
      <c r="AK255" t="str">
        <f t="shared" si="82"/>
        <v/>
      </c>
      <c r="AL255" t="str">
        <f t="shared" si="83"/>
        <v/>
      </c>
      <c r="AM255" t="str">
        <f t="shared" si="84"/>
        <v/>
      </c>
      <c r="AN255" t="str">
        <f t="shared" si="85"/>
        <v/>
      </c>
      <c r="AO255" t="str">
        <f t="shared" si="86"/>
        <v/>
      </c>
      <c r="AP255" t="str">
        <f t="shared" si="87"/>
        <v/>
      </c>
      <c r="AQ255" t="str">
        <f t="shared" si="88"/>
        <v/>
      </c>
      <c r="AR255" t="str">
        <f t="shared" si="89"/>
        <v/>
      </c>
      <c r="AS255" t="str">
        <f t="shared" si="90"/>
        <v/>
      </c>
      <c r="AT255" t="str">
        <f t="shared" si="91"/>
        <v/>
      </c>
      <c r="AU255" s="25" t="str">
        <f t="shared" si="95"/>
        <v/>
      </c>
      <c r="BA255">
        <f>'REGISTER SK'!F258</f>
        <v>0</v>
      </c>
    </row>
    <row r="256" spans="1:53" x14ac:dyDescent="0.35">
      <c r="A256" s="18">
        <v>255</v>
      </c>
      <c r="B256" s="36" t="s">
        <v>379</v>
      </c>
      <c r="C256" s="18" t="str">
        <f>IF(G256="","",IF(G256="Umum",G256,VLOOKUP(F256,'Data Induk Pegawai'!B:AE,4,FALSE)))</f>
        <v/>
      </c>
      <c r="D256" s="19" t="str">
        <f>IF('REGISTER SK'!A259="","",IF('REGISTER SK'!B259=0,D255,'REGISTER SK'!B259))</f>
        <v/>
      </c>
      <c r="E256" s="19" t="str">
        <f t="shared" si="92"/>
        <v/>
      </c>
      <c r="F256" s="29"/>
      <c r="G256" s="29"/>
      <c r="H256" s="31" t="str">
        <f>IF(F256="","",VLOOKUP(F256,'Data Induk Pegawai'!B:U,2,FALSE))</f>
        <v/>
      </c>
      <c r="I256" s="19" t="str">
        <f>IF('REGISTER SK'!C259="","",'REGISTER SK'!C259)</f>
        <v/>
      </c>
      <c r="J256" s="125"/>
      <c r="K256" s="125"/>
      <c r="L256" s="26" t="str">
        <f>IF('REGISTER SK'!D259="","",'REGISTER SK'!D259)</f>
        <v/>
      </c>
      <c r="M256" s="26" t="str">
        <f>IF('REGISTER SK'!E259="","",'REGISTER SK'!E259)</f>
        <v/>
      </c>
      <c r="N256" s="31" t="str">
        <f>IF(G256="","",IF(OR(G256="GTT",G256="PTT"),"--",VLOOKUP(F256,'Data Induk Pegawai'!B:AE,4,FALSE)))</f>
        <v/>
      </c>
      <c r="O256" s="18" t="s">
        <v>293</v>
      </c>
      <c r="P256" s="31" t="str">
        <f>IF(G256="","",VLOOKUP(F256,'Data Induk Pegawai'!B:AE,7,FALSE))</f>
        <v/>
      </c>
      <c r="Q256" s="30"/>
      <c r="R256" s="26" t="str">
        <f>IF(G256="","","Nomor "&amp;RIGHT(VLOOKUP(F256,'Data Induk Pegawai'!B:AE,12,FALSE),2)&amp;" Tahun "&amp;MID(VLOOKUP(F256,'Data Induk Pegawai'!B:AE,12,FALSE),5,4))</f>
        <v/>
      </c>
      <c r="S256" s="26" t="str">
        <f>IF(G256="","",VLOOKUP(F256,'Data Induk Pegawai'!B:AE,11,FALSE))</f>
        <v/>
      </c>
      <c r="T256" s="56"/>
      <c r="U256" s="18" t="str">
        <f t="shared" si="72"/>
        <v/>
      </c>
      <c r="V256" s="30"/>
      <c r="W256" s="18" t="str">
        <f t="shared" si="73"/>
        <v/>
      </c>
      <c r="X256" s="16"/>
      <c r="Y256" t="str">
        <f t="shared" si="74"/>
        <v/>
      </c>
      <c r="Z256" t="str">
        <f t="shared" si="75"/>
        <v/>
      </c>
      <c r="AA256" t="str">
        <f t="shared" si="76"/>
        <v/>
      </c>
      <c r="AB256" t="str">
        <f>COUNTIFS(AC256:AC$596,AC256)&amp;AC256</f>
        <v>341</v>
      </c>
      <c r="AC256" t="str">
        <f t="shared" si="93"/>
        <v/>
      </c>
      <c r="AD256" t="str">
        <f>COUNTIFS(AC$2:AC256,AC256)&amp;AC256</f>
        <v>255</v>
      </c>
      <c r="AE256" t="str">
        <f t="shared" si="77"/>
        <v/>
      </c>
      <c r="AF256" t="str">
        <f t="shared" si="94"/>
        <v>..</v>
      </c>
      <c r="AG256" s="28" t="str">
        <f t="shared" si="78"/>
        <v/>
      </c>
      <c r="AH256" s="28" t="str">
        <f t="shared" si="79"/>
        <v/>
      </c>
      <c r="AI256" t="str">
        <f t="shared" si="80"/>
        <v/>
      </c>
      <c r="AJ256" t="str">
        <f t="shared" si="81"/>
        <v/>
      </c>
      <c r="AK256" t="str">
        <f t="shared" si="82"/>
        <v/>
      </c>
      <c r="AL256" t="str">
        <f t="shared" si="83"/>
        <v/>
      </c>
      <c r="AM256" t="str">
        <f t="shared" si="84"/>
        <v/>
      </c>
      <c r="AN256" t="str">
        <f t="shared" si="85"/>
        <v/>
      </c>
      <c r="AO256" t="str">
        <f t="shared" si="86"/>
        <v/>
      </c>
      <c r="AP256" t="str">
        <f t="shared" si="87"/>
        <v/>
      </c>
      <c r="AQ256" t="str">
        <f t="shared" si="88"/>
        <v/>
      </c>
      <c r="AR256" t="str">
        <f t="shared" si="89"/>
        <v/>
      </c>
      <c r="AS256" t="str">
        <f t="shared" si="90"/>
        <v/>
      </c>
      <c r="AT256" t="str">
        <f t="shared" si="91"/>
        <v/>
      </c>
      <c r="AU256" s="25" t="str">
        <f t="shared" si="95"/>
        <v/>
      </c>
      <c r="BA256">
        <f>'REGISTER SK'!F259</f>
        <v>0</v>
      </c>
    </row>
    <row r="257" spans="1:53" x14ac:dyDescent="0.35">
      <c r="A257" s="18">
        <v>256</v>
      </c>
      <c r="B257" s="36" t="s">
        <v>379</v>
      </c>
      <c r="C257" s="18" t="str">
        <f>IF(G257="","",IF(G257="Umum",G257,VLOOKUP(F257,'Data Induk Pegawai'!B:AE,4,FALSE)))</f>
        <v/>
      </c>
      <c r="D257" s="19" t="str">
        <f>IF('REGISTER SK'!A260="","",IF('REGISTER SK'!B260=0,D256,'REGISTER SK'!B260))</f>
        <v/>
      </c>
      <c r="E257" s="19" t="str">
        <f t="shared" si="92"/>
        <v/>
      </c>
      <c r="F257" s="29"/>
      <c r="G257" s="29"/>
      <c r="H257" s="31" t="str">
        <f>IF(F257="","",VLOOKUP(F257,'Data Induk Pegawai'!B:U,2,FALSE))</f>
        <v/>
      </c>
      <c r="I257" s="19" t="str">
        <f>IF('REGISTER SK'!C260="","",'REGISTER SK'!C260)</f>
        <v/>
      </c>
      <c r="J257" s="125"/>
      <c r="K257" s="125"/>
      <c r="L257" s="26" t="str">
        <f>IF('REGISTER SK'!D260="","",'REGISTER SK'!D260)</f>
        <v/>
      </c>
      <c r="M257" s="26" t="str">
        <f>IF('REGISTER SK'!E260="","",'REGISTER SK'!E260)</f>
        <v/>
      </c>
      <c r="N257" s="31" t="str">
        <f>IF(G257="","",IF(OR(G257="GTT",G257="PTT"),"--",VLOOKUP(F257,'Data Induk Pegawai'!B:AE,4,FALSE)))</f>
        <v/>
      </c>
      <c r="O257" s="18" t="s">
        <v>295</v>
      </c>
      <c r="P257" s="31" t="str">
        <f>IF(G257="","",VLOOKUP(F257,'Data Induk Pegawai'!B:AE,7,FALSE))</f>
        <v/>
      </c>
      <c r="Q257" s="30"/>
      <c r="R257" s="26" t="str">
        <f>IF(G257="","","Nomor "&amp;RIGHT(VLOOKUP(F257,'Data Induk Pegawai'!B:AE,12,FALSE),2)&amp;" Tahun "&amp;MID(VLOOKUP(F257,'Data Induk Pegawai'!B:AE,12,FALSE),5,4))</f>
        <v/>
      </c>
      <c r="S257" s="26" t="str">
        <f>IF(G257="","",VLOOKUP(F257,'Data Induk Pegawai'!B:AE,11,FALSE))</f>
        <v/>
      </c>
      <c r="T257" s="56"/>
      <c r="U257" s="18" t="str">
        <f t="shared" si="72"/>
        <v/>
      </c>
      <c r="V257" s="30"/>
      <c r="W257" s="18" t="str">
        <f t="shared" si="73"/>
        <v/>
      </c>
      <c r="X257" s="16"/>
      <c r="Y257" t="str">
        <f t="shared" si="74"/>
        <v/>
      </c>
      <c r="Z257" t="str">
        <f t="shared" si="75"/>
        <v/>
      </c>
      <c r="AA257" t="str">
        <f t="shared" si="76"/>
        <v/>
      </c>
      <c r="AB257" t="str">
        <f>COUNTIFS(AC257:AC$596,AC257)&amp;AC257</f>
        <v>340</v>
      </c>
      <c r="AC257" t="str">
        <f t="shared" si="93"/>
        <v/>
      </c>
      <c r="AD257" t="str">
        <f>COUNTIFS(AC$2:AC257,AC257)&amp;AC257</f>
        <v>256</v>
      </c>
      <c r="AE257" t="str">
        <f t="shared" si="77"/>
        <v/>
      </c>
      <c r="AF257" t="str">
        <f t="shared" si="94"/>
        <v>..</v>
      </c>
      <c r="AG257" s="28" t="str">
        <f t="shared" si="78"/>
        <v/>
      </c>
      <c r="AH257" s="28" t="str">
        <f t="shared" si="79"/>
        <v/>
      </c>
      <c r="AI257" t="str">
        <f t="shared" si="80"/>
        <v/>
      </c>
      <c r="AJ257" t="str">
        <f t="shared" si="81"/>
        <v/>
      </c>
      <c r="AK257" t="str">
        <f t="shared" si="82"/>
        <v/>
      </c>
      <c r="AL257" t="str">
        <f t="shared" si="83"/>
        <v/>
      </c>
      <c r="AM257" t="str">
        <f t="shared" si="84"/>
        <v/>
      </c>
      <c r="AN257" t="str">
        <f t="shared" si="85"/>
        <v/>
      </c>
      <c r="AO257" t="str">
        <f t="shared" si="86"/>
        <v/>
      </c>
      <c r="AP257" t="str">
        <f t="shared" si="87"/>
        <v/>
      </c>
      <c r="AQ257" t="str">
        <f t="shared" si="88"/>
        <v/>
      </c>
      <c r="AR257" t="str">
        <f t="shared" si="89"/>
        <v/>
      </c>
      <c r="AS257" t="str">
        <f t="shared" si="90"/>
        <v/>
      </c>
      <c r="AT257" t="str">
        <f t="shared" si="91"/>
        <v/>
      </c>
      <c r="AU257" s="25" t="str">
        <f t="shared" si="95"/>
        <v/>
      </c>
      <c r="BA257">
        <f>'REGISTER SK'!F260</f>
        <v>0</v>
      </c>
    </row>
    <row r="258" spans="1:53" x14ac:dyDescent="0.35">
      <c r="A258" s="18">
        <v>257</v>
      </c>
      <c r="B258" s="36" t="s">
        <v>379</v>
      </c>
      <c r="C258" s="18" t="str">
        <f>IF(G258="","",IF(G258="Umum",G258,VLOOKUP(F258,'Data Induk Pegawai'!B:AE,4,FALSE)))</f>
        <v/>
      </c>
      <c r="D258" s="19" t="str">
        <f>IF('REGISTER SK'!A261="","",IF('REGISTER SK'!B261=0,D257,'REGISTER SK'!B261))</f>
        <v/>
      </c>
      <c r="E258" s="19" t="str">
        <f t="shared" si="92"/>
        <v/>
      </c>
      <c r="F258" s="29"/>
      <c r="G258" s="29"/>
      <c r="H258" s="31" t="str">
        <f>IF(F258="","",VLOOKUP(F258,'Data Induk Pegawai'!B:U,2,FALSE))</f>
        <v/>
      </c>
      <c r="I258" s="19" t="str">
        <f>IF('REGISTER SK'!C261="","",'REGISTER SK'!C261)</f>
        <v/>
      </c>
      <c r="J258" s="125"/>
      <c r="K258" s="125"/>
      <c r="L258" s="26" t="str">
        <f>IF('REGISTER SK'!D261="","",'REGISTER SK'!D261)</f>
        <v/>
      </c>
      <c r="M258" s="26" t="str">
        <f>IF('REGISTER SK'!E261="","",'REGISTER SK'!E261)</f>
        <v/>
      </c>
      <c r="N258" s="31" t="str">
        <f>IF(G258="","",IF(OR(G258="GTT",G258="PTT"),"--",VLOOKUP(F258,'Data Induk Pegawai'!B:AE,4,FALSE)))</f>
        <v/>
      </c>
      <c r="O258" s="18" t="s">
        <v>297</v>
      </c>
      <c r="P258" s="31" t="str">
        <f>IF(G258="","",VLOOKUP(F258,'Data Induk Pegawai'!B:AE,7,FALSE))</f>
        <v/>
      </c>
      <c r="Q258" s="30"/>
      <c r="R258" s="26" t="str">
        <f>IF(G258="","","Nomor "&amp;RIGHT(VLOOKUP(F258,'Data Induk Pegawai'!B:AE,12,FALSE),2)&amp;" Tahun "&amp;MID(VLOOKUP(F258,'Data Induk Pegawai'!B:AE,12,FALSE),5,4))</f>
        <v/>
      </c>
      <c r="S258" s="26" t="str">
        <f>IF(G258="","",VLOOKUP(F258,'Data Induk Pegawai'!B:AE,11,FALSE))</f>
        <v/>
      </c>
      <c r="T258" s="56"/>
      <c r="U258" s="18" t="str">
        <f t="shared" ref="U258:U321" si="96">IF(Y258="","",IF(Z258&lt;1,AA258&amp;" Bulan",IF(AND(Z258&gt;0,AA258=0),Z258&amp;" Tahun",Z258&amp;" Tahun "&amp;AA258&amp;" Bulan")))</f>
        <v/>
      </c>
      <c r="V258" s="30"/>
      <c r="W258" s="18" t="str">
        <f t="shared" ref="W258:W315" si="97">V258&amp;H258</f>
        <v/>
      </c>
      <c r="X258" s="16"/>
      <c r="Y258" t="str">
        <f t="shared" ref="Y258:Y321" si="98">IFERROR(IF(S258="","",DATEDIF(S258,M258,"M")),"?")</f>
        <v/>
      </c>
      <c r="Z258" t="str">
        <f t="shared" ref="Z258:Z321" si="99">IFERROR(IF(Y258="","",ROUNDDOWN(Y258/12,0)),"-")</f>
        <v/>
      </c>
      <c r="AA258" t="str">
        <f t="shared" ref="AA258:AA321" si="100">IFERROR(IF(Y258="","",Y258-Z258*12),"-")</f>
        <v/>
      </c>
      <c r="AB258" t="str">
        <f>COUNTIFS(AC258:AC$596,AC258)&amp;AC258</f>
        <v>339</v>
      </c>
      <c r="AC258" t="str">
        <f t="shared" si="93"/>
        <v/>
      </c>
      <c r="AD258" t="str">
        <f>COUNTIFS(AC$2:AC258,AC258)&amp;AC258</f>
        <v>257</v>
      </c>
      <c r="AE258" t="str">
        <f t="shared" ref="AE258:AE321" si="101">IF(LEFT(V258,16)="SK Pemberhentian",E258&amp;"OUT"&amp;F258,E258&amp;G258&amp;F258)</f>
        <v/>
      </c>
      <c r="AF258" t="str">
        <f t="shared" si="94"/>
        <v>..</v>
      </c>
      <c r="AG258" s="28" t="str">
        <f t="shared" ref="AG258:AG289" si="102">L258</f>
        <v/>
      </c>
      <c r="AH258" s="28" t="str">
        <f t="shared" ref="AH258:AH321" si="103">M258</f>
        <v/>
      </c>
      <c r="AI258" t="str">
        <f t="shared" ref="AI258:AI321" si="104">IF(AG258="","",AJ258&amp;" "&amp;VLOOKUP(AK258,AX:AY,2,FALSE)&amp;" "&amp;AL258)</f>
        <v/>
      </c>
      <c r="AJ258" t="str">
        <f t="shared" ref="AJ258:AJ321" si="105">TEXT(AG258,"D")</f>
        <v/>
      </c>
      <c r="AK258" t="str">
        <f t="shared" ref="AK258:AK321" si="106">TEXT(AG258,"MMMM")</f>
        <v/>
      </c>
      <c r="AL258" t="str">
        <f t="shared" ref="AL258:AL321" si="107">TEXT(AG258,"YYYY")</f>
        <v/>
      </c>
      <c r="AM258" t="str">
        <f t="shared" ref="AM258:AM321" si="108">IF(AI258="","",AN258&amp;" "&amp;VLOOKUP(AO258,AX:AY,2,FALSE)&amp;" "&amp;AP258)</f>
        <v/>
      </c>
      <c r="AN258" t="str">
        <f t="shared" ref="AN258:AN321" si="109">TEXT(S258,"D")</f>
        <v/>
      </c>
      <c r="AO258" t="str">
        <f t="shared" ref="AO258:AO321" si="110">TEXT(S258,"MMMM")</f>
        <v/>
      </c>
      <c r="AP258" t="str">
        <f t="shared" ref="AP258:AP321" si="111">TEXT(S258,"YYYY")</f>
        <v/>
      </c>
      <c r="AQ258" t="str">
        <f t="shared" ref="AQ258:AQ321" si="112">IF(AM258="","",AR258&amp;" "&amp;VLOOKUP(AS258,AX:AY,2,FALSE)&amp;" "&amp;AT258)</f>
        <v/>
      </c>
      <c r="AR258" t="str">
        <f t="shared" ref="AR258:AR321" si="113">TEXT(M258,"D")</f>
        <v/>
      </c>
      <c r="AS258" t="str">
        <f t="shared" ref="AS258:AS321" si="114">TEXT(M258,"MMMM")</f>
        <v/>
      </c>
      <c r="AT258" t="str">
        <f t="shared" ref="AT258:AT321" si="115">TEXT(M258,"YYYY")</f>
        <v/>
      </c>
      <c r="AU258" s="25" t="str">
        <f t="shared" si="95"/>
        <v/>
      </c>
      <c r="BA258">
        <f>'REGISTER SK'!F261</f>
        <v>0</v>
      </c>
    </row>
    <row r="259" spans="1:53" x14ac:dyDescent="0.35">
      <c r="A259" s="18">
        <v>258</v>
      </c>
      <c r="B259" s="36" t="s">
        <v>379</v>
      </c>
      <c r="C259" s="18" t="str">
        <f>IF(G259="","",IF(G259="Umum",G259,VLOOKUP(F259,'Data Induk Pegawai'!B:AE,4,FALSE)))</f>
        <v/>
      </c>
      <c r="D259" s="19" t="str">
        <f>IF('REGISTER SK'!A262="","",IF('REGISTER SK'!B262=0,D258,'REGISTER SK'!B262))</f>
        <v/>
      </c>
      <c r="E259" s="19" t="str">
        <f t="shared" ref="E259:E322" si="116">IF(D259="","",D259&amp;"/"&amp;D259+1)</f>
        <v/>
      </c>
      <c r="F259" s="29"/>
      <c r="G259" s="29"/>
      <c r="H259" s="31" t="str">
        <f>IF(F259="","",VLOOKUP(F259,'Data Induk Pegawai'!B:U,2,FALSE))</f>
        <v/>
      </c>
      <c r="I259" s="19" t="str">
        <f>IF('REGISTER SK'!C262="","",'REGISTER SK'!C262)</f>
        <v/>
      </c>
      <c r="J259" s="125"/>
      <c r="K259" s="125"/>
      <c r="L259" s="26" t="str">
        <f>IF('REGISTER SK'!D262="","",'REGISTER SK'!D262)</f>
        <v/>
      </c>
      <c r="M259" s="26" t="str">
        <f>IF('REGISTER SK'!E262="","",'REGISTER SK'!E262)</f>
        <v/>
      </c>
      <c r="N259" s="31" t="str">
        <f>IF(G259="","",IF(OR(G259="GTT",G259="PTT"),"--",VLOOKUP(F259,'Data Induk Pegawai'!B:AE,4,FALSE)))</f>
        <v/>
      </c>
      <c r="O259" s="18" t="s">
        <v>298</v>
      </c>
      <c r="P259" s="31" t="str">
        <f>IF(G259="","",VLOOKUP(F259,'Data Induk Pegawai'!B:AE,7,FALSE))</f>
        <v/>
      </c>
      <c r="Q259" s="30"/>
      <c r="R259" s="26" t="str">
        <f>IF(G259="","","Nomor "&amp;RIGHT(VLOOKUP(F259,'Data Induk Pegawai'!B:AE,12,FALSE),2)&amp;" Tahun "&amp;MID(VLOOKUP(F259,'Data Induk Pegawai'!B:AE,12,FALSE),5,4))</f>
        <v/>
      </c>
      <c r="S259" s="26" t="str">
        <f>IF(G259="","",VLOOKUP(F259,'Data Induk Pegawai'!B:AE,11,FALSE))</f>
        <v/>
      </c>
      <c r="T259" s="56"/>
      <c r="U259" s="18" t="str">
        <f t="shared" si="96"/>
        <v/>
      </c>
      <c r="V259" s="30"/>
      <c r="W259" s="18" t="str">
        <f t="shared" si="97"/>
        <v/>
      </c>
      <c r="X259" s="16"/>
      <c r="Y259" t="str">
        <f t="shared" si="98"/>
        <v/>
      </c>
      <c r="Z259" t="str">
        <f t="shared" si="99"/>
        <v/>
      </c>
      <c r="AA259" t="str">
        <f t="shared" si="100"/>
        <v/>
      </c>
      <c r="AB259" t="str">
        <f>COUNTIFS(AC259:AC$596,AC259)&amp;AC259</f>
        <v>338</v>
      </c>
      <c r="AC259" t="str">
        <f t="shared" ref="AC259:AC322" si="117">IF(LEFT(V259,16)="SK Pemberhentian","OUT"&amp;F259,IF(RIGHT(G259,2)="TT","GPTT",IF(RIGHT(G259,2)="TY","GPTY",G259))&amp;F259)</f>
        <v/>
      </c>
      <c r="AD259" t="str">
        <f>COUNTIFS(AC$2:AC259,AC259)&amp;AC259</f>
        <v>258</v>
      </c>
      <c r="AE259" t="str">
        <f t="shared" si="101"/>
        <v/>
      </c>
      <c r="AF259" t="str">
        <f t="shared" ref="AF259:AF322" si="118">G259&amp;"."&amp;D259&amp;"."&amp;I259</f>
        <v>..</v>
      </c>
      <c r="AG259" s="28" t="str">
        <f t="shared" si="102"/>
        <v/>
      </c>
      <c r="AH259" s="28" t="str">
        <f t="shared" si="103"/>
        <v/>
      </c>
      <c r="AI259" t="str">
        <f t="shared" si="104"/>
        <v/>
      </c>
      <c r="AJ259" t="str">
        <f t="shared" si="105"/>
        <v/>
      </c>
      <c r="AK259" t="str">
        <f t="shared" si="106"/>
        <v/>
      </c>
      <c r="AL259" t="str">
        <f t="shared" si="107"/>
        <v/>
      </c>
      <c r="AM259" t="str">
        <f t="shared" si="108"/>
        <v/>
      </c>
      <c r="AN259" t="str">
        <f t="shared" si="109"/>
        <v/>
      </c>
      <c r="AO259" t="str">
        <f t="shared" si="110"/>
        <v/>
      </c>
      <c r="AP259" t="str">
        <f t="shared" si="111"/>
        <v/>
      </c>
      <c r="AQ259" t="str">
        <f t="shared" si="112"/>
        <v/>
      </c>
      <c r="AR259" t="str">
        <f t="shared" si="113"/>
        <v/>
      </c>
      <c r="AS259" t="str">
        <f t="shared" si="114"/>
        <v/>
      </c>
      <c r="AT259" t="str">
        <f t="shared" si="115"/>
        <v/>
      </c>
      <c r="AU259" s="25" t="str">
        <f t="shared" ref="AU259:AU322" si="119">IF(OR(G259="Umum",G259=""),"",VLOOKUP(VALUE(TEXT(M259,"M")-1),AW:AY,3,FALSE))</f>
        <v/>
      </c>
      <c r="BA259">
        <f>'REGISTER SK'!F262</f>
        <v>0</v>
      </c>
    </row>
    <row r="260" spans="1:53" x14ac:dyDescent="0.35">
      <c r="A260" s="18">
        <v>259</v>
      </c>
      <c r="B260" s="36" t="s">
        <v>379</v>
      </c>
      <c r="C260" s="18" t="str">
        <f>IF(G260="","",IF(G260="Umum",G260,VLOOKUP(F260,'Data Induk Pegawai'!B:AE,4,FALSE)))</f>
        <v/>
      </c>
      <c r="D260" s="19" t="str">
        <f>IF('REGISTER SK'!A263="","",IF('REGISTER SK'!B263=0,D259,'REGISTER SK'!B263))</f>
        <v/>
      </c>
      <c r="E260" s="19" t="str">
        <f t="shared" si="116"/>
        <v/>
      </c>
      <c r="F260" s="29"/>
      <c r="G260" s="29"/>
      <c r="H260" s="31" t="str">
        <f>IF(F260="","",VLOOKUP(F260,'Data Induk Pegawai'!B:U,2,FALSE))</f>
        <v/>
      </c>
      <c r="I260" s="19" t="str">
        <f>IF('REGISTER SK'!C263="","",'REGISTER SK'!C263)</f>
        <v/>
      </c>
      <c r="J260" s="125"/>
      <c r="K260" s="125"/>
      <c r="L260" s="26" t="str">
        <f>IF('REGISTER SK'!D263="","",'REGISTER SK'!D263)</f>
        <v/>
      </c>
      <c r="M260" s="26" t="str">
        <f>IF('REGISTER SK'!E263="","",'REGISTER SK'!E263)</f>
        <v/>
      </c>
      <c r="N260" s="31" t="str">
        <f>IF(G260="","",IF(OR(G260="GTT",G260="PTT"),"--",VLOOKUP(F260,'Data Induk Pegawai'!B:AE,4,FALSE)))</f>
        <v/>
      </c>
      <c r="O260" s="18" t="s">
        <v>300</v>
      </c>
      <c r="P260" s="31" t="str">
        <f>IF(G260="","",VLOOKUP(F260,'Data Induk Pegawai'!B:AE,7,FALSE))</f>
        <v/>
      </c>
      <c r="Q260" s="30"/>
      <c r="R260" s="26" t="str">
        <f>IF(G260="","","Nomor "&amp;RIGHT(VLOOKUP(F260,'Data Induk Pegawai'!B:AE,12,FALSE),2)&amp;" Tahun "&amp;MID(VLOOKUP(F260,'Data Induk Pegawai'!B:AE,12,FALSE),5,4))</f>
        <v/>
      </c>
      <c r="S260" s="26" t="str">
        <f>IF(G260="","",VLOOKUP(F260,'Data Induk Pegawai'!B:AE,11,FALSE))</f>
        <v/>
      </c>
      <c r="T260" s="56"/>
      <c r="U260" s="18" t="str">
        <f t="shared" si="96"/>
        <v/>
      </c>
      <c r="V260" s="30"/>
      <c r="W260" s="18" t="str">
        <f t="shared" si="97"/>
        <v/>
      </c>
      <c r="X260" s="16"/>
      <c r="Y260" t="str">
        <f t="shared" si="98"/>
        <v/>
      </c>
      <c r="Z260" t="str">
        <f t="shared" si="99"/>
        <v/>
      </c>
      <c r="AA260" t="str">
        <f t="shared" si="100"/>
        <v/>
      </c>
      <c r="AB260" t="str">
        <f>COUNTIFS(AC260:AC$596,AC260)&amp;AC260</f>
        <v>337</v>
      </c>
      <c r="AC260" t="str">
        <f t="shared" si="117"/>
        <v/>
      </c>
      <c r="AD260" t="str">
        <f>COUNTIFS(AC$2:AC260,AC260)&amp;AC260</f>
        <v>259</v>
      </c>
      <c r="AE260" t="str">
        <f t="shared" si="101"/>
        <v/>
      </c>
      <c r="AF260" t="str">
        <f t="shared" si="118"/>
        <v>..</v>
      </c>
      <c r="AG260" s="28" t="str">
        <f t="shared" si="102"/>
        <v/>
      </c>
      <c r="AH260" s="28" t="str">
        <f t="shared" si="103"/>
        <v/>
      </c>
      <c r="AI260" t="str">
        <f t="shared" si="104"/>
        <v/>
      </c>
      <c r="AJ260" t="str">
        <f t="shared" si="105"/>
        <v/>
      </c>
      <c r="AK260" t="str">
        <f t="shared" si="106"/>
        <v/>
      </c>
      <c r="AL260" t="str">
        <f t="shared" si="107"/>
        <v/>
      </c>
      <c r="AM260" t="str">
        <f t="shared" si="108"/>
        <v/>
      </c>
      <c r="AN260" t="str">
        <f t="shared" si="109"/>
        <v/>
      </c>
      <c r="AO260" t="str">
        <f t="shared" si="110"/>
        <v/>
      </c>
      <c r="AP260" t="str">
        <f t="shared" si="111"/>
        <v/>
      </c>
      <c r="AQ260" t="str">
        <f t="shared" si="112"/>
        <v/>
      </c>
      <c r="AR260" t="str">
        <f t="shared" si="113"/>
        <v/>
      </c>
      <c r="AS260" t="str">
        <f t="shared" si="114"/>
        <v/>
      </c>
      <c r="AT260" t="str">
        <f t="shared" si="115"/>
        <v/>
      </c>
      <c r="AU260" s="25" t="str">
        <f t="shared" si="119"/>
        <v/>
      </c>
      <c r="BA260">
        <f>'REGISTER SK'!F263</f>
        <v>0</v>
      </c>
    </row>
    <row r="261" spans="1:53" x14ac:dyDescent="0.35">
      <c r="A261" s="18">
        <v>260</v>
      </c>
      <c r="B261" s="36" t="s">
        <v>379</v>
      </c>
      <c r="C261" s="18" t="str">
        <f>IF(G261="","",IF(G261="Umum",G261,VLOOKUP(F261,'Data Induk Pegawai'!B:AE,4,FALSE)))</f>
        <v/>
      </c>
      <c r="D261" s="19" t="str">
        <f>IF('REGISTER SK'!A264="","",IF('REGISTER SK'!B264=0,D260,'REGISTER SK'!B264))</f>
        <v/>
      </c>
      <c r="E261" s="19" t="str">
        <f t="shared" si="116"/>
        <v/>
      </c>
      <c r="F261" s="29"/>
      <c r="G261" s="29"/>
      <c r="H261" s="31" t="str">
        <f>IF(F261="","",VLOOKUP(F261,'Data Induk Pegawai'!B:U,2,FALSE))</f>
        <v/>
      </c>
      <c r="I261" s="19" t="str">
        <f>IF('REGISTER SK'!C264="","",'REGISTER SK'!C264)</f>
        <v/>
      </c>
      <c r="J261" s="125"/>
      <c r="K261" s="125"/>
      <c r="L261" s="26" t="str">
        <f>IF('REGISTER SK'!D264="","",'REGISTER SK'!D264)</f>
        <v/>
      </c>
      <c r="M261" s="26" t="str">
        <f>IF('REGISTER SK'!E264="","",'REGISTER SK'!E264)</f>
        <v/>
      </c>
      <c r="N261" s="31" t="str">
        <f>IF(G261="","",IF(OR(G261="GTT",G261="PTT"),"--",VLOOKUP(F261,'Data Induk Pegawai'!B:AE,4,FALSE)))</f>
        <v/>
      </c>
      <c r="O261" s="18" t="s">
        <v>301</v>
      </c>
      <c r="P261" s="31" t="str">
        <f>IF(G261="","",VLOOKUP(F261,'Data Induk Pegawai'!B:AE,7,FALSE))</f>
        <v/>
      </c>
      <c r="Q261" s="30"/>
      <c r="R261" s="26" t="str">
        <f>IF(G261="","","Nomor "&amp;RIGHT(VLOOKUP(F261,'Data Induk Pegawai'!B:AE,12,FALSE),2)&amp;" Tahun "&amp;MID(VLOOKUP(F261,'Data Induk Pegawai'!B:AE,12,FALSE),5,4))</f>
        <v/>
      </c>
      <c r="S261" s="26" t="str">
        <f>IF(G261="","",VLOOKUP(F261,'Data Induk Pegawai'!B:AE,11,FALSE))</f>
        <v/>
      </c>
      <c r="T261" s="56"/>
      <c r="U261" s="18" t="str">
        <f t="shared" si="96"/>
        <v/>
      </c>
      <c r="V261" s="30"/>
      <c r="W261" s="18" t="str">
        <f t="shared" si="97"/>
        <v/>
      </c>
      <c r="X261" s="16"/>
      <c r="Y261" t="str">
        <f t="shared" si="98"/>
        <v/>
      </c>
      <c r="Z261" t="str">
        <f t="shared" si="99"/>
        <v/>
      </c>
      <c r="AA261" t="str">
        <f t="shared" si="100"/>
        <v/>
      </c>
      <c r="AB261" t="str">
        <f>COUNTIFS(AC261:AC$596,AC261)&amp;AC261</f>
        <v>336</v>
      </c>
      <c r="AC261" t="str">
        <f t="shared" si="117"/>
        <v/>
      </c>
      <c r="AD261" t="str">
        <f>COUNTIFS(AC$2:AC261,AC261)&amp;AC261</f>
        <v>260</v>
      </c>
      <c r="AE261" t="str">
        <f t="shared" si="101"/>
        <v/>
      </c>
      <c r="AF261" t="str">
        <f t="shared" si="118"/>
        <v>..</v>
      </c>
      <c r="AG261" s="28" t="str">
        <f t="shared" si="102"/>
        <v/>
      </c>
      <c r="AH261" s="28" t="str">
        <f t="shared" si="103"/>
        <v/>
      </c>
      <c r="AI261" t="str">
        <f t="shared" si="104"/>
        <v/>
      </c>
      <c r="AJ261" t="str">
        <f t="shared" si="105"/>
        <v/>
      </c>
      <c r="AK261" t="str">
        <f t="shared" si="106"/>
        <v/>
      </c>
      <c r="AL261" t="str">
        <f t="shared" si="107"/>
        <v/>
      </c>
      <c r="AM261" t="str">
        <f t="shared" si="108"/>
        <v/>
      </c>
      <c r="AN261" t="str">
        <f t="shared" si="109"/>
        <v/>
      </c>
      <c r="AO261" t="str">
        <f t="shared" si="110"/>
        <v/>
      </c>
      <c r="AP261" t="str">
        <f t="shared" si="111"/>
        <v/>
      </c>
      <c r="AQ261" t="str">
        <f t="shared" si="112"/>
        <v/>
      </c>
      <c r="AR261" t="str">
        <f t="shared" si="113"/>
        <v/>
      </c>
      <c r="AS261" t="str">
        <f t="shared" si="114"/>
        <v/>
      </c>
      <c r="AT261" t="str">
        <f t="shared" si="115"/>
        <v/>
      </c>
      <c r="AU261" s="25" t="str">
        <f t="shared" si="119"/>
        <v/>
      </c>
      <c r="BA261">
        <f>'REGISTER SK'!F264</f>
        <v>0</v>
      </c>
    </row>
    <row r="262" spans="1:53" x14ac:dyDescent="0.35">
      <c r="A262" s="18">
        <v>261</v>
      </c>
      <c r="B262" s="36" t="s">
        <v>379</v>
      </c>
      <c r="C262" s="18" t="str">
        <f>IF(G262="","",IF(G262="Umum",G262,VLOOKUP(F262,'Data Induk Pegawai'!B:AE,4,FALSE)))</f>
        <v/>
      </c>
      <c r="D262" s="19" t="str">
        <f>IF('REGISTER SK'!A265="","",IF('REGISTER SK'!B265=0,D261,'REGISTER SK'!B265))</f>
        <v/>
      </c>
      <c r="E262" s="19" t="str">
        <f t="shared" si="116"/>
        <v/>
      </c>
      <c r="F262" s="29"/>
      <c r="G262" s="29"/>
      <c r="H262" s="31" t="str">
        <f>IF(F262="","",VLOOKUP(F262,'Data Induk Pegawai'!B:U,2,FALSE))</f>
        <v/>
      </c>
      <c r="I262" s="19" t="str">
        <f>IF('REGISTER SK'!C265="","",'REGISTER SK'!C265)</f>
        <v/>
      </c>
      <c r="J262" s="125"/>
      <c r="K262" s="125"/>
      <c r="L262" s="26" t="str">
        <f>IF('REGISTER SK'!D265="","",'REGISTER SK'!D265)</f>
        <v/>
      </c>
      <c r="M262" s="26" t="str">
        <f>IF('REGISTER SK'!E265="","",'REGISTER SK'!E265)</f>
        <v/>
      </c>
      <c r="N262" s="31" t="str">
        <f>IF(G262="","",IF(OR(G262="GTT",G262="PTT"),"--",VLOOKUP(F262,'Data Induk Pegawai'!B:AE,4,FALSE)))</f>
        <v/>
      </c>
      <c r="O262" s="18" t="s">
        <v>282</v>
      </c>
      <c r="P262" s="31" t="str">
        <f>IF(G262="","",VLOOKUP(F262,'Data Induk Pegawai'!B:AE,7,FALSE))</f>
        <v/>
      </c>
      <c r="Q262" s="30"/>
      <c r="R262" s="26" t="str">
        <f>IF(G262="","","Nomor "&amp;RIGHT(VLOOKUP(F262,'Data Induk Pegawai'!B:AE,12,FALSE),2)&amp;" Tahun "&amp;MID(VLOOKUP(F262,'Data Induk Pegawai'!B:AE,12,FALSE),5,4))</f>
        <v/>
      </c>
      <c r="S262" s="26" t="str">
        <f>IF(G262="","",VLOOKUP(F262,'Data Induk Pegawai'!B:AE,11,FALSE))</f>
        <v/>
      </c>
      <c r="T262" s="56"/>
      <c r="U262" s="18" t="str">
        <f t="shared" si="96"/>
        <v/>
      </c>
      <c r="V262" s="30"/>
      <c r="W262" s="18" t="str">
        <f t="shared" si="97"/>
        <v/>
      </c>
      <c r="X262" s="16"/>
      <c r="Y262" t="str">
        <f t="shared" si="98"/>
        <v/>
      </c>
      <c r="Z262" t="str">
        <f t="shared" si="99"/>
        <v/>
      </c>
      <c r="AA262" t="str">
        <f t="shared" si="100"/>
        <v/>
      </c>
      <c r="AB262" t="str">
        <f>COUNTIFS(AC262:AC$596,AC262)&amp;AC262</f>
        <v>335</v>
      </c>
      <c r="AC262" t="str">
        <f t="shared" si="117"/>
        <v/>
      </c>
      <c r="AD262" t="str">
        <f>COUNTIFS(AC$2:AC262,AC262)&amp;AC262</f>
        <v>261</v>
      </c>
      <c r="AE262" t="str">
        <f t="shared" si="101"/>
        <v/>
      </c>
      <c r="AF262" t="str">
        <f t="shared" si="118"/>
        <v>..</v>
      </c>
      <c r="AG262" s="28" t="str">
        <f t="shared" si="102"/>
        <v/>
      </c>
      <c r="AH262" s="28" t="str">
        <f t="shared" si="103"/>
        <v/>
      </c>
      <c r="AI262" t="str">
        <f t="shared" si="104"/>
        <v/>
      </c>
      <c r="AJ262" t="str">
        <f t="shared" si="105"/>
        <v/>
      </c>
      <c r="AK262" t="str">
        <f t="shared" si="106"/>
        <v/>
      </c>
      <c r="AL262" t="str">
        <f t="shared" si="107"/>
        <v/>
      </c>
      <c r="AM262" t="str">
        <f t="shared" si="108"/>
        <v/>
      </c>
      <c r="AN262" t="str">
        <f t="shared" si="109"/>
        <v/>
      </c>
      <c r="AO262" t="str">
        <f t="shared" si="110"/>
        <v/>
      </c>
      <c r="AP262" t="str">
        <f t="shared" si="111"/>
        <v/>
      </c>
      <c r="AQ262" t="str">
        <f t="shared" si="112"/>
        <v/>
      </c>
      <c r="AR262" t="str">
        <f t="shared" si="113"/>
        <v/>
      </c>
      <c r="AS262" t="str">
        <f t="shared" si="114"/>
        <v/>
      </c>
      <c r="AT262" t="str">
        <f t="shared" si="115"/>
        <v/>
      </c>
      <c r="AU262" s="25" t="str">
        <f t="shared" si="119"/>
        <v/>
      </c>
      <c r="BA262">
        <f>'REGISTER SK'!F265</f>
        <v>0</v>
      </c>
    </row>
    <row r="263" spans="1:53" x14ac:dyDescent="0.35">
      <c r="A263" s="18">
        <v>262</v>
      </c>
      <c r="B263" s="36" t="s">
        <v>379</v>
      </c>
      <c r="C263" s="18" t="str">
        <f>IF(G263="","",IF(G263="Umum",G263,VLOOKUP(F263,'Data Induk Pegawai'!B:AE,4,FALSE)))</f>
        <v/>
      </c>
      <c r="D263" s="19" t="str">
        <f>IF('REGISTER SK'!A266="","",IF('REGISTER SK'!B266=0,D262,'REGISTER SK'!B266))</f>
        <v/>
      </c>
      <c r="E263" s="19" t="str">
        <f t="shared" si="116"/>
        <v/>
      </c>
      <c r="F263" s="29"/>
      <c r="G263" s="29"/>
      <c r="H263" s="31" t="str">
        <f>IF(F263="","",VLOOKUP(F263,'Data Induk Pegawai'!B:U,2,FALSE))</f>
        <v/>
      </c>
      <c r="I263" s="19" t="str">
        <f>IF('REGISTER SK'!C266="","",'REGISTER SK'!C266)</f>
        <v/>
      </c>
      <c r="J263" s="125"/>
      <c r="K263" s="125"/>
      <c r="L263" s="26" t="str">
        <f>IF('REGISTER SK'!D266="","",'REGISTER SK'!D266)</f>
        <v/>
      </c>
      <c r="M263" s="26" t="str">
        <f>IF('REGISTER SK'!E266="","",'REGISTER SK'!E266)</f>
        <v/>
      </c>
      <c r="N263" s="31" t="str">
        <f>IF(G263="","",IF(OR(G263="GTT",G263="PTT"),"--",VLOOKUP(F263,'Data Induk Pegawai'!B:AE,4,FALSE)))</f>
        <v/>
      </c>
      <c r="O263" s="18" t="s">
        <v>302</v>
      </c>
      <c r="P263" s="31" t="str">
        <f>IF(G263="","",VLOOKUP(F263,'Data Induk Pegawai'!B:AE,7,FALSE))</f>
        <v/>
      </c>
      <c r="Q263" s="30"/>
      <c r="R263" s="26" t="str">
        <f>IF(G263="","","Nomor "&amp;RIGHT(VLOOKUP(F263,'Data Induk Pegawai'!B:AE,12,FALSE),2)&amp;" Tahun "&amp;MID(VLOOKUP(F263,'Data Induk Pegawai'!B:AE,12,FALSE),5,4))</f>
        <v/>
      </c>
      <c r="S263" s="26" t="str">
        <f>IF(G263="","",VLOOKUP(F263,'Data Induk Pegawai'!B:AE,11,FALSE))</f>
        <v/>
      </c>
      <c r="T263" s="56"/>
      <c r="U263" s="18" t="str">
        <f t="shared" si="96"/>
        <v/>
      </c>
      <c r="V263" s="30"/>
      <c r="W263" s="18" t="str">
        <f t="shared" si="97"/>
        <v/>
      </c>
      <c r="X263" s="16"/>
      <c r="Y263" t="str">
        <f t="shared" si="98"/>
        <v/>
      </c>
      <c r="Z263" t="str">
        <f t="shared" si="99"/>
        <v/>
      </c>
      <c r="AA263" t="str">
        <f t="shared" si="100"/>
        <v/>
      </c>
      <c r="AB263" t="str">
        <f>COUNTIFS(AC263:AC$596,AC263)&amp;AC263</f>
        <v>334</v>
      </c>
      <c r="AC263" t="str">
        <f t="shared" si="117"/>
        <v/>
      </c>
      <c r="AD263" t="str">
        <f>COUNTIFS(AC$2:AC263,AC263)&amp;AC263</f>
        <v>262</v>
      </c>
      <c r="AE263" t="str">
        <f t="shared" si="101"/>
        <v/>
      </c>
      <c r="AF263" t="str">
        <f t="shared" si="118"/>
        <v>..</v>
      </c>
      <c r="AG263" s="28" t="str">
        <f t="shared" si="102"/>
        <v/>
      </c>
      <c r="AH263" s="28" t="str">
        <f t="shared" si="103"/>
        <v/>
      </c>
      <c r="AI263" t="str">
        <f t="shared" si="104"/>
        <v/>
      </c>
      <c r="AJ263" t="str">
        <f t="shared" si="105"/>
        <v/>
      </c>
      <c r="AK263" t="str">
        <f t="shared" si="106"/>
        <v/>
      </c>
      <c r="AL263" t="str">
        <f t="shared" si="107"/>
        <v/>
      </c>
      <c r="AM263" t="str">
        <f t="shared" si="108"/>
        <v/>
      </c>
      <c r="AN263" t="str">
        <f t="shared" si="109"/>
        <v/>
      </c>
      <c r="AO263" t="str">
        <f t="shared" si="110"/>
        <v/>
      </c>
      <c r="AP263" t="str">
        <f t="shared" si="111"/>
        <v/>
      </c>
      <c r="AQ263" t="str">
        <f t="shared" si="112"/>
        <v/>
      </c>
      <c r="AR263" t="str">
        <f t="shared" si="113"/>
        <v/>
      </c>
      <c r="AS263" t="str">
        <f t="shared" si="114"/>
        <v/>
      </c>
      <c r="AT263" t="str">
        <f t="shared" si="115"/>
        <v/>
      </c>
      <c r="AU263" s="25" t="str">
        <f t="shared" si="119"/>
        <v/>
      </c>
      <c r="BA263">
        <f>'REGISTER SK'!F266</f>
        <v>0</v>
      </c>
    </row>
    <row r="264" spans="1:53" x14ac:dyDescent="0.35">
      <c r="A264" s="18">
        <v>263</v>
      </c>
      <c r="B264" s="36" t="s">
        <v>379</v>
      </c>
      <c r="C264" s="18" t="str">
        <f>IF(G264="","",IF(G264="Umum",G264,VLOOKUP(F264,'Data Induk Pegawai'!B:AE,4,FALSE)))</f>
        <v/>
      </c>
      <c r="D264" s="19" t="str">
        <f>IF('REGISTER SK'!A267="","",IF('REGISTER SK'!B267=0,D263,'REGISTER SK'!B267))</f>
        <v/>
      </c>
      <c r="E264" s="19" t="str">
        <f t="shared" si="116"/>
        <v/>
      </c>
      <c r="F264" s="29"/>
      <c r="G264" s="29"/>
      <c r="H264" s="31" t="str">
        <f>IF(F264="","",VLOOKUP(F264,'Data Induk Pegawai'!B:U,2,FALSE))</f>
        <v/>
      </c>
      <c r="I264" s="19" t="str">
        <f>IF('REGISTER SK'!C267="","",'REGISTER SK'!C267)</f>
        <v/>
      </c>
      <c r="J264" s="125"/>
      <c r="K264" s="125"/>
      <c r="L264" s="26" t="str">
        <f>IF('REGISTER SK'!D267="","",'REGISTER SK'!D267)</f>
        <v/>
      </c>
      <c r="M264" s="26" t="str">
        <f>IF('REGISTER SK'!E267="","",'REGISTER SK'!E267)</f>
        <v/>
      </c>
      <c r="N264" s="31" t="str">
        <f>IF(G264="","",IF(OR(G264="GTT",G264="PTT"),"--",VLOOKUP(F264,'Data Induk Pegawai'!B:AE,4,FALSE)))</f>
        <v/>
      </c>
      <c r="O264" s="18" t="s">
        <v>303</v>
      </c>
      <c r="P264" s="31" t="str">
        <f>IF(G264="","",VLOOKUP(F264,'Data Induk Pegawai'!B:AE,7,FALSE))</f>
        <v/>
      </c>
      <c r="Q264" s="30"/>
      <c r="R264" s="26" t="str">
        <f>IF(G264="","","Nomor "&amp;RIGHT(VLOOKUP(F264,'Data Induk Pegawai'!B:AE,12,FALSE),2)&amp;" Tahun "&amp;MID(VLOOKUP(F264,'Data Induk Pegawai'!B:AE,12,FALSE),5,4))</f>
        <v/>
      </c>
      <c r="S264" s="26" t="str">
        <f>IF(G264="","",VLOOKUP(F264,'Data Induk Pegawai'!B:AE,11,FALSE))</f>
        <v/>
      </c>
      <c r="T264" s="56"/>
      <c r="U264" s="18" t="str">
        <f t="shared" si="96"/>
        <v/>
      </c>
      <c r="V264" s="30"/>
      <c r="W264" s="18" t="str">
        <f t="shared" si="97"/>
        <v/>
      </c>
      <c r="X264" s="16"/>
      <c r="Y264" t="str">
        <f t="shared" si="98"/>
        <v/>
      </c>
      <c r="Z264" t="str">
        <f t="shared" si="99"/>
        <v/>
      </c>
      <c r="AA264" t="str">
        <f t="shared" si="100"/>
        <v/>
      </c>
      <c r="AB264" t="str">
        <f>COUNTIFS(AC264:AC$596,AC264)&amp;AC264</f>
        <v>333</v>
      </c>
      <c r="AC264" t="str">
        <f t="shared" si="117"/>
        <v/>
      </c>
      <c r="AD264" t="str">
        <f>COUNTIFS(AC$2:AC264,AC264)&amp;AC264</f>
        <v>263</v>
      </c>
      <c r="AE264" t="str">
        <f t="shared" si="101"/>
        <v/>
      </c>
      <c r="AF264" t="str">
        <f t="shared" si="118"/>
        <v>..</v>
      </c>
      <c r="AG264" s="28" t="str">
        <f t="shared" si="102"/>
        <v/>
      </c>
      <c r="AH264" s="28" t="str">
        <f t="shared" si="103"/>
        <v/>
      </c>
      <c r="AI264" t="str">
        <f t="shared" si="104"/>
        <v/>
      </c>
      <c r="AJ264" t="str">
        <f t="shared" si="105"/>
        <v/>
      </c>
      <c r="AK264" t="str">
        <f t="shared" si="106"/>
        <v/>
      </c>
      <c r="AL264" t="str">
        <f t="shared" si="107"/>
        <v/>
      </c>
      <c r="AM264" t="str">
        <f t="shared" si="108"/>
        <v/>
      </c>
      <c r="AN264" t="str">
        <f t="shared" si="109"/>
        <v/>
      </c>
      <c r="AO264" t="str">
        <f t="shared" si="110"/>
        <v/>
      </c>
      <c r="AP264" t="str">
        <f t="shared" si="111"/>
        <v/>
      </c>
      <c r="AQ264" t="str">
        <f t="shared" si="112"/>
        <v/>
      </c>
      <c r="AR264" t="str">
        <f t="shared" si="113"/>
        <v/>
      </c>
      <c r="AS264" t="str">
        <f t="shared" si="114"/>
        <v/>
      </c>
      <c r="AT264" t="str">
        <f t="shared" si="115"/>
        <v/>
      </c>
      <c r="AU264" s="25" t="str">
        <f t="shared" si="119"/>
        <v/>
      </c>
      <c r="BA264">
        <f>'REGISTER SK'!F267</f>
        <v>0</v>
      </c>
    </row>
    <row r="265" spans="1:53" x14ac:dyDescent="0.35">
      <c r="A265" s="18">
        <v>264</v>
      </c>
      <c r="B265" s="36" t="s">
        <v>379</v>
      </c>
      <c r="C265" s="18" t="str">
        <f>IF(G265="","",IF(G265="Umum",G265,VLOOKUP(F265,'Data Induk Pegawai'!B:AE,4,FALSE)))</f>
        <v/>
      </c>
      <c r="D265" s="19" t="str">
        <f>IF('REGISTER SK'!A268="","",IF('REGISTER SK'!B268=0,D264,'REGISTER SK'!B268))</f>
        <v/>
      </c>
      <c r="E265" s="19" t="str">
        <f t="shared" si="116"/>
        <v/>
      </c>
      <c r="F265" s="29"/>
      <c r="G265" s="29"/>
      <c r="H265" s="31" t="str">
        <f>IF(F265="","",VLOOKUP(F265,'Data Induk Pegawai'!B:U,2,FALSE))</f>
        <v/>
      </c>
      <c r="I265" s="19" t="str">
        <f>IF('REGISTER SK'!C268="","",'REGISTER SK'!C268)</f>
        <v/>
      </c>
      <c r="J265" s="125"/>
      <c r="K265" s="125"/>
      <c r="L265" s="26" t="str">
        <f>IF('REGISTER SK'!D268="","",'REGISTER SK'!D268)</f>
        <v/>
      </c>
      <c r="M265" s="26" t="str">
        <f>IF('REGISTER SK'!E268="","",'REGISTER SK'!E268)</f>
        <v/>
      </c>
      <c r="N265" s="31" t="str">
        <f>IF(G265="","",IF(OR(G265="GTT",G265="PTT"),"--",VLOOKUP(F265,'Data Induk Pegawai'!B:AE,4,FALSE)))</f>
        <v/>
      </c>
      <c r="O265" s="18" t="s">
        <v>304</v>
      </c>
      <c r="P265" s="31" t="str">
        <f>IF(G265="","",VLOOKUP(F265,'Data Induk Pegawai'!B:AE,7,FALSE))</f>
        <v/>
      </c>
      <c r="Q265" s="30"/>
      <c r="R265" s="26" t="str">
        <f>IF(G265="","","Nomor "&amp;RIGHT(VLOOKUP(F265,'Data Induk Pegawai'!B:AE,12,FALSE),2)&amp;" Tahun "&amp;MID(VLOOKUP(F265,'Data Induk Pegawai'!B:AE,12,FALSE),5,4))</f>
        <v/>
      </c>
      <c r="S265" s="26" t="str">
        <f>IF(G265="","",VLOOKUP(F265,'Data Induk Pegawai'!B:AE,11,FALSE))</f>
        <v/>
      </c>
      <c r="T265" s="56"/>
      <c r="U265" s="18" t="str">
        <f t="shared" si="96"/>
        <v/>
      </c>
      <c r="V265" s="30"/>
      <c r="W265" s="18" t="str">
        <f t="shared" si="97"/>
        <v/>
      </c>
      <c r="X265" s="16"/>
      <c r="Y265" t="str">
        <f t="shared" si="98"/>
        <v/>
      </c>
      <c r="Z265" t="str">
        <f t="shared" si="99"/>
        <v/>
      </c>
      <c r="AA265" t="str">
        <f t="shared" si="100"/>
        <v/>
      </c>
      <c r="AB265" t="str">
        <f>COUNTIFS(AC265:AC$596,AC265)&amp;AC265</f>
        <v>332</v>
      </c>
      <c r="AC265" t="str">
        <f t="shared" si="117"/>
        <v/>
      </c>
      <c r="AD265" t="str">
        <f>COUNTIFS(AC$2:AC265,AC265)&amp;AC265</f>
        <v>264</v>
      </c>
      <c r="AE265" t="str">
        <f t="shared" si="101"/>
        <v/>
      </c>
      <c r="AF265" t="str">
        <f t="shared" si="118"/>
        <v>..</v>
      </c>
      <c r="AG265" s="28" t="str">
        <f t="shared" si="102"/>
        <v/>
      </c>
      <c r="AH265" s="28" t="str">
        <f t="shared" si="103"/>
        <v/>
      </c>
      <c r="AI265" t="str">
        <f t="shared" si="104"/>
        <v/>
      </c>
      <c r="AJ265" t="str">
        <f t="shared" si="105"/>
        <v/>
      </c>
      <c r="AK265" t="str">
        <f t="shared" si="106"/>
        <v/>
      </c>
      <c r="AL265" t="str">
        <f t="shared" si="107"/>
        <v/>
      </c>
      <c r="AM265" t="str">
        <f t="shared" si="108"/>
        <v/>
      </c>
      <c r="AN265" t="str">
        <f t="shared" si="109"/>
        <v/>
      </c>
      <c r="AO265" t="str">
        <f t="shared" si="110"/>
        <v/>
      </c>
      <c r="AP265" t="str">
        <f t="shared" si="111"/>
        <v/>
      </c>
      <c r="AQ265" t="str">
        <f t="shared" si="112"/>
        <v/>
      </c>
      <c r="AR265" t="str">
        <f t="shared" si="113"/>
        <v/>
      </c>
      <c r="AS265" t="str">
        <f t="shared" si="114"/>
        <v/>
      </c>
      <c r="AT265" t="str">
        <f t="shared" si="115"/>
        <v/>
      </c>
      <c r="AU265" s="25" t="str">
        <f t="shared" si="119"/>
        <v/>
      </c>
      <c r="BA265">
        <f>'REGISTER SK'!F268</f>
        <v>0</v>
      </c>
    </row>
    <row r="266" spans="1:53" x14ac:dyDescent="0.35">
      <c r="A266" s="18">
        <v>265</v>
      </c>
      <c r="B266" s="36" t="s">
        <v>379</v>
      </c>
      <c r="C266" s="18" t="str">
        <f>IF(G266="","",IF(G266="Umum",G266,VLOOKUP(F266,'Data Induk Pegawai'!B:AE,4,FALSE)))</f>
        <v/>
      </c>
      <c r="D266" s="19" t="str">
        <f>IF('REGISTER SK'!A269="","",IF('REGISTER SK'!B269=0,D265,'REGISTER SK'!B269))</f>
        <v/>
      </c>
      <c r="E266" s="19" t="str">
        <f t="shared" si="116"/>
        <v/>
      </c>
      <c r="F266" s="29"/>
      <c r="G266" s="29"/>
      <c r="H266" s="31" t="str">
        <f>IF(F266="","",VLOOKUP(F266,'Data Induk Pegawai'!B:U,2,FALSE))</f>
        <v/>
      </c>
      <c r="I266" s="19" t="str">
        <f>IF('REGISTER SK'!C269="","",'REGISTER SK'!C269)</f>
        <v/>
      </c>
      <c r="J266" s="125"/>
      <c r="K266" s="125"/>
      <c r="L266" s="26" t="str">
        <f>IF('REGISTER SK'!D269="","",'REGISTER SK'!D269)</f>
        <v/>
      </c>
      <c r="M266" s="26" t="str">
        <f>IF('REGISTER SK'!E269="","",'REGISTER SK'!E269)</f>
        <v/>
      </c>
      <c r="N266" s="31" t="str">
        <f>IF(G266="","",IF(OR(G266="GTT",G266="PTT"),"--",VLOOKUP(F266,'Data Induk Pegawai'!B:AE,4,FALSE)))</f>
        <v/>
      </c>
      <c r="O266" s="18" t="s">
        <v>287</v>
      </c>
      <c r="P266" s="31" t="str">
        <f>IF(G266="","",VLOOKUP(F266,'Data Induk Pegawai'!B:AE,7,FALSE))</f>
        <v/>
      </c>
      <c r="Q266" s="30"/>
      <c r="R266" s="26" t="str">
        <f>IF(G266="","","Nomor "&amp;RIGHT(VLOOKUP(F266,'Data Induk Pegawai'!B:AE,12,FALSE),2)&amp;" Tahun "&amp;MID(VLOOKUP(F266,'Data Induk Pegawai'!B:AE,12,FALSE),5,4))</f>
        <v/>
      </c>
      <c r="S266" s="26" t="str">
        <f>IF(G266="","",VLOOKUP(F266,'Data Induk Pegawai'!B:AE,11,FALSE))</f>
        <v/>
      </c>
      <c r="T266" s="56"/>
      <c r="U266" s="18" t="str">
        <f t="shared" si="96"/>
        <v/>
      </c>
      <c r="V266" s="30"/>
      <c r="W266" s="18" t="str">
        <f t="shared" si="97"/>
        <v/>
      </c>
      <c r="X266" s="16"/>
      <c r="Y266" t="str">
        <f t="shared" si="98"/>
        <v/>
      </c>
      <c r="Z266" t="str">
        <f t="shared" si="99"/>
        <v/>
      </c>
      <c r="AA266" t="str">
        <f t="shared" si="100"/>
        <v/>
      </c>
      <c r="AB266" t="str">
        <f>COUNTIFS(AC266:AC$596,AC266)&amp;AC266</f>
        <v>331</v>
      </c>
      <c r="AC266" t="str">
        <f t="shared" si="117"/>
        <v/>
      </c>
      <c r="AD266" t="str">
        <f>COUNTIFS(AC$2:AC266,AC266)&amp;AC266</f>
        <v>265</v>
      </c>
      <c r="AE266" t="str">
        <f t="shared" si="101"/>
        <v/>
      </c>
      <c r="AF266" t="str">
        <f t="shared" si="118"/>
        <v>..</v>
      </c>
      <c r="AG266" s="28" t="str">
        <f t="shared" si="102"/>
        <v/>
      </c>
      <c r="AH266" s="28" t="str">
        <f t="shared" si="103"/>
        <v/>
      </c>
      <c r="AI266" t="str">
        <f t="shared" si="104"/>
        <v/>
      </c>
      <c r="AJ266" t="str">
        <f t="shared" si="105"/>
        <v/>
      </c>
      <c r="AK266" t="str">
        <f t="shared" si="106"/>
        <v/>
      </c>
      <c r="AL266" t="str">
        <f t="shared" si="107"/>
        <v/>
      </c>
      <c r="AM266" t="str">
        <f t="shared" si="108"/>
        <v/>
      </c>
      <c r="AN266" t="str">
        <f t="shared" si="109"/>
        <v/>
      </c>
      <c r="AO266" t="str">
        <f t="shared" si="110"/>
        <v/>
      </c>
      <c r="AP266" t="str">
        <f t="shared" si="111"/>
        <v/>
      </c>
      <c r="AQ266" t="str">
        <f t="shared" si="112"/>
        <v/>
      </c>
      <c r="AR266" t="str">
        <f t="shared" si="113"/>
        <v/>
      </c>
      <c r="AS266" t="str">
        <f t="shared" si="114"/>
        <v/>
      </c>
      <c r="AT266" t="str">
        <f t="shared" si="115"/>
        <v/>
      </c>
      <c r="AU266" s="25" t="str">
        <f t="shared" si="119"/>
        <v/>
      </c>
      <c r="BA266">
        <f>'REGISTER SK'!F269</f>
        <v>0</v>
      </c>
    </row>
    <row r="267" spans="1:53" x14ac:dyDescent="0.35">
      <c r="A267" s="18">
        <v>266</v>
      </c>
      <c r="B267" s="36" t="s">
        <v>379</v>
      </c>
      <c r="C267" s="18" t="str">
        <f>IF(G267="","",IF(G267="Umum",G267,VLOOKUP(F267,'Data Induk Pegawai'!B:AE,4,FALSE)))</f>
        <v/>
      </c>
      <c r="D267" s="19" t="str">
        <f>IF('REGISTER SK'!A270="","",IF('REGISTER SK'!B270=0,D266,'REGISTER SK'!B270))</f>
        <v/>
      </c>
      <c r="E267" s="19" t="str">
        <f t="shared" si="116"/>
        <v/>
      </c>
      <c r="F267" s="29"/>
      <c r="G267" s="29"/>
      <c r="H267" s="31" t="str">
        <f>IF(F267="","",VLOOKUP(F267,'Data Induk Pegawai'!B:U,2,FALSE))</f>
        <v/>
      </c>
      <c r="I267" s="19" t="str">
        <f>IF('REGISTER SK'!C270="","",'REGISTER SK'!C270)</f>
        <v/>
      </c>
      <c r="J267" s="125"/>
      <c r="K267" s="125"/>
      <c r="L267" s="26" t="str">
        <f>IF('REGISTER SK'!D270="","",'REGISTER SK'!D270)</f>
        <v/>
      </c>
      <c r="M267" s="26" t="str">
        <f>IF('REGISTER SK'!E270="","",'REGISTER SK'!E270)</f>
        <v/>
      </c>
      <c r="N267" s="31" t="str">
        <f>IF(G267="","",IF(OR(G267="GTT",G267="PTT"),"--",VLOOKUP(F267,'Data Induk Pegawai'!B:AE,4,FALSE)))</f>
        <v/>
      </c>
      <c r="O267" s="18" t="s">
        <v>299</v>
      </c>
      <c r="P267" s="31" t="str">
        <f>IF(G267="","",VLOOKUP(F267,'Data Induk Pegawai'!B:AE,7,FALSE))</f>
        <v/>
      </c>
      <c r="Q267" s="30"/>
      <c r="R267" s="26" t="str">
        <f>IF(G267="","","Nomor "&amp;RIGHT(VLOOKUP(F267,'Data Induk Pegawai'!B:AE,12,FALSE),2)&amp;" Tahun "&amp;MID(VLOOKUP(F267,'Data Induk Pegawai'!B:AE,12,FALSE),5,4))</f>
        <v/>
      </c>
      <c r="S267" s="26" t="str">
        <f>IF(G267="","",VLOOKUP(F267,'Data Induk Pegawai'!B:AE,11,FALSE))</f>
        <v/>
      </c>
      <c r="T267" s="56"/>
      <c r="U267" s="18" t="str">
        <f t="shared" si="96"/>
        <v/>
      </c>
      <c r="V267" s="30"/>
      <c r="W267" s="18" t="str">
        <f t="shared" si="97"/>
        <v/>
      </c>
      <c r="X267" s="16"/>
      <c r="Y267" t="str">
        <f t="shared" si="98"/>
        <v/>
      </c>
      <c r="Z267" t="str">
        <f t="shared" si="99"/>
        <v/>
      </c>
      <c r="AA267" t="str">
        <f t="shared" si="100"/>
        <v/>
      </c>
      <c r="AB267" t="str">
        <f>COUNTIFS(AC267:AC$596,AC267)&amp;AC267</f>
        <v>330</v>
      </c>
      <c r="AC267" t="str">
        <f t="shared" si="117"/>
        <v/>
      </c>
      <c r="AD267" t="str">
        <f>COUNTIFS(AC$2:AC267,AC267)&amp;AC267</f>
        <v>266</v>
      </c>
      <c r="AE267" t="str">
        <f t="shared" si="101"/>
        <v/>
      </c>
      <c r="AF267" t="str">
        <f t="shared" si="118"/>
        <v>..</v>
      </c>
      <c r="AG267" s="28" t="str">
        <f t="shared" si="102"/>
        <v/>
      </c>
      <c r="AH267" s="28" t="str">
        <f t="shared" si="103"/>
        <v/>
      </c>
      <c r="AI267" t="str">
        <f t="shared" si="104"/>
        <v/>
      </c>
      <c r="AJ267" t="str">
        <f t="shared" si="105"/>
        <v/>
      </c>
      <c r="AK267" t="str">
        <f t="shared" si="106"/>
        <v/>
      </c>
      <c r="AL267" t="str">
        <f t="shared" si="107"/>
        <v/>
      </c>
      <c r="AM267" t="str">
        <f t="shared" si="108"/>
        <v/>
      </c>
      <c r="AN267" t="str">
        <f t="shared" si="109"/>
        <v/>
      </c>
      <c r="AO267" t="str">
        <f t="shared" si="110"/>
        <v/>
      </c>
      <c r="AP267" t="str">
        <f t="shared" si="111"/>
        <v/>
      </c>
      <c r="AQ267" t="str">
        <f t="shared" si="112"/>
        <v/>
      </c>
      <c r="AR267" t="str">
        <f t="shared" si="113"/>
        <v/>
      </c>
      <c r="AS267" t="str">
        <f t="shared" si="114"/>
        <v/>
      </c>
      <c r="AT267" t="str">
        <f t="shared" si="115"/>
        <v/>
      </c>
      <c r="AU267" s="25" t="str">
        <f t="shared" si="119"/>
        <v/>
      </c>
      <c r="BA267">
        <f>'REGISTER SK'!F270</f>
        <v>0</v>
      </c>
    </row>
    <row r="268" spans="1:53" x14ac:dyDescent="0.35">
      <c r="A268" s="18">
        <v>267</v>
      </c>
      <c r="B268" s="36" t="s">
        <v>379</v>
      </c>
      <c r="C268" s="18" t="str">
        <f>IF(G268="","",IF(G268="Umum",G268,VLOOKUP(F268,'Data Induk Pegawai'!B:AE,4,FALSE)))</f>
        <v/>
      </c>
      <c r="D268" s="19" t="str">
        <f>IF('REGISTER SK'!A271="","",IF('REGISTER SK'!B271=0,D267,'REGISTER SK'!B271))</f>
        <v/>
      </c>
      <c r="E268" s="19" t="str">
        <f t="shared" si="116"/>
        <v/>
      </c>
      <c r="F268" s="29"/>
      <c r="G268" s="29"/>
      <c r="H268" s="31" t="str">
        <f>IF(F268="","",VLOOKUP(F268,'Data Induk Pegawai'!B:U,2,FALSE))</f>
        <v/>
      </c>
      <c r="I268" s="19" t="str">
        <f>IF('REGISTER SK'!C271="","",'REGISTER SK'!C271)</f>
        <v/>
      </c>
      <c r="J268" s="125"/>
      <c r="K268" s="125"/>
      <c r="L268" s="26" t="str">
        <f>IF('REGISTER SK'!D271="","",'REGISTER SK'!D271)</f>
        <v/>
      </c>
      <c r="M268" s="26" t="str">
        <f>IF('REGISTER SK'!E271="","",'REGISTER SK'!E271)</f>
        <v/>
      </c>
      <c r="N268" s="31" t="str">
        <f>IF(G268="","",IF(OR(G268="GTT",G268="PTT"),"--",VLOOKUP(F268,'Data Induk Pegawai'!B:AE,4,FALSE)))</f>
        <v/>
      </c>
      <c r="O268" s="18" t="s">
        <v>310</v>
      </c>
      <c r="P268" s="31" t="str">
        <f>IF(G268="","",VLOOKUP(F268,'Data Induk Pegawai'!B:AE,7,FALSE))</f>
        <v/>
      </c>
      <c r="Q268" s="30"/>
      <c r="R268" s="26" t="str">
        <f>IF(G268="","","Nomor "&amp;RIGHT(VLOOKUP(F268,'Data Induk Pegawai'!B:AE,12,FALSE),2)&amp;" Tahun "&amp;MID(VLOOKUP(F268,'Data Induk Pegawai'!B:AE,12,FALSE),5,4))</f>
        <v/>
      </c>
      <c r="S268" s="26" t="str">
        <f>IF(G268="","",VLOOKUP(F268,'Data Induk Pegawai'!B:AE,11,FALSE))</f>
        <v/>
      </c>
      <c r="T268" s="56"/>
      <c r="U268" s="18" t="str">
        <f t="shared" si="96"/>
        <v/>
      </c>
      <c r="V268" s="30"/>
      <c r="W268" s="18" t="str">
        <f t="shared" si="97"/>
        <v/>
      </c>
      <c r="X268" s="16"/>
      <c r="Y268" t="str">
        <f t="shared" si="98"/>
        <v/>
      </c>
      <c r="Z268" t="str">
        <f t="shared" si="99"/>
        <v/>
      </c>
      <c r="AA268" t="str">
        <f t="shared" si="100"/>
        <v/>
      </c>
      <c r="AB268" t="str">
        <f>COUNTIFS(AC268:AC$596,AC268)&amp;AC268</f>
        <v>329</v>
      </c>
      <c r="AC268" t="str">
        <f t="shared" si="117"/>
        <v/>
      </c>
      <c r="AD268" t="str">
        <f>COUNTIFS(AC$2:AC268,AC268)&amp;AC268</f>
        <v>267</v>
      </c>
      <c r="AE268" t="str">
        <f t="shared" si="101"/>
        <v/>
      </c>
      <c r="AF268" t="str">
        <f t="shared" si="118"/>
        <v>..</v>
      </c>
      <c r="AG268" s="28" t="str">
        <f t="shared" si="102"/>
        <v/>
      </c>
      <c r="AH268" s="28" t="str">
        <f t="shared" si="103"/>
        <v/>
      </c>
      <c r="AI268" t="str">
        <f t="shared" si="104"/>
        <v/>
      </c>
      <c r="AJ268" t="str">
        <f t="shared" si="105"/>
        <v/>
      </c>
      <c r="AK268" t="str">
        <f t="shared" si="106"/>
        <v/>
      </c>
      <c r="AL268" t="str">
        <f t="shared" si="107"/>
        <v/>
      </c>
      <c r="AM268" t="str">
        <f t="shared" si="108"/>
        <v/>
      </c>
      <c r="AN268" t="str">
        <f t="shared" si="109"/>
        <v/>
      </c>
      <c r="AO268" t="str">
        <f t="shared" si="110"/>
        <v/>
      </c>
      <c r="AP268" t="str">
        <f t="shared" si="111"/>
        <v/>
      </c>
      <c r="AQ268" t="str">
        <f t="shared" si="112"/>
        <v/>
      </c>
      <c r="AR268" t="str">
        <f t="shared" si="113"/>
        <v/>
      </c>
      <c r="AS268" t="str">
        <f t="shared" si="114"/>
        <v/>
      </c>
      <c r="AT268" t="str">
        <f t="shared" si="115"/>
        <v/>
      </c>
      <c r="AU268" s="25" t="str">
        <f t="shared" si="119"/>
        <v/>
      </c>
      <c r="BA268">
        <f>'REGISTER SK'!F271</f>
        <v>0</v>
      </c>
    </row>
    <row r="269" spans="1:53" x14ac:dyDescent="0.35">
      <c r="A269" s="18">
        <v>268</v>
      </c>
      <c r="B269" s="36" t="s">
        <v>379</v>
      </c>
      <c r="C269" s="18" t="str">
        <f>IF(G269="","",IF(G269="Umum",G269,VLOOKUP(F269,'Data Induk Pegawai'!B:AE,4,FALSE)))</f>
        <v/>
      </c>
      <c r="D269" s="19" t="str">
        <f>IF('REGISTER SK'!A272="","",IF('REGISTER SK'!B272=0,D268,'REGISTER SK'!B272))</f>
        <v/>
      </c>
      <c r="E269" s="19" t="str">
        <f t="shared" si="116"/>
        <v/>
      </c>
      <c r="F269" s="29"/>
      <c r="G269" s="29"/>
      <c r="H269" s="31" t="str">
        <f>IF(F269="","",VLOOKUP(F269,'Data Induk Pegawai'!B:U,2,FALSE))</f>
        <v/>
      </c>
      <c r="I269" s="19" t="str">
        <f>IF('REGISTER SK'!C272="","",'REGISTER SK'!C272)</f>
        <v/>
      </c>
      <c r="J269" s="125"/>
      <c r="K269" s="125"/>
      <c r="L269" s="26" t="str">
        <f>IF('REGISTER SK'!D272="","",'REGISTER SK'!D272)</f>
        <v/>
      </c>
      <c r="M269" s="26" t="str">
        <f>IF('REGISTER SK'!E272="","",'REGISTER SK'!E272)</f>
        <v/>
      </c>
      <c r="N269" s="31" t="str">
        <f>IF(G269="","",IF(OR(G269="GTT",G269="PTT"),"--",VLOOKUP(F269,'Data Induk Pegawai'!B:AE,4,FALSE)))</f>
        <v/>
      </c>
      <c r="O269" s="18" t="s">
        <v>306</v>
      </c>
      <c r="P269" s="31" t="str">
        <f>IF(G269="","",VLOOKUP(F269,'Data Induk Pegawai'!B:AE,7,FALSE))</f>
        <v/>
      </c>
      <c r="Q269" s="30"/>
      <c r="R269" s="26" t="str">
        <f>IF(G269="","","Nomor "&amp;RIGHT(VLOOKUP(F269,'Data Induk Pegawai'!B:AE,12,FALSE),2)&amp;" Tahun "&amp;MID(VLOOKUP(F269,'Data Induk Pegawai'!B:AE,12,FALSE),5,4))</f>
        <v/>
      </c>
      <c r="S269" s="26" t="str">
        <f>IF(G269="","",VLOOKUP(F269,'Data Induk Pegawai'!B:AE,11,FALSE))</f>
        <v/>
      </c>
      <c r="T269" s="56"/>
      <c r="U269" s="18" t="str">
        <f t="shared" si="96"/>
        <v/>
      </c>
      <c r="V269" s="30"/>
      <c r="W269" s="18" t="str">
        <f t="shared" si="97"/>
        <v/>
      </c>
      <c r="X269" s="16"/>
      <c r="Y269" t="str">
        <f t="shared" si="98"/>
        <v/>
      </c>
      <c r="Z269" t="str">
        <f t="shared" si="99"/>
        <v/>
      </c>
      <c r="AA269" t="str">
        <f t="shared" si="100"/>
        <v/>
      </c>
      <c r="AB269" t="str">
        <f>COUNTIFS(AC269:AC$596,AC269)&amp;AC269</f>
        <v>328</v>
      </c>
      <c r="AC269" t="str">
        <f t="shared" si="117"/>
        <v/>
      </c>
      <c r="AD269" t="str">
        <f>COUNTIFS(AC$2:AC269,AC269)&amp;AC269</f>
        <v>268</v>
      </c>
      <c r="AE269" t="str">
        <f t="shared" si="101"/>
        <v/>
      </c>
      <c r="AF269" t="str">
        <f t="shared" si="118"/>
        <v>..</v>
      </c>
      <c r="AG269" s="28" t="str">
        <f t="shared" si="102"/>
        <v/>
      </c>
      <c r="AH269" s="28" t="str">
        <f t="shared" si="103"/>
        <v/>
      </c>
      <c r="AI269" t="str">
        <f t="shared" si="104"/>
        <v/>
      </c>
      <c r="AJ269" t="str">
        <f t="shared" si="105"/>
        <v/>
      </c>
      <c r="AK269" t="str">
        <f t="shared" si="106"/>
        <v/>
      </c>
      <c r="AL269" t="str">
        <f t="shared" si="107"/>
        <v/>
      </c>
      <c r="AM269" t="str">
        <f t="shared" si="108"/>
        <v/>
      </c>
      <c r="AN269" t="str">
        <f t="shared" si="109"/>
        <v/>
      </c>
      <c r="AO269" t="str">
        <f t="shared" si="110"/>
        <v/>
      </c>
      <c r="AP269" t="str">
        <f t="shared" si="111"/>
        <v/>
      </c>
      <c r="AQ269" t="str">
        <f t="shared" si="112"/>
        <v/>
      </c>
      <c r="AR269" t="str">
        <f t="shared" si="113"/>
        <v/>
      </c>
      <c r="AS269" t="str">
        <f t="shared" si="114"/>
        <v/>
      </c>
      <c r="AT269" t="str">
        <f t="shared" si="115"/>
        <v/>
      </c>
      <c r="AU269" s="25" t="str">
        <f t="shared" si="119"/>
        <v/>
      </c>
      <c r="BA269">
        <f>'REGISTER SK'!F272</f>
        <v>0</v>
      </c>
    </row>
    <row r="270" spans="1:53" x14ac:dyDescent="0.35">
      <c r="A270" s="18">
        <v>269</v>
      </c>
      <c r="B270" s="36" t="s">
        <v>379</v>
      </c>
      <c r="C270" s="18" t="str">
        <f>IF(G270="","",IF(G270="Umum",G270,VLOOKUP(F270,'Data Induk Pegawai'!B:AE,4,FALSE)))</f>
        <v/>
      </c>
      <c r="D270" s="19" t="str">
        <f>IF('REGISTER SK'!A273="","",IF('REGISTER SK'!B273=0,D269,'REGISTER SK'!B273))</f>
        <v/>
      </c>
      <c r="E270" s="19" t="str">
        <f t="shared" si="116"/>
        <v/>
      </c>
      <c r="F270" s="29"/>
      <c r="G270" s="29"/>
      <c r="H270" s="31" t="str">
        <f>IF(F270="","",VLOOKUP(F270,'Data Induk Pegawai'!B:U,2,FALSE))</f>
        <v/>
      </c>
      <c r="I270" s="19" t="str">
        <f>IF('REGISTER SK'!C273="","",'REGISTER SK'!C273)</f>
        <v/>
      </c>
      <c r="J270" s="125"/>
      <c r="K270" s="125"/>
      <c r="L270" s="26" t="str">
        <f>IF('REGISTER SK'!D273="","",'REGISTER SK'!D273)</f>
        <v/>
      </c>
      <c r="M270" s="26" t="str">
        <f>IF('REGISTER SK'!E273="","",'REGISTER SK'!E273)</f>
        <v/>
      </c>
      <c r="N270" s="31" t="str">
        <f>IF(G270="","",IF(OR(G270="GTT",G270="PTT"),"--",VLOOKUP(F270,'Data Induk Pegawai'!B:AE,4,FALSE)))</f>
        <v/>
      </c>
      <c r="O270" s="18" t="s">
        <v>307</v>
      </c>
      <c r="P270" s="31" t="str">
        <f>IF(G270="","",VLOOKUP(F270,'Data Induk Pegawai'!B:AE,7,FALSE))</f>
        <v/>
      </c>
      <c r="Q270" s="30"/>
      <c r="R270" s="26" t="str">
        <f>IF(G270="","","Nomor "&amp;RIGHT(VLOOKUP(F270,'Data Induk Pegawai'!B:AE,12,FALSE),2)&amp;" Tahun "&amp;MID(VLOOKUP(F270,'Data Induk Pegawai'!B:AE,12,FALSE),5,4))</f>
        <v/>
      </c>
      <c r="S270" s="26" t="str">
        <f>IF(G270="","",VLOOKUP(F270,'Data Induk Pegawai'!B:AE,11,FALSE))</f>
        <v/>
      </c>
      <c r="T270" s="56"/>
      <c r="U270" s="18" t="str">
        <f t="shared" si="96"/>
        <v/>
      </c>
      <c r="V270" s="30"/>
      <c r="W270" s="18" t="str">
        <f t="shared" si="97"/>
        <v/>
      </c>
      <c r="X270" s="16"/>
      <c r="Y270" t="str">
        <f t="shared" si="98"/>
        <v/>
      </c>
      <c r="Z270" t="str">
        <f t="shared" si="99"/>
        <v/>
      </c>
      <c r="AA270" t="str">
        <f t="shared" si="100"/>
        <v/>
      </c>
      <c r="AB270" t="str">
        <f>COUNTIFS(AC270:AC$596,AC270)&amp;AC270</f>
        <v>327</v>
      </c>
      <c r="AC270" t="str">
        <f t="shared" si="117"/>
        <v/>
      </c>
      <c r="AD270" t="str">
        <f>COUNTIFS(AC$2:AC270,AC270)&amp;AC270</f>
        <v>269</v>
      </c>
      <c r="AE270" t="str">
        <f t="shared" si="101"/>
        <v/>
      </c>
      <c r="AF270" t="str">
        <f t="shared" si="118"/>
        <v>..</v>
      </c>
      <c r="AG270" s="28" t="str">
        <f t="shared" si="102"/>
        <v/>
      </c>
      <c r="AH270" s="28" t="str">
        <f t="shared" si="103"/>
        <v/>
      </c>
      <c r="AI270" t="str">
        <f t="shared" si="104"/>
        <v/>
      </c>
      <c r="AJ270" t="str">
        <f t="shared" si="105"/>
        <v/>
      </c>
      <c r="AK270" t="str">
        <f t="shared" si="106"/>
        <v/>
      </c>
      <c r="AL270" t="str">
        <f t="shared" si="107"/>
        <v/>
      </c>
      <c r="AM270" t="str">
        <f t="shared" si="108"/>
        <v/>
      </c>
      <c r="AN270" t="str">
        <f t="shared" si="109"/>
        <v/>
      </c>
      <c r="AO270" t="str">
        <f t="shared" si="110"/>
        <v/>
      </c>
      <c r="AP270" t="str">
        <f t="shared" si="111"/>
        <v/>
      </c>
      <c r="AQ270" t="str">
        <f t="shared" si="112"/>
        <v/>
      </c>
      <c r="AR270" t="str">
        <f t="shared" si="113"/>
        <v/>
      </c>
      <c r="AS270" t="str">
        <f t="shared" si="114"/>
        <v/>
      </c>
      <c r="AT270" t="str">
        <f t="shared" si="115"/>
        <v/>
      </c>
      <c r="AU270" s="25" t="str">
        <f t="shared" si="119"/>
        <v/>
      </c>
      <c r="BA270">
        <f>'REGISTER SK'!F273</f>
        <v>0</v>
      </c>
    </row>
    <row r="271" spans="1:53" x14ac:dyDescent="0.35">
      <c r="A271" s="18">
        <v>270</v>
      </c>
      <c r="B271" s="36" t="s">
        <v>379</v>
      </c>
      <c r="C271" s="18" t="str">
        <f>IF(G271="","",IF(G271="Umum",G271,VLOOKUP(F271,'Data Induk Pegawai'!B:AE,4,FALSE)))</f>
        <v/>
      </c>
      <c r="D271" s="19" t="str">
        <f>IF('REGISTER SK'!A274="","",IF('REGISTER SK'!B274=0,D270,'REGISTER SK'!B274))</f>
        <v/>
      </c>
      <c r="E271" s="19" t="str">
        <f t="shared" si="116"/>
        <v/>
      </c>
      <c r="F271" s="29"/>
      <c r="G271" s="29"/>
      <c r="H271" s="31" t="str">
        <f>IF(F271="","",VLOOKUP(F271,'Data Induk Pegawai'!B:U,2,FALSE))</f>
        <v/>
      </c>
      <c r="I271" s="19" t="str">
        <f>IF('REGISTER SK'!C274="","",'REGISTER SK'!C274)</f>
        <v/>
      </c>
      <c r="J271" s="125"/>
      <c r="K271" s="125"/>
      <c r="L271" s="26" t="str">
        <f>IF('REGISTER SK'!D274="","",'REGISTER SK'!D274)</f>
        <v/>
      </c>
      <c r="M271" s="26" t="str">
        <f>IF('REGISTER SK'!E274="","",'REGISTER SK'!E274)</f>
        <v/>
      </c>
      <c r="N271" s="31" t="str">
        <f>IF(G271="","",IF(OR(G271="GTT",G271="PTT"),"--",VLOOKUP(F271,'Data Induk Pegawai'!B:AE,4,FALSE)))</f>
        <v/>
      </c>
      <c r="O271" s="18" t="s">
        <v>308</v>
      </c>
      <c r="P271" s="31" t="str">
        <f>IF(G271="","",VLOOKUP(F271,'Data Induk Pegawai'!B:AE,7,FALSE))</f>
        <v/>
      </c>
      <c r="Q271" s="30"/>
      <c r="R271" s="26" t="str">
        <f>IF(G271="","","Nomor "&amp;RIGHT(VLOOKUP(F271,'Data Induk Pegawai'!B:AE,12,FALSE),2)&amp;" Tahun "&amp;MID(VLOOKUP(F271,'Data Induk Pegawai'!B:AE,12,FALSE),5,4))</f>
        <v/>
      </c>
      <c r="S271" s="26" t="str">
        <f>IF(G271="","",VLOOKUP(F271,'Data Induk Pegawai'!B:AE,11,FALSE))</f>
        <v/>
      </c>
      <c r="T271" s="56"/>
      <c r="U271" s="18" t="str">
        <f t="shared" si="96"/>
        <v/>
      </c>
      <c r="V271" s="30"/>
      <c r="W271" s="18" t="str">
        <f t="shared" si="97"/>
        <v/>
      </c>
      <c r="X271" s="16"/>
      <c r="Y271" t="str">
        <f t="shared" si="98"/>
        <v/>
      </c>
      <c r="Z271" t="str">
        <f t="shared" si="99"/>
        <v/>
      </c>
      <c r="AA271" t="str">
        <f t="shared" si="100"/>
        <v/>
      </c>
      <c r="AB271" t="str">
        <f>COUNTIFS(AC271:AC$596,AC271)&amp;AC271</f>
        <v>326</v>
      </c>
      <c r="AC271" t="str">
        <f t="shared" si="117"/>
        <v/>
      </c>
      <c r="AD271" t="str">
        <f>COUNTIFS(AC$2:AC271,AC271)&amp;AC271</f>
        <v>270</v>
      </c>
      <c r="AE271" t="str">
        <f t="shared" si="101"/>
        <v/>
      </c>
      <c r="AF271" t="str">
        <f t="shared" si="118"/>
        <v>..</v>
      </c>
      <c r="AG271" s="28" t="str">
        <f t="shared" si="102"/>
        <v/>
      </c>
      <c r="AH271" s="28" t="str">
        <f t="shared" si="103"/>
        <v/>
      </c>
      <c r="AI271" t="str">
        <f t="shared" si="104"/>
        <v/>
      </c>
      <c r="AJ271" t="str">
        <f t="shared" si="105"/>
        <v/>
      </c>
      <c r="AK271" t="str">
        <f t="shared" si="106"/>
        <v/>
      </c>
      <c r="AL271" t="str">
        <f t="shared" si="107"/>
        <v/>
      </c>
      <c r="AM271" t="str">
        <f t="shared" si="108"/>
        <v/>
      </c>
      <c r="AN271" t="str">
        <f t="shared" si="109"/>
        <v/>
      </c>
      <c r="AO271" t="str">
        <f t="shared" si="110"/>
        <v/>
      </c>
      <c r="AP271" t="str">
        <f t="shared" si="111"/>
        <v/>
      </c>
      <c r="AQ271" t="str">
        <f t="shared" si="112"/>
        <v/>
      </c>
      <c r="AR271" t="str">
        <f t="shared" si="113"/>
        <v/>
      </c>
      <c r="AS271" t="str">
        <f t="shared" si="114"/>
        <v/>
      </c>
      <c r="AT271" t="str">
        <f t="shared" si="115"/>
        <v/>
      </c>
      <c r="AU271" s="25" t="str">
        <f t="shared" si="119"/>
        <v/>
      </c>
      <c r="BA271">
        <f>'REGISTER SK'!F274</f>
        <v>0</v>
      </c>
    </row>
    <row r="272" spans="1:53" x14ac:dyDescent="0.35">
      <c r="A272" s="18">
        <v>271</v>
      </c>
      <c r="B272" s="36" t="s">
        <v>379</v>
      </c>
      <c r="C272" s="18" t="str">
        <f>IF(G272="","",IF(G272="Umum",G272,VLOOKUP(F272,'Data Induk Pegawai'!B:AE,4,FALSE)))</f>
        <v/>
      </c>
      <c r="D272" s="19" t="str">
        <f>IF('REGISTER SK'!A275="","",IF('REGISTER SK'!B275=0,D271,'REGISTER SK'!B275))</f>
        <v/>
      </c>
      <c r="E272" s="19" t="str">
        <f t="shared" si="116"/>
        <v/>
      </c>
      <c r="F272" s="29"/>
      <c r="G272" s="29"/>
      <c r="H272" s="31" t="str">
        <f>IF(F272="","",VLOOKUP(F272,'Data Induk Pegawai'!B:U,2,FALSE))</f>
        <v/>
      </c>
      <c r="I272" s="19" t="str">
        <f>IF('REGISTER SK'!C275="","",'REGISTER SK'!C275)</f>
        <v/>
      </c>
      <c r="J272" s="125"/>
      <c r="K272" s="125"/>
      <c r="L272" s="26" t="str">
        <f>IF('REGISTER SK'!D275="","",'REGISTER SK'!D275)</f>
        <v/>
      </c>
      <c r="M272" s="26" t="str">
        <f>IF('REGISTER SK'!E275="","",'REGISTER SK'!E275)</f>
        <v/>
      </c>
      <c r="N272" s="31" t="str">
        <f>IF(G272="","",IF(OR(G272="GTT",G272="PTT"),"--",VLOOKUP(F272,'Data Induk Pegawai'!B:AE,4,FALSE)))</f>
        <v/>
      </c>
      <c r="O272" s="18" t="s">
        <v>309</v>
      </c>
      <c r="P272" s="31" t="str">
        <f>IF(G272="","",VLOOKUP(F272,'Data Induk Pegawai'!B:AE,7,FALSE))</f>
        <v/>
      </c>
      <c r="Q272" s="30"/>
      <c r="R272" s="26" t="str">
        <f>IF(G272="","","Nomor "&amp;RIGHT(VLOOKUP(F272,'Data Induk Pegawai'!B:AE,12,FALSE),2)&amp;" Tahun "&amp;MID(VLOOKUP(F272,'Data Induk Pegawai'!B:AE,12,FALSE),5,4))</f>
        <v/>
      </c>
      <c r="S272" s="26" t="str">
        <f>IF(G272="","",VLOOKUP(F272,'Data Induk Pegawai'!B:AE,11,FALSE))</f>
        <v/>
      </c>
      <c r="T272" s="56"/>
      <c r="U272" s="18" t="str">
        <f t="shared" si="96"/>
        <v/>
      </c>
      <c r="V272" s="30"/>
      <c r="W272" s="18" t="str">
        <f t="shared" si="97"/>
        <v/>
      </c>
      <c r="X272" s="16"/>
      <c r="Y272" t="str">
        <f t="shared" si="98"/>
        <v/>
      </c>
      <c r="Z272" t="str">
        <f t="shared" si="99"/>
        <v/>
      </c>
      <c r="AA272" t="str">
        <f t="shared" si="100"/>
        <v/>
      </c>
      <c r="AB272" t="str">
        <f>COUNTIFS(AC272:AC$596,AC272)&amp;AC272</f>
        <v>325</v>
      </c>
      <c r="AC272" t="str">
        <f t="shared" si="117"/>
        <v/>
      </c>
      <c r="AD272" t="str">
        <f>COUNTIFS(AC$2:AC272,AC272)&amp;AC272</f>
        <v>271</v>
      </c>
      <c r="AE272" t="str">
        <f t="shared" si="101"/>
        <v/>
      </c>
      <c r="AF272" t="str">
        <f t="shared" si="118"/>
        <v>..</v>
      </c>
      <c r="AG272" s="28" t="str">
        <f t="shared" si="102"/>
        <v/>
      </c>
      <c r="AH272" s="28" t="str">
        <f t="shared" si="103"/>
        <v/>
      </c>
      <c r="AI272" t="str">
        <f t="shared" si="104"/>
        <v/>
      </c>
      <c r="AJ272" t="str">
        <f t="shared" si="105"/>
        <v/>
      </c>
      <c r="AK272" t="str">
        <f t="shared" si="106"/>
        <v/>
      </c>
      <c r="AL272" t="str">
        <f t="shared" si="107"/>
        <v/>
      </c>
      <c r="AM272" t="str">
        <f t="shared" si="108"/>
        <v/>
      </c>
      <c r="AN272" t="str">
        <f t="shared" si="109"/>
        <v/>
      </c>
      <c r="AO272" t="str">
        <f t="shared" si="110"/>
        <v/>
      </c>
      <c r="AP272" t="str">
        <f t="shared" si="111"/>
        <v/>
      </c>
      <c r="AQ272" t="str">
        <f t="shared" si="112"/>
        <v/>
      </c>
      <c r="AR272" t="str">
        <f t="shared" si="113"/>
        <v/>
      </c>
      <c r="AS272" t="str">
        <f t="shared" si="114"/>
        <v/>
      </c>
      <c r="AT272" t="str">
        <f t="shared" si="115"/>
        <v/>
      </c>
      <c r="AU272" s="25" t="str">
        <f t="shared" si="119"/>
        <v/>
      </c>
      <c r="BA272">
        <f>'REGISTER SK'!F275</f>
        <v>0</v>
      </c>
    </row>
    <row r="273" spans="1:53" x14ac:dyDescent="0.35">
      <c r="A273" s="18">
        <v>272</v>
      </c>
      <c r="B273" s="36" t="s">
        <v>379</v>
      </c>
      <c r="C273" s="18" t="str">
        <f>IF(G273="","",IF(G273="Umum",G273,VLOOKUP(F273,'Data Induk Pegawai'!B:AE,4,FALSE)))</f>
        <v/>
      </c>
      <c r="D273" s="19" t="str">
        <f>IF('REGISTER SK'!A276="","",IF('REGISTER SK'!B276=0,D272,'REGISTER SK'!B276))</f>
        <v/>
      </c>
      <c r="E273" s="19" t="str">
        <f t="shared" si="116"/>
        <v/>
      </c>
      <c r="F273" s="29"/>
      <c r="G273" s="29"/>
      <c r="H273" s="31" t="str">
        <f>IF(F273="","",VLOOKUP(F273,'Data Induk Pegawai'!B:U,2,FALSE))</f>
        <v/>
      </c>
      <c r="I273" s="19" t="str">
        <f>IF('REGISTER SK'!C276="","",'REGISTER SK'!C276)</f>
        <v/>
      </c>
      <c r="J273" s="125"/>
      <c r="K273" s="125"/>
      <c r="L273" s="26" t="str">
        <f>IF('REGISTER SK'!D276="","",'REGISTER SK'!D276)</f>
        <v/>
      </c>
      <c r="M273" s="26" t="str">
        <f>IF('REGISTER SK'!E276="","",'REGISTER SK'!E276)</f>
        <v/>
      </c>
      <c r="N273" s="31" t="str">
        <f>IF(G273="","",IF(OR(G273="GTT",G273="PTT"),"--",VLOOKUP(F273,'Data Induk Pegawai'!B:AE,4,FALSE)))</f>
        <v/>
      </c>
      <c r="O273" s="18" t="s">
        <v>312</v>
      </c>
      <c r="P273" s="31" t="str">
        <f>IF(G273="","",VLOOKUP(F273,'Data Induk Pegawai'!B:AE,7,FALSE))</f>
        <v/>
      </c>
      <c r="Q273" s="30"/>
      <c r="R273" s="26" t="str">
        <f>IF(G273="","","Nomor "&amp;RIGHT(VLOOKUP(F273,'Data Induk Pegawai'!B:AE,12,FALSE),2)&amp;" Tahun "&amp;MID(VLOOKUP(F273,'Data Induk Pegawai'!B:AE,12,FALSE),5,4))</f>
        <v/>
      </c>
      <c r="S273" s="26" t="str">
        <f>IF(G273="","",VLOOKUP(F273,'Data Induk Pegawai'!B:AE,11,FALSE))</f>
        <v/>
      </c>
      <c r="T273" s="56"/>
      <c r="U273" s="18" t="str">
        <f t="shared" si="96"/>
        <v/>
      </c>
      <c r="V273" s="30"/>
      <c r="W273" s="18" t="str">
        <f t="shared" si="97"/>
        <v/>
      </c>
      <c r="X273" s="16"/>
      <c r="Y273" t="str">
        <f t="shared" si="98"/>
        <v/>
      </c>
      <c r="Z273" t="str">
        <f t="shared" si="99"/>
        <v/>
      </c>
      <c r="AA273" t="str">
        <f t="shared" si="100"/>
        <v/>
      </c>
      <c r="AB273" t="str">
        <f>COUNTIFS(AC273:AC$596,AC273)&amp;AC273</f>
        <v>324</v>
      </c>
      <c r="AC273" t="str">
        <f t="shared" si="117"/>
        <v/>
      </c>
      <c r="AD273" t="str">
        <f>COUNTIFS(AC$2:AC273,AC273)&amp;AC273</f>
        <v>272</v>
      </c>
      <c r="AE273" t="str">
        <f t="shared" si="101"/>
        <v/>
      </c>
      <c r="AF273" t="str">
        <f t="shared" si="118"/>
        <v>..</v>
      </c>
      <c r="AG273" s="28" t="str">
        <f t="shared" si="102"/>
        <v/>
      </c>
      <c r="AH273" s="28" t="str">
        <f t="shared" si="103"/>
        <v/>
      </c>
      <c r="AI273" t="str">
        <f t="shared" si="104"/>
        <v/>
      </c>
      <c r="AJ273" t="str">
        <f t="shared" si="105"/>
        <v/>
      </c>
      <c r="AK273" t="str">
        <f t="shared" si="106"/>
        <v/>
      </c>
      <c r="AL273" t="str">
        <f t="shared" si="107"/>
        <v/>
      </c>
      <c r="AM273" t="str">
        <f t="shared" si="108"/>
        <v/>
      </c>
      <c r="AN273" t="str">
        <f t="shared" si="109"/>
        <v/>
      </c>
      <c r="AO273" t="str">
        <f t="shared" si="110"/>
        <v/>
      </c>
      <c r="AP273" t="str">
        <f t="shared" si="111"/>
        <v/>
      </c>
      <c r="AQ273" t="str">
        <f t="shared" si="112"/>
        <v/>
      </c>
      <c r="AR273" t="str">
        <f t="shared" si="113"/>
        <v/>
      </c>
      <c r="AS273" t="str">
        <f t="shared" si="114"/>
        <v/>
      </c>
      <c r="AT273" t="str">
        <f t="shared" si="115"/>
        <v/>
      </c>
      <c r="AU273" s="25" t="str">
        <f t="shared" si="119"/>
        <v/>
      </c>
      <c r="BA273">
        <f>'REGISTER SK'!F276</f>
        <v>0</v>
      </c>
    </row>
    <row r="274" spans="1:53" x14ac:dyDescent="0.35">
      <c r="A274" s="18">
        <v>273</v>
      </c>
      <c r="B274" s="36" t="s">
        <v>379</v>
      </c>
      <c r="C274" s="18" t="str">
        <f>IF(G274="","",IF(G274="Umum",G274,VLOOKUP(F274,'Data Induk Pegawai'!B:AE,4,FALSE)))</f>
        <v/>
      </c>
      <c r="D274" s="19" t="str">
        <f>IF('REGISTER SK'!A277="","",IF('REGISTER SK'!B277=0,D273,'REGISTER SK'!B277))</f>
        <v/>
      </c>
      <c r="E274" s="19" t="str">
        <f t="shared" si="116"/>
        <v/>
      </c>
      <c r="F274" s="29"/>
      <c r="G274" s="29"/>
      <c r="H274" s="31" t="str">
        <f>IF(F274="","",VLOOKUP(F274,'Data Induk Pegawai'!B:U,2,FALSE))</f>
        <v/>
      </c>
      <c r="I274" s="19" t="str">
        <f>IF('REGISTER SK'!C277="","",'REGISTER SK'!C277)</f>
        <v/>
      </c>
      <c r="J274" s="125"/>
      <c r="K274" s="125"/>
      <c r="L274" s="26" t="str">
        <f>IF('REGISTER SK'!D277="","",'REGISTER SK'!D277)</f>
        <v/>
      </c>
      <c r="M274" s="26" t="str">
        <f>IF('REGISTER SK'!E277="","",'REGISTER SK'!E277)</f>
        <v/>
      </c>
      <c r="N274" s="31" t="str">
        <f>IF(G274="","",IF(OR(G274="GTT",G274="PTT"),"--",VLOOKUP(F274,'Data Induk Pegawai'!B:AE,4,FALSE)))</f>
        <v/>
      </c>
      <c r="O274" s="18" t="s">
        <v>313</v>
      </c>
      <c r="P274" s="31" t="str">
        <f>IF(G274="","",VLOOKUP(F274,'Data Induk Pegawai'!B:AE,7,FALSE))</f>
        <v/>
      </c>
      <c r="Q274" s="30"/>
      <c r="R274" s="26" t="str">
        <f>IF(G274="","","Nomor "&amp;RIGHT(VLOOKUP(F274,'Data Induk Pegawai'!B:AE,12,FALSE),2)&amp;" Tahun "&amp;MID(VLOOKUP(F274,'Data Induk Pegawai'!B:AE,12,FALSE),5,4))</f>
        <v/>
      </c>
      <c r="S274" s="26" t="str">
        <f>IF(G274="","",VLOOKUP(F274,'Data Induk Pegawai'!B:AE,11,FALSE))</f>
        <v/>
      </c>
      <c r="T274" s="56"/>
      <c r="U274" s="18" t="str">
        <f t="shared" si="96"/>
        <v/>
      </c>
      <c r="V274" s="30"/>
      <c r="W274" s="18" t="str">
        <f t="shared" si="97"/>
        <v/>
      </c>
      <c r="X274" s="16"/>
      <c r="Y274" t="str">
        <f t="shared" si="98"/>
        <v/>
      </c>
      <c r="Z274" t="str">
        <f t="shared" si="99"/>
        <v/>
      </c>
      <c r="AA274" t="str">
        <f t="shared" si="100"/>
        <v/>
      </c>
      <c r="AB274" t="str">
        <f>COUNTIFS(AC274:AC$596,AC274)&amp;AC274</f>
        <v>323</v>
      </c>
      <c r="AC274" t="str">
        <f t="shared" si="117"/>
        <v/>
      </c>
      <c r="AD274" t="str">
        <f>COUNTIFS(AC$2:AC274,AC274)&amp;AC274</f>
        <v>273</v>
      </c>
      <c r="AE274" t="str">
        <f t="shared" si="101"/>
        <v/>
      </c>
      <c r="AF274" t="str">
        <f t="shared" si="118"/>
        <v>..</v>
      </c>
      <c r="AG274" s="28" t="str">
        <f t="shared" si="102"/>
        <v/>
      </c>
      <c r="AH274" s="28" t="str">
        <f t="shared" si="103"/>
        <v/>
      </c>
      <c r="AI274" t="str">
        <f t="shared" si="104"/>
        <v/>
      </c>
      <c r="AJ274" t="str">
        <f t="shared" si="105"/>
        <v/>
      </c>
      <c r="AK274" t="str">
        <f t="shared" si="106"/>
        <v/>
      </c>
      <c r="AL274" t="str">
        <f t="shared" si="107"/>
        <v/>
      </c>
      <c r="AM274" t="str">
        <f t="shared" si="108"/>
        <v/>
      </c>
      <c r="AN274" t="str">
        <f t="shared" si="109"/>
        <v/>
      </c>
      <c r="AO274" t="str">
        <f t="shared" si="110"/>
        <v/>
      </c>
      <c r="AP274" t="str">
        <f t="shared" si="111"/>
        <v/>
      </c>
      <c r="AQ274" t="str">
        <f t="shared" si="112"/>
        <v/>
      </c>
      <c r="AR274" t="str">
        <f t="shared" si="113"/>
        <v/>
      </c>
      <c r="AS274" t="str">
        <f t="shared" si="114"/>
        <v/>
      </c>
      <c r="AT274" t="str">
        <f t="shared" si="115"/>
        <v/>
      </c>
      <c r="AU274" s="25" t="str">
        <f t="shared" si="119"/>
        <v/>
      </c>
      <c r="BA274">
        <f>'REGISTER SK'!F277</f>
        <v>0</v>
      </c>
    </row>
    <row r="275" spans="1:53" x14ac:dyDescent="0.35">
      <c r="A275" s="18">
        <v>274</v>
      </c>
      <c r="B275" s="36" t="s">
        <v>379</v>
      </c>
      <c r="C275" s="18" t="str">
        <f>IF(G275="","",IF(G275="Umum",G275,VLOOKUP(F275,'Data Induk Pegawai'!B:AE,4,FALSE)))</f>
        <v/>
      </c>
      <c r="D275" s="19" t="str">
        <f>IF('REGISTER SK'!A278="","",IF('REGISTER SK'!B278=0,D274,'REGISTER SK'!B278))</f>
        <v/>
      </c>
      <c r="E275" s="19" t="str">
        <f t="shared" si="116"/>
        <v/>
      </c>
      <c r="F275" s="29"/>
      <c r="G275" s="29"/>
      <c r="H275" s="31" t="str">
        <f>IF(F275="","",VLOOKUP(F275,'Data Induk Pegawai'!B:U,2,FALSE))</f>
        <v/>
      </c>
      <c r="I275" s="19" t="str">
        <f>IF('REGISTER SK'!C278="","",'REGISTER SK'!C278)</f>
        <v/>
      </c>
      <c r="J275" s="125"/>
      <c r="K275" s="125"/>
      <c r="L275" s="26" t="str">
        <f>IF('REGISTER SK'!D278="","",'REGISTER SK'!D278)</f>
        <v/>
      </c>
      <c r="M275" s="26" t="str">
        <f>IF('REGISTER SK'!E278="","",'REGISTER SK'!E278)</f>
        <v/>
      </c>
      <c r="N275" s="31" t="str">
        <f>IF(G275="","",IF(OR(G275="GTT",G275="PTT"),"--",VLOOKUP(F275,'Data Induk Pegawai'!B:AE,4,FALSE)))</f>
        <v/>
      </c>
      <c r="O275" s="18" t="s">
        <v>317</v>
      </c>
      <c r="P275" s="31" t="str">
        <f>IF(G275="","",VLOOKUP(F275,'Data Induk Pegawai'!B:AE,7,FALSE))</f>
        <v/>
      </c>
      <c r="Q275" s="30"/>
      <c r="R275" s="26" t="str">
        <f>IF(G275="","","Nomor "&amp;RIGHT(VLOOKUP(F275,'Data Induk Pegawai'!B:AE,12,FALSE),2)&amp;" Tahun "&amp;MID(VLOOKUP(F275,'Data Induk Pegawai'!B:AE,12,FALSE),5,4))</f>
        <v/>
      </c>
      <c r="S275" s="26" t="str">
        <f>IF(G275="","",VLOOKUP(F275,'Data Induk Pegawai'!B:AE,11,FALSE))</f>
        <v/>
      </c>
      <c r="T275" s="56"/>
      <c r="U275" s="18" t="str">
        <f t="shared" si="96"/>
        <v/>
      </c>
      <c r="V275" s="30"/>
      <c r="W275" s="18" t="str">
        <f t="shared" si="97"/>
        <v/>
      </c>
      <c r="X275" s="16"/>
      <c r="Y275" t="str">
        <f t="shared" si="98"/>
        <v/>
      </c>
      <c r="Z275" t="str">
        <f t="shared" si="99"/>
        <v/>
      </c>
      <c r="AA275" t="str">
        <f t="shared" si="100"/>
        <v/>
      </c>
      <c r="AB275" t="str">
        <f>COUNTIFS(AC275:AC$596,AC275)&amp;AC275</f>
        <v>322</v>
      </c>
      <c r="AC275" t="str">
        <f t="shared" si="117"/>
        <v/>
      </c>
      <c r="AD275" t="str">
        <f>COUNTIFS(AC$2:AC275,AC275)&amp;AC275</f>
        <v>274</v>
      </c>
      <c r="AE275" t="str">
        <f t="shared" si="101"/>
        <v/>
      </c>
      <c r="AF275" t="str">
        <f t="shared" si="118"/>
        <v>..</v>
      </c>
      <c r="AG275" s="28" t="str">
        <f t="shared" si="102"/>
        <v/>
      </c>
      <c r="AH275" s="28" t="str">
        <f t="shared" si="103"/>
        <v/>
      </c>
      <c r="AI275" t="str">
        <f t="shared" si="104"/>
        <v/>
      </c>
      <c r="AJ275" t="str">
        <f t="shared" si="105"/>
        <v/>
      </c>
      <c r="AK275" t="str">
        <f t="shared" si="106"/>
        <v/>
      </c>
      <c r="AL275" t="str">
        <f t="shared" si="107"/>
        <v/>
      </c>
      <c r="AM275" t="str">
        <f t="shared" si="108"/>
        <v/>
      </c>
      <c r="AN275" t="str">
        <f t="shared" si="109"/>
        <v/>
      </c>
      <c r="AO275" t="str">
        <f t="shared" si="110"/>
        <v/>
      </c>
      <c r="AP275" t="str">
        <f t="shared" si="111"/>
        <v/>
      </c>
      <c r="AQ275" t="str">
        <f t="shared" si="112"/>
        <v/>
      </c>
      <c r="AR275" t="str">
        <f t="shared" si="113"/>
        <v/>
      </c>
      <c r="AS275" t="str">
        <f t="shared" si="114"/>
        <v/>
      </c>
      <c r="AT275" t="str">
        <f t="shared" si="115"/>
        <v/>
      </c>
      <c r="AU275" s="25" t="str">
        <f t="shared" si="119"/>
        <v/>
      </c>
      <c r="BA275">
        <f>'REGISTER SK'!F278</f>
        <v>0</v>
      </c>
    </row>
    <row r="276" spans="1:53" x14ac:dyDescent="0.35">
      <c r="A276" s="18">
        <v>275</v>
      </c>
      <c r="B276" s="36" t="s">
        <v>379</v>
      </c>
      <c r="C276" s="18" t="str">
        <f>IF(G276="","",IF(G276="Umum",G276,VLOOKUP(F276,'Data Induk Pegawai'!B:AE,4,FALSE)))</f>
        <v/>
      </c>
      <c r="D276" s="19" t="str">
        <f>IF('REGISTER SK'!A279="","",IF('REGISTER SK'!B279=0,D275,'REGISTER SK'!B279))</f>
        <v/>
      </c>
      <c r="E276" s="19" t="str">
        <f t="shared" si="116"/>
        <v/>
      </c>
      <c r="F276" s="29"/>
      <c r="G276" s="29"/>
      <c r="H276" s="31" t="str">
        <f>IF(F276="","",VLOOKUP(F276,'Data Induk Pegawai'!B:U,2,FALSE))</f>
        <v/>
      </c>
      <c r="I276" s="19" t="str">
        <f>IF('REGISTER SK'!C279="","",'REGISTER SK'!C279)</f>
        <v/>
      </c>
      <c r="J276" s="125"/>
      <c r="K276" s="125"/>
      <c r="L276" s="26" t="str">
        <f>IF('REGISTER SK'!D279="","",'REGISTER SK'!D279)</f>
        <v/>
      </c>
      <c r="M276" s="26" t="str">
        <f>IF('REGISTER SK'!E279="","",'REGISTER SK'!E279)</f>
        <v/>
      </c>
      <c r="N276" s="31" t="str">
        <f>IF(G276="","",IF(OR(G276="GTT",G276="PTT"),"--",VLOOKUP(F276,'Data Induk Pegawai'!B:AE,4,FALSE)))</f>
        <v/>
      </c>
      <c r="O276" s="18" t="s">
        <v>316</v>
      </c>
      <c r="P276" s="31" t="str">
        <f>IF(G276="","",VLOOKUP(F276,'Data Induk Pegawai'!B:AE,7,FALSE))</f>
        <v/>
      </c>
      <c r="Q276" s="30"/>
      <c r="R276" s="26" t="str">
        <f>IF(G276="","","Nomor "&amp;RIGHT(VLOOKUP(F276,'Data Induk Pegawai'!B:AE,12,FALSE),2)&amp;" Tahun "&amp;MID(VLOOKUP(F276,'Data Induk Pegawai'!B:AE,12,FALSE),5,4))</f>
        <v/>
      </c>
      <c r="S276" s="26" t="str">
        <f>IF(G276="","",VLOOKUP(F276,'Data Induk Pegawai'!B:AE,11,FALSE))</f>
        <v/>
      </c>
      <c r="T276" s="56"/>
      <c r="U276" s="18" t="str">
        <f t="shared" si="96"/>
        <v/>
      </c>
      <c r="V276" s="30"/>
      <c r="W276" s="18" t="str">
        <f t="shared" si="97"/>
        <v/>
      </c>
      <c r="X276" s="16"/>
      <c r="Y276" t="str">
        <f t="shared" si="98"/>
        <v/>
      </c>
      <c r="Z276" t="str">
        <f t="shared" si="99"/>
        <v/>
      </c>
      <c r="AA276" t="str">
        <f t="shared" si="100"/>
        <v/>
      </c>
      <c r="AB276" t="str">
        <f>COUNTIFS(AC276:AC$596,AC276)&amp;AC276</f>
        <v>321</v>
      </c>
      <c r="AC276" t="str">
        <f t="shared" si="117"/>
        <v/>
      </c>
      <c r="AD276" t="str">
        <f>COUNTIFS(AC$2:AC276,AC276)&amp;AC276</f>
        <v>275</v>
      </c>
      <c r="AE276" t="str">
        <f t="shared" si="101"/>
        <v/>
      </c>
      <c r="AF276" t="str">
        <f t="shared" si="118"/>
        <v>..</v>
      </c>
      <c r="AG276" s="28" t="str">
        <f t="shared" si="102"/>
        <v/>
      </c>
      <c r="AH276" s="28" t="str">
        <f t="shared" si="103"/>
        <v/>
      </c>
      <c r="AI276" t="str">
        <f t="shared" si="104"/>
        <v/>
      </c>
      <c r="AJ276" t="str">
        <f t="shared" si="105"/>
        <v/>
      </c>
      <c r="AK276" t="str">
        <f t="shared" si="106"/>
        <v/>
      </c>
      <c r="AL276" t="str">
        <f t="shared" si="107"/>
        <v/>
      </c>
      <c r="AM276" t="str">
        <f t="shared" si="108"/>
        <v/>
      </c>
      <c r="AN276" t="str">
        <f t="shared" si="109"/>
        <v/>
      </c>
      <c r="AO276" t="str">
        <f t="shared" si="110"/>
        <v/>
      </c>
      <c r="AP276" t="str">
        <f t="shared" si="111"/>
        <v/>
      </c>
      <c r="AQ276" t="str">
        <f t="shared" si="112"/>
        <v/>
      </c>
      <c r="AR276" t="str">
        <f t="shared" si="113"/>
        <v/>
      </c>
      <c r="AS276" t="str">
        <f t="shared" si="114"/>
        <v/>
      </c>
      <c r="AT276" t="str">
        <f t="shared" si="115"/>
        <v/>
      </c>
      <c r="AU276" s="25" t="str">
        <f t="shared" si="119"/>
        <v/>
      </c>
      <c r="BA276">
        <f>'REGISTER SK'!F279</f>
        <v>0</v>
      </c>
    </row>
    <row r="277" spans="1:53" x14ac:dyDescent="0.35">
      <c r="A277" s="18">
        <v>276</v>
      </c>
      <c r="B277" s="36" t="s">
        <v>379</v>
      </c>
      <c r="C277" s="18" t="str">
        <f>IF(G277="","",IF(G277="Umum",G277,VLOOKUP(F277,'Data Induk Pegawai'!B:AE,4,FALSE)))</f>
        <v/>
      </c>
      <c r="D277" s="19" t="str">
        <f>IF('REGISTER SK'!A280="","",IF('REGISTER SK'!B280=0,D276,'REGISTER SK'!B280))</f>
        <v/>
      </c>
      <c r="E277" s="19" t="str">
        <f t="shared" si="116"/>
        <v/>
      </c>
      <c r="F277" s="29"/>
      <c r="G277" s="29"/>
      <c r="H277" s="31" t="str">
        <f>IF(F277="","",VLOOKUP(F277,'Data Induk Pegawai'!B:U,2,FALSE))</f>
        <v/>
      </c>
      <c r="I277" s="19" t="str">
        <f>IF('REGISTER SK'!C280="","",'REGISTER SK'!C280)</f>
        <v/>
      </c>
      <c r="J277" s="125"/>
      <c r="K277" s="125"/>
      <c r="L277" s="26" t="str">
        <f>IF('REGISTER SK'!D280="","",'REGISTER SK'!D280)</f>
        <v/>
      </c>
      <c r="M277" s="26" t="str">
        <f>IF('REGISTER SK'!E280="","",'REGISTER SK'!E280)</f>
        <v/>
      </c>
      <c r="N277" s="31" t="str">
        <f>IF(G277="","",IF(OR(G277="GTT",G277="PTT"),"--",VLOOKUP(F277,'Data Induk Pegawai'!B:AE,4,FALSE)))</f>
        <v/>
      </c>
      <c r="O277" s="18" t="s">
        <v>324</v>
      </c>
      <c r="P277" s="31" t="str">
        <f>IF(G277="","",VLOOKUP(F277,'Data Induk Pegawai'!B:AE,7,FALSE))</f>
        <v/>
      </c>
      <c r="Q277" s="30"/>
      <c r="R277" s="26" t="str">
        <f>IF(G277="","","Nomor "&amp;RIGHT(VLOOKUP(F277,'Data Induk Pegawai'!B:AE,12,FALSE),2)&amp;" Tahun "&amp;MID(VLOOKUP(F277,'Data Induk Pegawai'!B:AE,12,FALSE),5,4))</f>
        <v/>
      </c>
      <c r="S277" s="26" t="str">
        <f>IF(G277="","",VLOOKUP(F277,'Data Induk Pegawai'!B:AE,11,FALSE))</f>
        <v/>
      </c>
      <c r="T277" s="56"/>
      <c r="U277" s="18" t="str">
        <f t="shared" si="96"/>
        <v/>
      </c>
      <c r="V277" s="30"/>
      <c r="W277" s="18" t="str">
        <f t="shared" si="97"/>
        <v/>
      </c>
      <c r="X277" s="16"/>
      <c r="Y277" t="str">
        <f t="shared" si="98"/>
        <v/>
      </c>
      <c r="Z277" t="str">
        <f t="shared" si="99"/>
        <v/>
      </c>
      <c r="AA277" t="str">
        <f t="shared" si="100"/>
        <v/>
      </c>
      <c r="AB277" t="str">
        <f>COUNTIFS(AC277:AC$596,AC277)&amp;AC277</f>
        <v>320</v>
      </c>
      <c r="AC277" t="str">
        <f t="shared" si="117"/>
        <v/>
      </c>
      <c r="AD277" t="str">
        <f>COUNTIFS(AC$2:AC277,AC277)&amp;AC277</f>
        <v>276</v>
      </c>
      <c r="AE277" t="str">
        <f t="shared" si="101"/>
        <v/>
      </c>
      <c r="AF277" t="str">
        <f t="shared" si="118"/>
        <v>..</v>
      </c>
      <c r="AG277" s="28" t="str">
        <f t="shared" si="102"/>
        <v/>
      </c>
      <c r="AH277" s="28" t="str">
        <f t="shared" si="103"/>
        <v/>
      </c>
      <c r="AI277" t="str">
        <f t="shared" si="104"/>
        <v/>
      </c>
      <c r="AJ277" t="str">
        <f t="shared" si="105"/>
        <v/>
      </c>
      <c r="AK277" t="str">
        <f t="shared" si="106"/>
        <v/>
      </c>
      <c r="AL277" t="str">
        <f t="shared" si="107"/>
        <v/>
      </c>
      <c r="AM277" t="str">
        <f t="shared" si="108"/>
        <v/>
      </c>
      <c r="AN277" t="str">
        <f t="shared" si="109"/>
        <v/>
      </c>
      <c r="AO277" t="str">
        <f t="shared" si="110"/>
        <v/>
      </c>
      <c r="AP277" t="str">
        <f t="shared" si="111"/>
        <v/>
      </c>
      <c r="AQ277" t="str">
        <f t="shared" si="112"/>
        <v/>
      </c>
      <c r="AR277" t="str">
        <f t="shared" si="113"/>
        <v/>
      </c>
      <c r="AS277" t="str">
        <f t="shared" si="114"/>
        <v/>
      </c>
      <c r="AT277" t="str">
        <f t="shared" si="115"/>
        <v/>
      </c>
      <c r="AU277" s="25" t="str">
        <f t="shared" si="119"/>
        <v/>
      </c>
      <c r="BA277">
        <f>'REGISTER SK'!F280</f>
        <v>0</v>
      </c>
    </row>
    <row r="278" spans="1:53" x14ac:dyDescent="0.35">
      <c r="A278" s="18">
        <v>277</v>
      </c>
      <c r="B278" s="36" t="s">
        <v>379</v>
      </c>
      <c r="C278" s="18" t="str">
        <f>IF(G278="","",IF(G278="Umum",G278,VLOOKUP(F278,'Data Induk Pegawai'!B:AE,4,FALSE)))</f>
        <v/>
      </c>
      <c r="D278" s="19" t="str">
        <f>IF('REGISTER SK'!A281="","",IF('REGISTER SK'!B281=0,D277,'REGISTER SK'!B281))</f>
        <v/>
      </c>
      <c r="E278" s="19" t="str">
        <f t="shared" si="116"/>
        <v/>
      </c>
      <c r="F278" s="29"/>
      <c r="G278" s="29"/>
      <c r="H278" s="31" t="str">
        <f>IF(F278="","",VLOOKUP(F278,'Data Induk Pegawai'!B:U,2,FALSE))</f>
        <v/>
      </c>
      <c r="I278" s="19" t="str">
        <f>IF('REGISTER SK'!C281="","",'REGISTER SK'!C281)</f>
        <v/>
      </c>
      <c r="J278" s="125"/>
      <c r="K278" s="125"/>
      <c r="L278" s="26" t="str">
        <f>IF('REGISTER SK'!D281="","",'REGISTER SK'!D281)</f>
        <v/>
      </c>
      <c r="M278" s="26" t="str">
        <f>IF('REGISTER SK'!E281="","",'REGISTER SK'!E281)</f>
        <v/>
      </c>
      <c r="N278" s="31" t="str">
        <f>IF(G278="","",IF(OR(G278="GTT",G278="PTT"),"--",VLOOKUP(F278,'Data Induk Pegawai'!B:AE,4,FALSE)))</f>
        <v/>
      </c>
      <c r="O278" s="18" t="s">
        <v>322</v>
      </c>
      <c r="P278" s="31" t="str">
        <f>IF(G278="","",VLOOKUP(F278,'Data Induk Pegawai'!B:AE,7,FALSE))</f>
        <v/>
      </c>
      <c r="Q278" s="30"/>
      <c r="R278" s="26" t="str">
        <f>IF(G278="","","Nomor "&amp;RIGHT(VLOOKUP(F278,'Data Induk Pegawai'!B:AE,12,FALSE),2)&amp;" Tahun "&amp;MID(VLOOKUP(F278,'Data Induk Pegawai'!B:AE,12,FALSE),5,4))</f>
        <v/>
      </c>
      <c r="S278" s="26" t="str">
        <f>IF(G278="","",VLOOKUP(F278,'Data Induk Pegawai'!B:AE,11,FALSE))</f>
        <v/>
      </c>
      <c r="T278" s="56"/>
      <c r="U278" s="18" t="str">
        <f t="shared" si="96"/>
        <v/>
      </c>
      <c r="V278" s="30"/>
      <c r="W278" s="18" t="str">
        <f t="shared" si="97"/>
        <v/>
      </c>
      <c r="X278" s="16"/>
      <c r="Y278" t="str">
        <f t="shared" si="98"/>
        <v/>
      </c>
      <c r="Z278" t="str">
        <f t="shared" si="99"/>
        <v/>
      </c>
      <c r="AA278" t="str">
        <f t="shared" si="100"/>
        <v/>
      </c>
      <c r="AB278" t="str">
        <f>COUNTIFS(AC278:AC$596,AC278)&amp;AC278</f>
        <v>319</v>
      </c>
      <c r="AC278" t="str">
        <f t="shared" si="117"/>
        <v/>
      </c>
      <c r="AD278" t="str">
        <f>COUNTIFS(AC$2:AC278,AC278)&amp;AC278</f>
        <v>277</v>
      </c>
      <c r="AE278" t="str">
        <f t="shared" si="101"/>
        <v/>
      </c>
      <c r="AF278" t="str">
        <f t="shared" si="118"/>
        <v>..</v>
      </c>
      <c r="AG278" s="28" t="str">
        <f t="shared" si="102"/>
        <v/>
      </c>
      <c r="AH278" s="28" t="str">
        <f t="shared" si="103"/>
        <v/>
      </c>
      <c r="AI278" t="str">
        <f t="shared" si="104"/>
        <v/>
      </c>
      <c r="AJ278" t="str">
        <f t="shared" si="105"/>
        <v/>
      </c>
      <c r="AK278" t="str">
        <f t="shared" si="106"/>
        <v/>
      </c>
      <c r="AL278" t="str">
        <f t="shared" si="107"/>
        <v/>
      </c>
      <c r="AM278" t="str">
        <f t="shared" si="108"/>
        <v/>
      </c>
      <c r="AN278" t="str">
        <f t="shared" si="109"/>
        <v/>
      </c>
      <c r="AO278" t="str">
        <f t="shared" si="110"/>
        <v/>
      </c>
      <c r="AP278" t="str">
        <f t="shared" si="111"/>
        <v/>
      </c>
      <c r="AQ278" t="str">
        <f t="shared" si="112"/>
        <v/>
      </c>
      <c r="AR278" t="str">
        <f t="shared" si="113"/>
        <v/>
      </c>
      <c r="AS278" t="str">
        <f t="shared" si="114"/>
        <v/>
      </c>
      <c r="AT278" t="str">
        <f t="shared" si="115"/>
        <v/>
      </c>
      <c r="AU278" s="25" t="str">
        <f t="shared" si="119"/>
        <v/>
      </c>
      <c r="BA278">
        <f>'REGISTER SK'!F281</f>
        <v>0</v>
      </c>
    </row>
    <row r="279" spans="1:53" x14ac:dyDescent="0.35">
      <c r="A279" s="18">
        <v>278</v>
      </c>
      <c r="B279" s="36" t="s">
        <v>379</v>
      </c>
      <c r="C279" s="18" t="str">
        <f>IF(G279="","",IF(G279="Umum",G279,VLOOKUP(F279,'Data Induk Pegawai'!B:AE,4,FALSE)))</f>
        <v/>
      </c>
      <c r="D279" s="19" t="str">
        <f>IF('REGISTER SK'!A282="","",IF('REGISTER SK'!B282=0,D278,'REGISTER SK'!B282))</f>
        <v/>
      </c>
      <c r="E279" s="19" t="str">
        <f t="shared" si="116"/>
        <v/>
      </c>
      <c r="F279" s="29"/>
      <c r="G279" s="29"/>
      <c r="H279" s="31" t="str">
        <f>IF(F279="","",VLOOKUP(F279,'Data Induk Pegawai'!B:U,2,FALSE))</f>
        <v/>
      </c>
      <c r="I279" s="19" t="str">
        <f>IF('REGISTER SK'!C282="","",'REGISTER SK'!C282)</f>
        <v/>
      </c>
      <c r="J279" s="125"/>
      <c r="K279" s="125"/>
      <c r="L279" s="26" t="str">
        <f>IF('REGISTER SK'!D282="","",'REGISTER SK'!D282)</f>
        <v/>
      </c>
      <c r="M279" s="26" t="str">
        <f>IF('REGISTER SK'!E282="","",'REGISTER SK'!E282)</f>
        <v/>
      </c>
      <c r="N279" s="31" t="str">
        <f>IF(G279="","",IF(OR(G279="GTT",G279="PTT"),"--",VLOOKUP(F279,'Data Induk Pegawai'!B:AE,4,FALSE)))</f>
        <v/>
      </c>
      <c r="O279" s="18" t="s">
        <v>426</v>
      </c>
      <c r="P279" s="31" t="str">
        <f>IF(G279="","",VLOOKUP(F279,'Data Induk Pegawai'!B:AE,7,FALSE))</f>
        <v/>
      </c>
      <c r="Q279" s="30"/>
      <c r="R279" s="26" t="str">
        <f>IF(G279="","","Nomor "&amp;RIGHT(VLOOKUP(F279,'Data Induk Pegawai'!B:AE,12,FALSE),2)&amp;" Tahun "&amp;MID(VLOOKUP(F279,'Data Induk Pegawai'!B:AE,12,FALSE),5,4))</f>
        <v/>
      </c>
      <c r="S279" s="26" t="str">
        <f>IF(G279="","",VLOOKUP(F279,'Data Induk Pegawai'!B:AE,11,FALSE))</f>
        <v/>
      </c>
      <c r="T279" s="56"/>
      <c r="U279" s="18" t="str">
        <f t="shared" si="96"/>
        <v/>
      </c>
      <c r="V279" s="30"/>
      <c r="W279" s="18" t="str">
        <f t="shared" si="97"/>
        <v/>
      </c>
      <c r="X279" s="16"/>
      <c r="Y279" t="str">
        <f t="shared" si="98"/>
        <v/>
      </c>
      <c r="Z279" t="str">
        <f t="shared" si="99"/>
        <v/>
      </c>
      <c r="AA279" t="str">
        <f t="shared" si="100"/>
        <v/>
      </c>
      <c r="AB279" t="str">
        <f>COUNTIFS(AC279:AC$596,AC279)&amp;AC279</f>
        <v>318</v>
      </c>
      <c r="AC279" t="str">
        <f t="shared" si="117"/>
        <v/>
      </c>
      <c r="AD279" t="str">
        <f>COUNTIFS(AC$2:AC279,AC279)&amp;AC279</f>
        <v>278</v>
      </c>
      <c r="AE279" t="str">
        <f t="shared" si="101"/>
        <v/>
      </c>
      <c r="AF279" t="str">
        <f t="shared" si="118"/>
        <v>..</v>
      </c>
      <c r="AG279" s="28" t="str">
        <f t="shared" si="102"/>
        <v/>
      </c>
      <c r="AH279" s="28" t="str">
        <f t="shared" si="103"/>
        <v/>
      </c>
      <c r="AI279" t="str">
        <f t="shared" si="104"/>
        <v/>
      </c>
      <c r="AJ279" t="str">
        <f t="shared" si="105"/>
        <v/>
      </c>
      <c r="AK279" t="str">
        <f t="shared" si="106"/>
        <v/>
      </c>
      <c r="AL279" t="str">
        <f t="shared" si="107"/>
        <v/>
      </c>
      <c r="AM279" t="str">
        <f t="shared" si="108"/>
        <v/>
      </c>
      <c r="AN279" t="str">
        <f t="shared" si="109"/>
        <v/>
      </c>
      <c r="AO279" t="str">
        <f t="shared" si="110"/>
        <v/>
      </c>
      <c r="AP279" t="str">
        <f t="shared" si="111"/>
        <v/>
      </c>
      <c r="AQ279" t="str">
        <f t="shared" si="112"/>
        <v/>
      </c>
      <c r="AR279" t="str">
        <f t="shared" si="113"/>
        <v/>
      </c>
      <c r="AS279" t="str">
        <f t="shared" si="114"/>
        <v/>
      </c>
      <c r="AT279" t="str">
        <f t="shared" si="115"/>
        <v/>
      </c>
      <c r="AU279" s="25" t="str">
        <f t="shared" si="119"/>
        <v/>
      </c>
      <c r="BA279">
        <f>'REGISTER SK'!F282</f>
        <v>0</v>
      </c>
    </row>
    <row r="280" spans="1:53" x14ac:dyDescent="0.35">
      <c r="A280" s="18">
        <v>279</v>
      </c>
      <c r="B280" s="36" t="s">
        <v>379</v>
      </c>
      <c r="C280" s="18" t="str">
        <f>IF(G280="","",IF(G280="Umum",G280,VLOOKUP(F280,'Data Induk Pegawai'!B:AE,4,FALSE)))</f>
        <v/>
      </c>
      <c r="D280" s="19" t="str">
        <f>IF('REGISTER SK'!A283="","",IF('REGISTER SK'!B283=0,D279,'REGISTER SK'!B283))</f>
        <v/>
      </c>
      <c r="E280" s="19" t="str">
        <f t="shared" si="116"/>
        <v/>
      </c>
      <c r="F280" s="29"/>
      <c r="G280" s="29"/>
      <c r="H280" s="31" t="str">
        <f>IF(F280="","",VLOOKUP(F280,'Data Induk Pegawai'!B:U,2,FALSE))</f>
        <v/>
      </c>
      <c r="I280" s="19" t="str">
        <f>IF('REGISTER SK'!C283="","",'REGISTER SK'!C283)</f>
        <v/>
      </c>
      <c r="J280" s="125"/>
      <c r="K280" s="125"/>
      <c r="L280" s="26" t="str">
        <f>IF('REGISTER SK'!D283="","",'REGISTER SK'!D283)</f>
        <v/>
      </c>
      <c r="M280" s="26" t="str">
        <f>IF('REGISTER SK'!E283="","",'REGISTER SK'!E283)</f>
        <v/>
      </c>
      <c r="N280" s="31" t="str">
        <f>IF(G280="","",IF(OR(G280="GTT",G280="PTT"),"--",VLOOKUP(F280,'Data Induk Pegawai'!B:AE,4,FALSE)))</f>
        <v/>
      </c>
      <c r="O280" s="18" t="s">
        <v>434</v>
      </c>
      <c r="P280" s="31" t="str">
        <f>IF(G280="","",VLOOKUP(F280,'Data Induk Pegawai'!B:AE,7,FALSE))</f>
        <v/>
      </c>
      <c r="Q280" s="30"/>
      <c r="R280" s="26" t="str">
        <f>IF(G280="","","Nomor "&amp;RIGHT(VLOOKUP(F280,'Data Induk Pegawai'!B:AE,12,FALSE),2)&amp;" Tahun "&amp;MID(VLOOKUP(F280,'Data Induk Pegawai'!B:AE,12,FALSE),5,4))</f>
        <v/>
      </c>
      <c r="S280" s="26" t="str">
        <f>IF(G280="","",VLOOKUP(F280,'Data Induk Pegawai'!B:AE,11,FALSE))</f>
        <v/>
      </c>
      <c r="T280" s="56"/>
      <c r="U280" s="18" t="str">
        <f t="shared" si="96"/>
        <v/>
      </c>
      <c r="V280" s="30"/>
      <c r="W280" s="18" t="str">
        <f t="shared" si="97"/>
        <v/>
      </c>
      <c r="X280" s="16"/>
      <c r="Y280" t="str">
        <f t="shared" si="98"/>
        <v/>
      </c>
      <c r="Z280" t="str">
        <f t="shared" si="99"/>
        <v/>
      </c>
      <c r="AA280" t="str">
        <f t="shared" si="100"/>
        <v/>
      </c>
      <c r="AB280" t="str">
        <f>COUNTIFS(AC280:AC$596,AC280)&amp;AC280</f>
        <v>317</v>
      </c>
      <c r="AC280" t="str">
        <f t="shared" si="117"/>
        <v/>
      </c>
      <c r="AD280" t="str">
        <f>COUNTIFS(AC$2:AC280,AC280)&amp;AC280</f>
        <v>279</v>
      </c>
      <c r="AE280" t="str">
        <f t="shared" si="101"/>
        <v/>
      </c>
      <c r="AF280" t="str">
        <f t="shared" si="118"/>
        <v>..</v>
      </c>
      <c r="AG280" s="28" t="str">
        <f t="shared" si="102"/>
        <v/>
      </c>
      <c r="AH280" s="28" t="str">
        <f t="shared" si="103"/>
        <v/>
      </c>
      <c r="AI280" t="str">
        <f t="shared" si="104"/>
        <v/>
      </c>
      <c r="AJ280" t="str">
        <f t="shared" si="105"/>
        <v/>
      </c>
      <c r="AK280" t="str">
        <f t="shared" si="106"/>
        <v/>
      </c>
      <c r="AL280" t="str">
        <f t="shared" si="107"/>
        <v/>
      </c>
      <c r="AM280" t="str">
        <f t="shared" si="108"/>
        <v/>
      </c>
      <c r="AN280" t="str">
        <f t="shared" si="109"/>
        <v/>
      </c>
      <c r="AO280" t="str">
        <f t="shared" si="110"/>
        <v/>
      </c>
      <c r="AP280" t="str">
        <f t="shared" si="111"/>
        <v/>
      </c>
      <c r="AQ280" t="str">
        <f t="shared" si="112"/>
        <v/>
      </c>
      <c r="AR280" t="str">
        <f t="shared" si="113"/>
        <v/>
      </c>
      <c r="AS280" t="str">
        <f t="shared" si="114"/>
        <v/>
      </c>
      <c r="AT280" t="str">
        <f t="shared" si="115"/>
        <v/>
      </c>
      <c r="AU280" s="25" t="str">
        <f t="shared" si="119"/>
        <v/>
      </c>
      <c r="BA280">
        <f>'REGISTER SK'!F283</f>
        <v>0</v>
      </c>
    </row>
    <row r="281" spans="1:53" x14ac:dyDescent="0.35">
      <c r="A281" s="18">
        <v>280</v>
      </c>
      <c r="B281" s="36" t="s">
        <v>379</v>
      </c>
      <c r="C281" s="18" t="str">
        <f>IF(G281="","",IF(G281="Umum",G281,VLOOKUP(F281,'Data Induk Pegawai'!B:AE,4,FALSE)))</f>
        <v/>
      </c>
      <c r="D281" s="19" t="str">
        <f>IF('REGISTER SK'!A284="","",IF('REGISTER SK'!B284=0,D280,'REGISTER SK'!B284))</f>
        <v/>
      </c>
      <c r="E281" s="19" t="str">
        <f t="shared" si="116"/>
        <v/>
      </c>
      <c r="F281" s="29"/>
      <c r="G281" s="29"/>
      <c r="H281" s="31" t="str">
        <f>IF(F281="","",VLOOKUP(F281,'Data Induk Pegawai'!B:U,2,FALSE))</f>
        <v/>
      </c>
      <c r="I281" s="19" t="str">
        <f>IF('REGISTER SK'!C284="","",'REGISTER SK'!C284)</f>
        <v/>
      </c>
      <c r="J281" s="125"/>
      <c r="K281" s="125"/>
      <c r="L281" s="26" t="str">
        <f>IF('REGISTER SK'!D284="","",'REGISTER SK'!D284)</f>
        <v/>
      </c>
      <c r="M281" s="26" t="str">
        <f>IF('REGISTER SK'!E284="","",'REGISTER SK'!E284)</f>
        <v/>
      </c>
      <c r="N281" s="31" t="str">
        <f>IF(G281="","",IF(OR(G281="GTT",G281="PTT"),"--",VLOOKUP(F281,'Data Induk Pegawai'!B:AE,4,FALSE)))</f>
        <v/>
      </c>
      <c r="O281" s="18" t="s">
        <v>427</v>
      </c>
      <c r="P281" s="31" t="str">
        <f>IF(G281="","",VLOOKUP(F281,'Data Induk Pegawai'!B:AE,7,FALSE))</f>
        <v/>
      </c>
      <c r="Q281" s="30"/>
      <c r="R281" s="26" t="str">
        <f>IF(G281="","","Nomor "&amp;RIGHT(VLOOKUP(F281,'Data Induk Pegawai'!B:AE,12,FALSE),2)&amp;" Tahun "&amp;MID(VLOOKUP(F281,'Data Induk Pegawai'!B:AE,12,FALSE),5,4))</f>
        <v/>
      </c>
      <c r="S281" s="26" t="str">
        <f>IF(G281="","",VLOOKUP(F281,'Data Induk Pegawai'!B:AE,11,FALSE))</f>
        <v/>
      </c>
      <c r="T281" s="56"/>
      <c r="U281" s="18" t="str">
        <f t="shared" si="96"/>
        <v/>
      </c>
      <c r="V281" s="30"/>
      <c r="W281" s="18" t="str">
        <f t="shared" si="97"/>
        <v/>
      </c>
      <c r="X281" s="16"/>
      <c r="Y281" t="str">
        <f t="shared" si="98"/>
        <v/>
      </c>
      <c r="Z281" t="str">
        <f t="shared" si="99"/>
        <v/>
      </c>
      <c r="AA281" t="str">
        <f t="shared" si="100"/>
        <v/>
      </c>
      <c r="AB281" t="str">
        <f>COUNTIFS(AC281:AC$596,AC281)&amp;AC281</f>
        <v>316</v>
      </c>
      <c r="AC281" t="str">
        <f t="shared" si="117"/>
        <v/>
      </c>
      <c r="AD281" t="str">
        <f>COUNTIFS(AC$2:AC281,AC281)&amp;AC281</f>
        <v>280</v>
      </c>
      <c r="AE281" t="str">
        <f t="shared" si="101"/>
        <v/>
      </c>
      <c r="AF281" t="str">
        <f t="shared" si="118"/>
        <v>..</v>
      </c>
      <c r="AG281" s="28" t="str">
        <f t="shared" si="102"/>
        <v/>
      </c>
      <c r="AH281" s="28" t="str">
        <f t="shared" si="103"/>
        <v/>
      </c>
      <c r="AI281" t="str">
        <f t="shared" si="104"/>
        <v/>
      </c>
      <c r="AJ281" t="str">
        <f t="shared" si="105"/>
        <v/>
      </c>
      <c r="AK281" t="str">
        <f t="shared" si="106"/>
        <v/>
      </c>
      <c r="AL281" t="str">
        <f t="shared" si="107"/>
        <v/>
      </c>
      <c r="AM281" t="str">
        <f t="shared" si="108"/>
        <v/>
      </c>
      <c r="AN281" t="str">
        <f t="shared" si="109"/>
        <v/>
      </c>
      <c r="AO281" t="str">
        <f t="shared" si="110"/>
        <v/>
      </c>
      <c r="AP281" t="str">
        <f t="shared" si="111"/>
        <v/>
      </c>
      <c r="AQ281" t="str">
        <f t="shared" si="112"/>
        <v/>
      </c>
      <c r="AR281" t="str">
        <f t="shared" si="113"/>
        <v/>
      </c>
      <c r="AS281" t="str">
        <f t="shared" si="114"/>
        <v/>
      </c>
      <c r="AT281" t="str">
        <f t="shared" si="115"/>
        <v/>
      </c>
      <c r="AU281" s="25" t="str">
        <f t="shared" si="119"/>
        <v/>
      </c>
      <c r="BA281">
        <f>'REGISTER SK'!F284</f>
        <v>0</v>
      </c>
    </row>
    <row r="282" spans="1:53" x14ac:dyDescent="0.35">
      <c r="A282" s="18">
        <v>281</v>
      </c>
      <c r="B282" s="36" t="s">
        <v>379</v>
      </c>
      <c r="C282" s="18" t="str">
        <f>IF(G282="","",IF(G282="Umum",G282,VLOOKUP(F282,'Data Induk Pegawai'!B:AE,4,FALSE)))</f>
        <v/>
      </c>
      <c r="D282" s="19" t="str">
        <f>IF('REGISTER SK'!A285="","",IF('REGISTER SK'!B285=0,D281,'REGISTER SK'!B285))</f>
        <v/>
      </c>
      <c r="E282" s="19" t="str">
        <f t="shared" si="116"/>
        <v/>
      </c>
      <c r="F282" s="29"/>
      <c r="G282" s="29"/>
      <c r="H282" s="31" t="str">
        <f>IF(F282="","",VLOOKUP(F282,'Data Induk Pegawai'!B:U,2,FALSE))</f>
        <v/>
      </c>
      <c r="I282" s="19" t="str">
        <f>IF('REGISTER SK'!C285="","",'REGISTER SK'!C285)</f>
        <v/>
      </c>
      <c r="J282" s="125"/>
      <c r="K282" s="125"/>
      <c r="L282" s="26" t="str">
        <f>IF('REGISTER SK'!D285="","",'REGISTER SK'!D285)</f>
        <v/>
      </c>
      <c r="M282" s="26" t="str">
        <f>IF('REGISTER SK'!E285="","",'REGISTER SK'!E285)</f>
        <v/>
      </c>
      <c r="N282" s="31" t="str">
        <f>IF(G282="","",IF(OR(G282="GTT",G282="PTT"),"--",VLOOKUP(F282,'Data Induk Pegawai'!B:AE,4,FALSE)))</f>
        <v/>
      </c>
      <c r="O282" s="18" t="s">
        <v>436</v>
      </c>
      <c r="P282" s="31" t="str">
        <f>IF(G282="","",VLOOKUP(F282,'Data Induk Pegawai'!B:AE,7,FALSE))</f>
        <v/>
      </c>
      <c r="Q282" s="30"/>
      <c r="R282" s="26" t="str">
        <f>IF(G282="","","Nomor "&amp;RIGHT(VLOOKUP(F282,'Data Induk Pegawai'!B:AE,12,FALSE),2)&amp;" Tahun "&amp;MID(VLOOKUP(F282,'Data Induk Pegawai'!B:AE,12,FALSE),5,4))</f>
        <v/>
      </c>
      <c r="S282" s="26" t="str">
        <f>IF(G282="","",VLOOKUP(F282,'Data Induk Pegawai'!B:AE,11,FALSE))</f>
        <v/>
      </c>
      <c r="T282" s="56"/>
      <c r="U282" s="18" t="str">
        <f t="shared" si="96"/>
        <v/>
      </c>
      <c r="V282" s="30"/>
      <c r="W282" s="18" t="str">
        <f t="shared" si="97"/>
        <v/>
      </c>
      <c r="X282" s="16"/>
      <c r="Y282" t="str">
        <f t="shared" si="98"/>
        <v/>
      </c>
      <c r="Z282" t="str">
        <f t="shared" si="99"/>
        <v/>
      </c>
      <c r="AA282" t="str">
        <f t="shared" si="100"/>
        <v/>
      </c>
      <c r="AB282" t="str">
        <f>COUNTIFS(AC282:AC$596,AC282)&amp;AC282</f>
        <v>315</v>
      </c>
      <c r="AC282" t="str">
        <f t="shared" si="117"/>
        <v/>
      </c>
      <c r="AD282" t="str">
        <f>COUNTIFS(AC$2:AC282,AC282)&amp;AC282</f>
        <v>281</v>
      </c>
      <c r="AE282" t="str">
        <f t="shared" si="101"/>
        <v/>
      </c>
      <c r="AF282" t="str">
        <f t="shared" si="118"/>
        <v>..</v>
      </c>
      <c r="AG282" s="28" t="str">
        <f t="shared" si="102"/>
        <v/>
      </c>
      <c r="AH282" s="28" t="str">
        <f t="shared" si="103"/>
        <v/>
      </c>
      <c r="AI282" t="str">
        <f t="shared" si="104"/>
        <v/>
      </c>
      <c r="AJ282" t="str">
        <f t="shared" si="105"/>
        <v/>
      </c>
      <c r="AK282" t="str">
        <f t="shared" si="106"/>
        <v/>
      </c>
      <c r="AL282" t="str">
        <f t="shared" si="107"/>
        <v/>
      </c>
      <c r="AM282" t="str">
        <f t="shared" si="108"/>
        <v/>
      </c>
      <c r="AN282" t="str">
        <f t="shared" si="109"/>
        <v/>
      </c>
      <c r="AO282" t="str">
        <f t="shared" si="110"/>
        <v/>
      </c>
      <c r="AP282" t="str">
        <f t="shared" si="111"/>
        <v/>
      </c>
      <c r="AQ282" t="str">
        <f t="shared" si="112"/>
        <v/>
      </c>
      <c r="AR282" t="str">
        <f t="shared" si="113"/>
        <v/>
      </c>
      <c r="AS282" t="str">
        <f t="shared" si="114"/>
        <v/>
      </c>
      <c r="AT282" t="str">
        <f t="shared" si="115"/>
        <v/>
      </c>
      <c r="AU282" s="25" t="str">
        <f t="shared" si="119"/>
        <v/>
      </c>
      <c r="BA282">
        <f>'REGISTER SK'!F285</f>
        <v>0</v>
      </c>
    </row>
    <row r="283" spans="1:53" x14ac:dyDescent="0.35">
      <c r="A283" s="18">
        <v>282</v>
      </c>
      <c r="B283" s="36" t="s">
        <v>379</v>
      </c>
      <c r="C283" s="18" t="str">
        <f>IF(G283="","",IF(G283="Umum",G283,VLOOKUP(F283,'Data Induk Pegawai'!B:AE,4,FALSE)))</f>
        <v/>
      </c>
      <c r="D283" s="19" t="str">
        <f>IF('REGISTER SK'!A286="","",IF('REGISTER SK'!B286=0,D282,'REGISTER SK'!B286))</f>
        <v/>
      </c>
      <c r="E283" s="19" t="str">
        <f t="shared" si="116"/>
        <v/>
      </c>
      <c r="F283" s="29"/>
      <c r="G283" s="29"/>
      <c r="H283" s="31" t="str">
        <f>IF(F283="","",VLOOKUP(F283,'Data Induk Pegawai'!B:U,2,FALSE))</f>
        <v/>
      </c>
      <c r="I283" s="19" t="str">
        <f>IF('REGISTER SK'!C286="","",'REGISTER SK'!C286)</f>
        <v/>
      </c>
      <c r="J283" s="125"/>
      <c r="K283" s="125"/>
      <c r="L283" s="26" t="str">
        <f>IF('REGISTER SK'!D286="","",'REGISTER SK'!D286)</f>
        <v/>
      </c>
      <c r="M283" s="26" t="str">
        <f>IF('REGISTER SK'!E286="","",'REGISTER SK'!E286)</f>
        <v/>
      </c>
      <c r="N283" s="31" t="str">
        <f>IF(G283="","",IF(OR(G283="GTT",G283="PTT"),"--",VLOOKUP(F283,'Data Induk Pegawai'!B:AE,4,FALSE)))</f>
        <v/>
      </c>
      <c r="O283" s="18" t="s">
        <v>323</v>
      </c>
      <c r="P283" s="31" t="str">
        <f>IF(G283="","",VLOOKUP(F283,'Data Induk Pegawai'!B:AE,7,FALSE))</f>
        <v/>
      </c>
      <c r="Q283" s="30"/>
      <c r="R283" s="26" t="str">
        <f>IF(G283="","","Nomor "&amp;RIGHT(VLOOKUP(F283,'Data Induk Pegawai'!B:AE,12,FALSE),2)&amp;" Tahun "&amp;MID(VLOOKUP(F283,'Data Induk Pegawai'!B:AE,12,FALSE),5,4))</f>
        <v/>
      </c>
      <c r="S283" s="26" t="str">
        <f>IF(G283="","",VLOOKUP(F283,'Data Induk Pegawai'!B:AE,11,FALSE))</f>
        <v/>
      </c>
      <c r="T283" s="56"/>
      <c r="U283" s="18" t="str">
        <f t="shared" si="96"/>
        <v/>
      </c>
      <c r="V283" s="30"/>
      <c r="W283" s="18" t="str">
        <f t="shared" si="97"/>
        <v/>
      </c>
      <c r="X283" s="16"/>
      <c r="Y283" t="str">
        <f t="shared" si="98"/>
        <v/>
      </c>
      <c r="Z283" t="str">
        <f t="shared" si="99"/>
        <v/>
      </c>
      <c r="AA283" t="str">
        <f t="shared" si="100"/>
        <v/>
      </c>
      <c r="AB283" t="str">
        <f>COUNTIFS(AC283:AC$596,AC283)&amp;AC283</f>
        <v>314</v>
      </c>
      <c r="AC283" t="str">
        <f t="shared" si="117"/>
        <v/>
      </c>
      <c r="AD283" t="str">
        <f>COUNTIFS(AC$2:AC283,AC283)&amp;AC283</f>
        <v>282</v>
      </c>
      <c r="AE283" t="str">
        <f t="shared" si="101"/>
        <v/>
      </c>
      <c r="AF283" t="str">
        <f t="shared" si="118"/>
        <v>..</v>
      </c>
      <c r="AG283" s="28" t="str">
        <f t="shared" si="102"/>
        <v/>
      </c>
      <c r="AH283" s="28" t="str">
        <f t="shared" si="103"/>
        <v/>
      </c>
      <c r="AI283" t="str">
        <f t="shared" si="104"/>
        <v/>
      </c>
      <c r="AJ283" t="str">
        <f t="shared" si="105"/>
        <v/>
      </c>
      <c r="AK283" t="str">
        <f t="shared" si="106"/>
        <v/>
      </c>
      <c r="AL283" t="str">
        <f t="shared" si="107"/>
        <v/>
      </c>
      <c r="AM283" t="str">
        <f t="shared" si="108"/>
        <v/>
      </c>
      <c r="AN283" t="str">
        <f t="shared" si="109"/>
        <v/>
      </c>
      <c r="AO283" t="str">
        <f t="shared" si="110"/>
        <v/>
      </c>
      <c r="AP283" t="str">
        <f t="shared" si="111"/>
        <v/>
      </c>
      <c r="AQ283" t="str">
        <f t="shared" si="112"/>
        <v/>
      </c>
      <c r="AR283" t="str">
        <f t="shared" si="113"/>
        <v/>
      </c>
      <c r="AS283" t="str">
        <f t="shared" si="114"/>
        <v/>
      </c>
      <c r="AT283" t="str">
        <f t="shared" si="115"/>
        <v/>
      </c>
      <c r="AU283" s="25" t="str">
        <f t="shared" si="119"/>
        <v/>
      </c>
      <c r="BA283">
        <f>'REGISTER SK'!F286</f>
        <v>0</v>
      </c>
    </row>
    <row r="284" spans="1:53" x14ac:dyDescent="0.35">
      <c r="A284" s="18">
        <v>283</v>
      </c>
      <c r="B284" s="36" t="s">
        <v>379</v>
      </c>
      <c r="C284" s="18" t="str">
        <f>IF(G284="","",IF(G284="Umum",G284,VLOOKUP(F284,'Data Induk Pegawai'!B:AE,4,FALSE)))</f>
        <v/>
      </c>
      <c r="D284" s="19" t="str">
        <f>IF('REGISTER SK'!A287="","",IF('REGISTER SK'!B287=0,D283,'REGISTER SK'!B287))</f>
        <v/>
      </c>
      <c r="E284" s="19" t="str">
        <f t="shared" si="116"/>
        <v/>
      </c>
      <c r="F284" s="29"/>
      <c r="G284" s="29"/>
      <c r="H284" s="31" t="str">
        <f>IF(F284="","",VLOOKUP(F284,'Data Induk Pegawai'!B:U,2,FALSE))</f>
        <v/>
      </c>
      <c r="I284" s="19" t="str">
        <f>IF('REGISTER SK'!C287="","",'REGISTER SK'!C287)</f>
        <v/>
      </c>
      <c r="J284" s="125"/>
      <c r="K284" s="125"/>
      <c r="L284" s="26" t="str">
        <f>IF('REGISTER SK'!D287="","",'REGISTER SK'!D287)</f>
        <v/>
      </c>
      <c r="M284" s="26" t="str">
        <f>IF('REGISTER SK'!E287="","",'REGISTER SK'!E287)</f>
        <v/>
      </c>
      <c r="N284" s="31" t="str">
        <f>IF(G284="","",IF(OR(G284="GTT",G284="PTT"),"--",VLOOKUP(F284,'Data Induk Pegawai'!B:AE,4,FALSE)))</f>
        <v/>
      </c>
      <c r="O284" s="18" t="s">
        <v>319</v>
      </c>
      <c r="P284" s="31" t="str">
        <f>IF(G284="","",VLOOKUP(F284,'Data Induk Pegawai'!B:AE,7,FALSE))</f>
        <v/>
      </c>
      <c r="Q284" s="30"/>
      <c r="R284" s="26" t="str">
        <f>IF(G284="","","Nomor "&amp;RIGHT(VLOOKUP(F284,'Data Induk Pegawai'!B:AE,12,FALSE),2)&amp;" Tahun "&amp;MID(VLOOKUP(F284,'Data Induk Pegawai'!B:AE,12,FALSE),5,4))</f>
        <v/>
      </c>
      <c r="S284" s="26" t="str">
        <f>IF(G284="","",VLOOKUP(F284,'Data Induk Pegawai'!B:AE,11,FALSE))</f>
        <v/>
      </c>
      <c r="T284" s="56"/>
      <c r="U284" s="18" t="str">
        <f t="shared" si="96"/>
        <v/>
      </c>
      <c r="V284" s="30"/>
      <c r="W284" s="18" t="str">
        <f t="shared" si="97"/>
        <v/>
      </c>
      <c r="X284" s="16"/>
      <c r="Y284" t="str">
        <f t="shared" si="98"/>
        <v/>
      </c>
      <c r="Z284" t="str">
        <f t="shared" si="99"/>
        <v/>
      </c>
      <c r="AA284" t="str">
        <f t="shared" si="100"/>
        <v/>
      </c>
      <c r="AB284" t="str">
        <f>COUNTIFS(AC284:AC$596,AC284)&amp;AC284</f>
        <v>313</v>
      </c>
      <c r="AC284" t="str">
        <f t="shared" si="117"/>
        <v/>
      </c>
      <c r="AD284" t="str">
        <f>COUNTIFS(AC$2:AC284,AC284)&amp;AC284</f>
        <v>283</v>
      </c>
      <c r="AE284" t="str">
        <f t="shared" si="101"/>
        <v/>
      </c>
      <c r="AF284" t="str">
        <f t="shared" si="118"/>
        <v>..</v>
      </c>
      <c r="AG284" s="28" t="str">
        <f t="shared" si="102"/>
        <v/>
      </c>
      <c r="AH284" s="28" t="str">
        <f t="shared" si="103"/>
        <v/>
      </c>
      <c r="AI284" t="str">
        <f t="shared" si="104"/>
        <v/>
      </c>
      <c r="AJ284" t="str">
        <f t="shared" si="105"/>
        <v/>
      </c>
      <c r="AK284" t="str">
        <f t="shared" si="106"/>
        <v/>
      </c>
      <c r="AL284" t="str">
        <f t="shared" si="107"/>
        <v/>
      </c>
      <c r="AM284" t="str">
        <f t="shared" si="108"/>
        <v/>
      </c>
      <c r="AN284" t="str">
        <f t="shared" si="109"/>
        <v/>
      </c>
      <c r="AO284" t="str">
        <f t="shared" si="110"/>
        <v/>
      </c>
      <c r="AP284" t="str">
        <f t="shared" si="111"/>
        <v/>
      </c>
      <c r="AQ284" t="str">
        <f t="shared" si="112"/>
        <v/>
      </c>
      <c r="AR284" t="str">
        <f t="shared" si="113"/>
        <v/>
      </c>
      <c r="AS284" t="str">
        <f t="shared" si="114"/>
        <v/>
      </c>
      <c r="AT284" t="str">
        <f t="shared" si="115"/>
        <v/>
      </c>
      <c r="AU284" s="25" t="str">
        <f t="shared" si="119"/>
        <v/>
      </c>
      <c r="BA284">
        <f>'REGISTER SK'!F287</f>
        <v>0</v>
      </c>
    </row>
    <row r="285" spans="1:53" x14ac:dyDescent="0.35">
      <c r="A285" s="18">
        <v>284</v>
      </c>
      <c r="B285" s="36" t="s">
        <v>379</v>
      </c>
      <c r="C285" s="18" t="str">
        <f>IF(G285="","",IF(G285="Umum",G285,VLOOKUP(F285,'Data Induk Pegawai'!B:AE,4,FALSE)))</f>
        <v/>
      </c>
      <c r="D285" s="19" t="str">
        <f>IF('REGISTER SK'!A288="","",IF('REGISTER SK'!B288=0,D284,'REGISTER SK'!B288))</f>
        <v/>
      </c>
      <c r="E285" s="19" t="str">
        <f t="shared" si="116"/>
        <v/>
      </c>
      <c r="F285" s="29"/>
      <c r="G285" s="29"/>
      <c r="H285" s="31" t="str">
        <f>IF(F285="","",VLOOKUP(F285,'Data Induk Pegawai'!B:U,2,FALSE))</f>
        <v/>
      </c>
      <c r="I285" s="19" t="str">
        <f>IF('REGISTER SK'!C288="","",'REGISTER SK'!C288)</f>
        <v/>
      </c>
      <c r="J285" s="125"/>
      <c r="K285" s="125"/>
      <c r="L285" s="26" t="str">
        <f>IF('REGISTER SK'!D288="","",'REGISTER SK'!D288)</f>
        <v/>
      </c>
      <c r="M285" s="26" t="str">
        <f>IF('REGISTER SK'!E288="","",'REGISTER SK'!E288)</f>
        <v/>
      </c>
      <c r="N285" s="31" t="str">
        <f>IF(G285="","",IF(OR(G285="GTT",G285="PTT"),"--",VLOOKUP(F285,'Data Induk Pegawai'!B:AE,4,FALSE)))</f>
        <v/>
      </c>
      <c r="O285" s="18" t="s">
        <v>321</v>
      </c>
      <c r="P285" s="31" t="str">
        <f>IF(G285="","",VLOOKUP(F285,'Data Induk Pegawai'!B:AE,7,FALSE))</f>
        <v/>
      </c>
      <c r="Q285" s="30"/>
      <c r="R285" s="26" t="str">
        <f>IF(G285="","","Nomor "&amp;RIGHT(VLOOKUP(F285,'Data Induk Pegawai'!B:AE,12,FALSE),2)&amp;" Tahun "&amp;MID(VLOOKUP(F285,'Data Induk Pegawai'!B:AE,12,FALSE),5,4))</f>
        <v/>
      </c>
      <c r="S285" s="26" t="str">
        <f>IF(G285="","",VLOOKUP(F285,'Data Induk Pegawai'!B:AE,11,FALSE))</f>
        <v/>
      </c>
      <c r="T285" s="56"/>
      <c r="U285" s="18" t="str">
        <f t="shared" si="96"/>
        <v/>
      </c>
      <c r="V285" s="30"/>
      <c r="W285" s="18" t="str">
        <f t="shared" si="97"/>
        <v/>
      </c>
      <c r="X285" s="16"/>
      <c r="Y285" t="str">
        <f t="shared" si="98"/>
        <v/>
      </c>
      <c r="Z285" t="str">
        <f t="shared" si="99"/>
        <v/>
      </c>
      <c r="AA285" t="str">
        <f t="shared" si="100"/>
        <v/>
      </c>
      <c r="AB285" t="str">
        <f>COUNTIFS(AC285:AC$596,AC285)&amp;AC285</f>
        <v>312</v>
      </c>
      <c r="AC285" t="str">
        <f t="shared" si="117"/>
        <v/>
      </c>
      <c r="AD285" t="str">
        <f>COUNTIFS(AC$2:AC285,AC285)&amp;AC285</f>
        <v>284</v>
      </c>
      <c r="AE285" t="str">
        <f t="shared" si="101"/>
        <v/>
      </c>
      <c r="AF285" t="str">
        <f t="shared" si="118"/>
        <v>..</v>
      </c>
      <c r="AG285" s="28" t="str">
        <f t="shared" si="102"/>
        <v/>
      </c>
      <c r="AH285" s="28" t="str">
        <f t="shared" si="103"/>
        <v/>
      </c>
      <c r="AI285" t="str">
        <f t="shared" si="104"/>
        <v/>
      </c>
      <c r="AJ285" t="str">
        <f t="shared" si="105"/>
        <v/>
      </c>
      <c r="AK285" t="str">
        <f t="shared" si="106"/>
        <v/>
      </c>
      <c r="AL285" t="str">
        <f t="shared" si="107"/>
        <v/>
      </c>
      <c r="AM285" t="str">
        <f t="shared" si="108"/>
        <v/>
      </c>
      <c r="AN285" t="str">
        <f t="shared" si="109"/>
        <v/>
      </c>
      <c r="AO285" t="str">
        <f t="shared" si="110"/>
        <v/>
      </c>
      <c r="AP285" t="str">
        <f t="shared" si="111"/>
        <v/>
      </c>
      <c r="AQ285" t="str">
        <f t="shared" si="112"/>
        <v/>
      </c>
      <c r="AR285" t="str">
        <f t="shared" si="113"/>
        <v/>
      </c>
      <c r="AS285" t="str">
        <f t="shared" si="114"/>
        <v/>
      </c>
      <c r="AT285" t="str">
        <f t="shared" si="115"/>
        <v/>
      </c>
      <c r="AU285" s="25" t="str">
        <f t="shared" si="119"/>
        <v/>
      </c>
      <c r="BA285">
        <f>'REGISTER SK'!F288</f>
        <v>0</v>
      </c>
    </row>
    <row r="286" spans="1:53" x14ac:dyDescent="0.35">
      <c r="A286" s="18">
        <v>285</v>
      </c>
      <c r="B286" s="36" t="s">
        <v>379</v>
      </c>
      <c r="C286" s="18" t="str">
        <f>IF(G286="","",IF(G286="Umum",G286,VLOOKUP(F286,'Data Induk Pegawai'!B:AE,4,FALSE)))</f>
        <v/>
      </c>
      <c r="D286" s="19" t="str">
        <f>IF('REGISTER SK'!A289="","",IF('REGISTER SK'!B289=0,D285,'REGISTER SK'!B289))</f>
        <v/>
      </c>
      <c r="E286" s="19" t="str">
        <f t="shared" si="116"/>
        <v/>
      </c>
      <c r="F286" s="29"/>
      <c r="G286" s="29"/>
      <c r="H286" s="31" t="str">
        <f>IF(F286="","",VLOOKUP(F286,'Data Induk Pegawai'!B:U,2,FALSE))</f>
        <v/>
      </c>
      <c r="I286" s="19" t="str">
        <f>IF('REGISTER SK'!C289="","",'REGISTER SK'!C289)</f>
        <v/>
      </c>
      <c r="J286" s="125"/>
      <c r="K286" s="125"/>
      <c r="L286" s="26" t="str">
        <f>IF('REGISTER SK'!D289="","",'REGISTER SK'!D289)</f>
        <v/>
      </c>
      <c r="M286" s="26" t="str">
        <f>IF('REGISTER SK'!E289="","",'REGISTER SK'!E289)</f>
        <v/>
      </c>
      <c r="N286" s="31" t="str">
        <f>IF(G286="","",IF(OR(G286="GTT",G286="PTT"),"--",VLOOKUP(F286,'Data Induk Pegawai'!B:AE,4,FALSE)))</f>
        <v/>
      </c>
      <c r="O286" s="18" t="s">
        <v>288</v>
      </c>
      <c r="P286" s="31" t="str">
        <f>IF(G286="","",VLOOKUP(F286,'Data Induk Pegawai'!B:AE,7,FALSE))</f>
        <v/>
      </c>
      <c r="Q286" s="30"/>
      <c r="R286" s="26" t="str">
        <f>IF(G286="","","Nomor "&amp;RIGHT(VLOOKUP(F286,'Data Induk Pegawai'!B:AE,12,FALSE),2)&amp;" Tahun "&amp;MID(VLOOKUP(F286,'Data Induk Pegawai'!B:AE,12,FALSE),5,4))</f>
        <v/>
      </c>
      <c r="S286" s="26" t="str">
        <f>IF(G286="","",VLOOKUP(F286,'Data Induk Pegawai'!B:AE,11,FALSE))</f>
        <v/>
      </c>
      <c r="T286" s="56"/>
      <c r="U286" s="18" t="str">
        <f t="shared" si="96"/>
        <v/>
      </c>
      <c r="V286" s="30"/>
      <c r="W286" s="18" t="str">
        <f t="shared" si="97"/>
        <v/>
      </c>
      <c r="X286" s="16"/>
      <c r="Y286" t="str">
        <f t="shared" si="98"/>
        <v/>
      </c>
      <c r="Z286" t="str">
        <f t="shared" si="99"/>
        <v/>
      </c>
      <c r="AA286" t="str">
        <f t="shared" si="100"/>
        <v/>
      </c>
      <c r="AB286" t="str">
        <f>COUNTIFS(AC286:AC$596,AC286)&amp;AC286</f>
        <v>311</v>
      </c>
      <c r="AC286" t="str">
        <f t="shared" si="117"/>
        <v/>
      </c>
      <c r="AD286" t="str">
        <f>COUNTIFS(AC$2:AC286,AC286)&amp;AC286</f>
        <v>285</v>
      </c>
      <c r="AE286" t="str">
        <f t="shared" si="101"/>
        <v/>
      </c>
      <c r="AF286" t="str">
        <f t="shared" si="118"/>
        <v>..</v>
      </c>
      <c r="AG286" s="28" t="str">
        <f t="shared" si="102"/>
        <v/>
      </c>
      <c r="AH286" s="28" t="str">
        <f t="shared" si="103"/>
        <v/>
      </c>
      <c r="AI286" t="str">
        <f t="shared" si="104"/>
        <v/>
      </c>
      <c r="AJ286" t="str">
        <f t="shared" si="105"/>
        <v/>
      </c>
      <c r="AK286" t="str">
        <f t="shared" si="106"/>
        <v/>
      </c>
      <c r="AL286" t="str">
        <f t="shared" si="107"/>
        <v/>
      </c>
      <c r="AM286" t="str">
        <f t="shared" si="108"/>
        <v/>
      </c>
      <c r="AN286" t="str">
        <f t="shared" si="109"/>
        <v/>
      </c>
      <c r="AO286" t="str">
        <f t="shared" si="110"/>
        <v/>
      </c>
      <c r="AP286" t="str">
        <f t="shared" si="111"/>
        <v/>
      </c>
      <c r="AQ286" t="str">
        <f t="shared" si="112"/>
        <v/>
      </c>
      <c r="AR286" t="str">
        <f t="shared" si="113"/>
        <v/>
      </c>
      <c r="AS286" t="str">
        <f t="shared" si="114"/>
        <v/>
      </c>
      <c r="AT286" t="str">
        <f t="shared" si="115"/>
        <v/>
      </c>
      <c r="AU286" s="25" t="str">
        <f t="shared" si="119"/>
        <v/>
      </c>
      <c r="BA286">
        <f>'REGISTER SK'!F289</f>
        <v>0</v>
      </c>
    </row>
    <row r="287" spans="1:53" x14ac:dyDescent="0.35">
      <c r="A287" s="18">
        <v>286</v>
      </c>
      <c r="B287" s="36" t="s">
        <v>379</v>
      </c>
      <c r="C287" s="18" t="str">
        <f>IF(G287="","",IF(G287="Umum",G287,VLOOKUP(F287,'Data Induk Pegawai'!B:AE,4,FALSE)))</f>
        <v/>
      </c>
      <c r="D287" s="19" t="str">
        <f>IF('REGISTER SK'!A290="","",IF('REGISTER SK'!B290=0,D286,'REGISTER SK'!B290))</f>
        <v/>
      </c>
      <c r="E287" s="19" t="str">
        <f t="shared" si="116"/>
        <v/>
      </c>
      <c r="F287" s="29"/>
      <c r="G287" s="29"/>
      <c r="H287" s="31" t="str">
        <f>IF(F287="","",VLOOKUP(F287,'Data Induk Pegawai'!B:U,2,FALSE))</f>
        <v/>
      </c>
      <c r="I287" s="19" t="str">
        <f>IF('REGISTER SK'!C290="","",'REGISTER SK'!C290)</f>
        <v/>
      </c>
      <c r="J287" s="125"/>
      <c r="K287" s="125"/>
      <c r="L287" s="26" t="str">
        <f>IF('REGISTER SK'!D290="","",'REGISTER SK'!D290)</f>
        <v/>
      </c>
      <c r="M287" s="26" t="str">
        <f>IF('REGISTER SK'!E290="","",'REGISTER SK'!E290)</f>
        <v/>
      </c>
      <c r="N287" s="31" t="str">
        <f>IF(G287="","",IF(OR(G287="GTT",G287="PTT"),"--",VLOOKUP(F287,'Data Induk Pegawai'!B:AE,4,FALSE)))</f>
        <v/>
      </c>
      <c r="O287" s="18" t="s">
        <v>294</v>
      </c>
      <c r="P287" s="31" t="str">
        <f>IF(G287="","",VLOOKUP(F287,'Data Induk Pegawai'!B:AE,7,FALSE))</f>
        <v/>
      </c>
      <c r="Q287" s="30"/>
      <c r="R287" s="26" t="str">
        <f>IF(G287="","","Nomor "&amp;RIGHT(VLOOKUP(F287,'Data Induk Pegawai'!B:AE,12,FALSE),2)&amp;" Tahun "&amp;MID(VLOOKUP(F287,'Data Induk Pegawai'!B:AE,12,FALSE),5,4))</f>
        <v/>
      </c>
      <c r="S287" s="26" t="str">
        <f>IF(G287="","",VLOOKUP(F287,'Data Induk Pegawai'!B:AE,11,FALSE))</f>
        <v/>
      </c>
      <c r="T287" s="56"/>
      <c r="U287" s="18" t="str">
        <f t="shared" si="96"/>
        <v/>
      </c>
      <c r="V287" s="30"/>
      <c r="W287" s="18" t="str">
        <f t="shared" si="97"/>
        <v/>
      </c>
      <c r="X287" s="16"/>
      <c r="Y287" t="str">
        <f t="shared" si="98"/>
        <v/>
      </c>
      <c r="Z287" t="str">
        <f t="shared" si="99"/>
        <v/>
      </c>
      <c r="AA287" t="str">
        <f t="shared" si="100"/>
        <v/>
      </c>
      <c r="AB287" t="str">
        <f>COUNTIFS(AC287:AC$596,AC287)&amp;AC287</f>
        <v>310</v>
      </c>
      <c r="AC287" t="str">
        <f t="shared" si="117"/>
        <v/>
      </c>
      <c r="AD287" t="str">
        <f>COUNTIFS(AC$2:AC287,AC287)&amp;AC287</f>
        <v>286</v>
      </c>
      <c r="AE287" t="str">
        <f t="shared" si="101"/>
        <v/>
      </c>
      <c r="AF287" t="str">
        <f t="shared" si="118"/>
        <v>..</v>
      </c>
      <c r="AG287" s="28" t="str">
        <f t="shared" si="102"/>
        <v/>
      </c>
      <c r="AH287" s="28" t="str">
        <f t="shared" si="103"/>
        <v/>
      </c>
      <c r="AI287" t="str">
        <f t="shared" si="104"/>
        <v/>
      </c>
      <c r="AJ287" t="str">
        <f t="shared" si="105"/>
        <v/>
      </c>
      <c r="AK287" t="str">
        <f t="shared" si="106"/>
        <v/>
      </c>
      <c r="AL287" t="str">
        <f t="shared" si="107"/>
        <v/>
      </c>
      <c r="AM287" t="str">
        <f t="shared" si="108"/>
        <v/>
      </c>
      <c r="AN287" t="str">
        <f t="shared" si="109"/>
        <v/>
      </c>
      <c r="AO287" t="str">
        <f t="shared" si="110"/>
        <v/>
      </c>
      <c r="AP287" t="str">
        <f t="shared" si="111"/>
        <v/>
      </c>
      <c r="AQ287" t="str">
        <f t="shared" si="112"/>
        <v/>
      </c>
      <c r="AR287" t="str">
        <f t="shared" si="113"/>
        <v/>
      </c>
      <c r="AS287" t="str">
        <f t="shared" si="114"/>
        <v/>
      </c>
      <c r="AT287" t="str">
        <f t="shared" si="115"/>
        <v/>
      </c>
      <c r="AU287" s="25" t="str">
        <f t="shared" si="119"/>
        <v/>
      </c>
      <c r="BA287">
        <f>'REGISTER SK'!F290</f>
        <v>0</v>
      </c>
    </row>
    <row r="288" spans="1:53" x14ac:dyDescent="0.35">
      <c r="A288" s="18">
        <v>287</v>
      </c>
      <c r="B288" s="36" t="s">
        <v>379</v>
      </c>
      <c r="C288" s="18" t="str">
        <f>IF(G288="","",IF(G288="Umum",G288,VLOOKUP(F288,'Data Induk Pegawai'!B:AE,4,FALSE)))</f>
        <v/>
      </c>
      <c r="D288" s="19" t="str">
        <f>IF('REGISTER SK'!A291="","",IF('REGISTER SK'!B291=0,D287,'REGISTER SK'!B291))</f>
        <v/>
      </c>
      <c r="E288" s="19" t="str">
        <f t="shared" si="116"/>
        <v/>
      </c>
      <c r="F288" s="29"/>
      <c r="G288" s="29"/>
      <c r="H288" s="31" t="str">
        <f>IF(F288="","",VLOOKUP(F288,'Data Induk Pegawai'!B:U,2,FALSE))</f>
        <v/>
      </c>
      <c r="I288" s="19" t="str">
        <f>IF('REGISTER SK'!C291="","",'REGISTER SK'!C291)</f>
        <v/>
      </c>
      <c r="J288" s="125"/>
      <c r="K288" s="125"/>
      <c r="L288" s="26" t="str">
        <f>IF('REGISTER SK'!D291="","",'REGISTER SK'!D291)</f>
        <v/>
      </c>
      <c r="M288" s="26" t="str">
        <f>IF('REGISTER SK'!E291="","",'REGISTER SK'!E291)</f>
        <v/>
      </c>
      <c r="N288" s="31" t="str">
        <f>IF(G288="","",IF(OR(G288="GTT",G288="PTT"),"--",VLOOKUP(F288,'Data Induk Pegawai'!B:AE,4,FALSE)))</f>
        <v/>
      </c>
      <c r="O288" s="18" t="s">
        <v>326</v>
      </c>
      <c r="P288" s="31" t="str">
        <f>IF(G288="","",VLOOKUP(F288,'Data Induk Pegawai'!B:AE,7,FALSE))</f>
        <v/>
      </c>
      <c r="Q288" s="30"/>
      <c r="R288" s="26" t="str">
        <f>IF(G288="","","Nomor "&amp;RIGHT(VLOOKUP(F288,'Data Induk Pegawai'!B:AE,12,FALSE),2)&amp;" Tahun "&amp;MID(VLOOKUP(F288,'Data Induk Pegawai'!B:AE,12,FALSE),5,4))</f>
        <v/>
      </c>
      <c r="S288" s="26" t="str">
        <f>IF(G288="","",VLOOKUP(F288,'Data Induk Pegawai'!B:AE,11,FALSE))</f>
        <v/>
      </c>
      <c r="T288" s="56"/>
      <c r="U288" s="18" t="str">
        <f t="shared" si="96"/>
        <v/>
      </c>
      <c r="V288" s="30"/>
      <c r="W288" s="18" t="str">
        <f t="shared" si="97"/>
        <v/>
      </c>
      <c r="X288" s="16"/>
      <c r="Y288" t="str">
        <f t="shared" si="98"/>
        <v/>
      </c>
      <c r="Z288" t="str">
        <f t="shared" si="99"/>
        <v/>
      </c>
      <c r="AA288" t="str">
        <f t="shared" si="100"/>
        <v/>
      </c>
      <c r="AB288" t="str">
        <f>COUNTIFS(AC288:AC$596,AC288)&amp;AC288</f>
        <v>309</v>
      </c>
      <c r="AC288" t="str">
        <f t="shared" si="117"/>
        <v/>
      </c>
      <c r="AD288" t="str">
        <f>COUNTIFS(AC$2:AC288,AC288)&amp;AC288</f>
        <v>287</v>
      </c>
      <c r="AE288" t="str">
        <f t="shared" si="101"/>
        <v/>
      </c>
      <c r="AF288" t="str">
        <f t="shared" si="118"/>
        <v>..</v>
      </c>
      <c r="AG288" s="28" t="str">
        <f t="shared" si="102"/>
        <v/>
      </c>
      <c r="AH288" s="28" t="str">
        <f t="shared" si="103"/>
        <v/>
      </c>
      <c r="AI288" t="str">
        <f t="shared" si="104"/>
        <v/>
      </c>
      <c r="AJ288" t="str">
        <f t="shared" si="105"/>
        <v/>
      </c>
      <c r="AK288" t="str">
        <f t="shared" si="106"/>
        <v/>
      </c>
      <c r="AL288" t="str">
        <f t="shared" si="107"/>
        <v/>
      </c>
      <c r="AM288" t="str">
        <f t="shared" si="108"/>
        <v/>
      </c>
      <c r="AN288" t="str">
        <f t="shared" si="109"/>
        <v/>
      </c>
      <c r="AO288" t="str">
        <f t="shared" si="110"/>
        <v/>
      </c>
      <c r="AP288" t="str">
        <f t="shared" si="111"/>
        <v/>
      </c>
      <c r="AQ288" t="str">
        <f t="shared" si="112"/>
        <v/>
      </c>
      <c r="AR288" t="str">
        <f t="shared" si="113"/>
        <v/>
      </c>
      <c r="AS288" t="str">
        <f t="shared" si="114"/>
        <v/>
      </c>
      <c r="AT288" t="str">
        <f t="shared" si="115"/>
        <v/>
      </c>
      <c r="AU288" s="25" t="str">
        <f t="shared" si="119"/>
        <v/>
      </c>
      <c r="BA288">
        <f>'REGISTER SK'!F291</f>
        <v>0</v>
      </c>
    </row>
    <row r="289" spans="1:53" x14ac:dyDescent="0.35">
      <c r="A289" s="18">
        <v>288</v>
      </c>
      <c r="B289" s="36" t="s">
        <v>379</v>
      </c>
      <c r="C289" s="18" t="str">
        <f>IF(G289="","",IF(G289="Umum",G289,VLOOKUP(F289,'Data Induk Pegawai'!B:AE,4,FALSE)))</f>
        <v/>
      </c>
      <c r="D289" s="19" t="str">
        <f>IF('REGISTER SK'!A292="","",IF('REGISTER SK'!B292=0,D288,'REGISTER SK'!B292))</f>
        <v/>
      </c>
      <c r="E289" s="19" t="str">
        <f t="shared" si="116"/>
        <v/>
      </c>
      <c r="F289" s="29"/>
      <c r="G289" s="29"/>
      <c r="H289" s="31" t="str">
        <f>IF(F289="","",VLOOKUP(F289,'Data Induk Pegawai'!B:U,2,FALSE))</f>
        <v/>
      </c>
      <c r="I289" s="19" t="str">
        <f>IF('REGISTER SK'!C292="","",'REGISTER SK'!C292)</f>
        <v/>
      </c>
      <c r="J289" s="125"/>
      <c r="K289" s="125"/>
      <c r="L289" s="26" t="str">
        <f>IF('REGISTER SK'!D292="","",'REGISTER SK'!D292)</f>
        <v/>
      </c>
      <c r="M289" s="26" t="str">
        <f>IF('REGISTER SK'!E292="","",'REGISTER SK'!E292)</f>
        <v/>
      </c>
      <c r="N289" s="31" t="str">
        <f>IF(G289="","",IF(OR(G289="GTT",G289="PTT"),"--",VLOOKUP(F289,'Data Induk Pegawai'!B:AE,4,FALSE)))</f>
        <v/>
      </c>
      <c r="O289" s="18" t="s">
        <v>325</v>
      </c>
      <c r="P289" s="31" t="str">
        <f>IF(G289="","",VLOOKUP(F289,'Data Induk Pegawai'!B:AE,7,FALSE))</f>
        <v/>
      </c>
      <c r="Q289" s="30"/>
      <c r="R289" s="26" t="str">
        <f>IF(G289="","","Nomor "&amp;RIGHT(VLOOKUP(F289,'Data Induk Pegawai'!B:AE,12,FALSE),2)&amp;" Tahun "&amp;MID(VLOOKUP(F289,'Data Induk Pegawai'!B:AE,12,FALSE),5,4))</f>
        <v/>
      </c>
      <c r="S289" s="26" t="str">
        <f>IF(G289="","",VLOOKUP(F289,'Data Induk Pegawai'!B:AE,11,FALSE))</f>
        <v/>
      </c>
      <c r="T289" s="56"/>
      <c r="U289" s="18" t="str">
        <f t="shared" si="96"/>
        <v/>
      </c>
      <c r="V289" s="30"/>
      <c r="W289" s="18" t="str">
        <f t="shared" si="97"/>
        <v/>
      </c>
      <c r="X289" s="16"/>
      <c r="Y289" t="str">
        <f t="shared" si="98"/>
        <v/>
      </c>
      <c r="Z289" t="str">
        <f t="shared" si="99"/>
        <v/>
      </c>
      <c r="AA289" t="str">
        <f t="shared" si="100"/>
        <v/>
      </c>
      <c r="AB289" t="str">
        <f>COUNTIFS(AC289:AC$596,AC289)&amp;AC289</f>
        <v>308</v>
      </c>
      <c r="AC289" t="str">
        <f t="shared" si="117"/>
        <v/>
      </c>
      <c r="AD289" t="str">
        <f>COUNTIFS(AC$2:AC289,AC289)&amp;AC289</f>
        <v>288</v>
      </c>
      <c r="AE289" t="str">
        <f t="shared" si="101"/>
        <v/>
      </c>
      <c r="AF289" t="str">
        <f t="shared" si="118"/>
        <v>..</v>
      </c>
      <c r="AG289" s="28" t="str">
        <f t="shared" si="102"/>
        <v/>
      </c>
      <c r="AH289" s="28" t="str">
        <f t="shared" si="103"/>
        <v/>
      </c>
      <c r="AI289" t="str">
        <f t="shared" si="104"/>
        <v/>
      </c>
      <c r="AJ289" t="str">
        <f t="shared" si="105"/>
        <v/>
      </c>
      <c r="AK289" t="str">
        <f t="shared" si="106"/>
        <v/>
      </c>
      <c r="AL289" t="str">
        <f t="shared" si="107"/>
        <v/>
      </c>
      <c r="AM289" t="str">
        <f t="shared" si="108"/>
        <v/>
      </c>
      <c r="AN289" t="str">
        <f t="shared" si="109"/>
        <v/>
      </c>
      <c r="AO289" t="str">
        <f t="shared" si="110"/>
        <v/>
      </c>
      <c r="AP289" t="str">
        <f t="shared" si="111"/>
        <v/>
      </c>
      <c r="AQ289" t="str">
        <f t="shared" si="112"/>
        <v/>
      </c>
      <c r="AR289" t="str">
        <f t="shared" si="113"/>
        <v/>
      </c>
      <c r="AS289" t="str">
        <f t="shared" si="114"/>
        <v/>
      </c>
      <c r="AT289" t="str">
        <f t="shared" si="115"/>
        <v/>
      </c>
      <c r="AU289" s="25" t="str">
        <f t="shared" si="119"/>
        <v/>
      </c>
      <c r="BA289">
        <f>'REGISTER SK'!F292</f>
        <v>0</v>
      </c>
    </row>
    <row r="290" spans="1:53" x14ac:dyDescent="0.35">
      <c r="A290" s="18">
        <v>289</v>
      </c>
      <c r="B290" s="36" t="s">
        <v>379</v>
      </c>
      <c r="C290" s="18" t="str">
        <f>IF(G290="","",IF(G290="Umum",G290,VLOOKUP(F290,'Data Induk Pegawai'!B:AE,4,FALSE)))</f>
        <v/>
      </c>
      <c r="D290" s="19" t="str">
        <f>IF('REGISTER SK'!A293="","",IF('REGISTER SK'!B293=0,D289,'REGISTER SK'!B293))</f>
        <v/>
      </c>
      <c r="E290" s="19" t="str">
        <f t="shared" si="116"/>
        <v/>
      </c>
      <c r="F290" s="29"/>
      <c r="G290" s="29"/>
      <c r="H290" s="31" t="str">
        <f>IF(F290="","",VLOOKUP(F290,'Data Induk Pegawai'!B:U,2,FALSE))</f>
        <v/>
      </c>
      <c r="I290" s="19" t="str">
        <f>IF('REGISTER SK'!C293="","",'REGISTER SK'!C293)</f>
        <v/>
      </c>
      <c r="J290" s="125"/>
      <c r="K290" s="125"/>
      <c r="L290" s="26" t="str">
        <f>IF('REGISTER SK'!D293="","",'REGISTER SK'!D293)</f>
        <v/>
      </c>
      <c r="M290" s="26" t="str">
        <f>IF('REGISTER SK'!E293="","",'REGISTER SK'!E293)</f>
        <v/>
      </c>
      <c r="N290" s="31" t="str">
        <f>IF(G290="","",IF(OR(G290="GTT",G290="PTT"),"--",VLOOKUP(F290,'Data Induk Pegawai'!B:AE,4,FALSE)))</f>
        <v/>
      </c>
      <c r="O290" s="18" t="s">
        <v>429</v>
      </c>
      <c r="P290" s="31" t="str">
        <f>IF(G290="","",VLOOKUP(F290,'Data Induk Pegawai'!B:AE,7,FALSE))</f>
        <v/>
      </c>
      <c r="Q290" s="30"/>
      <c r="R290" s="26" t="str">
        <f>IF(G290="","","Nomor "&amp;RIGHT(VLOOKUP(F290,'Data Induk Pegawai'!B:AE,12,FALSE),2)&amp;" Tahun "&amp;MID(VLOOKUP(F290,'Data Induk Pegawai'!B:AE,12,FALSE),5,4))</f>
        <v/>
      </c>
      <c r="S290" s="26" t="str">
        <f>IF(G290="","",VLOOKUP(F290,'Data Induk Pegawai'!B:AE,11,FALSE))</f>
        <v/>
      </c>
      <c r="T290" s="56"/>
      <c r="U290" s="18" t="str">
        <f t="shared" si="96"/>
        <v/>
      </c>
      <c r="V290" s="30"/>
      <c r="W290" s="18" t="str">
        <f t="shared" si="97"/>
        <v/>
      </c>
      <c r="X290" s="16"/>
      <c r="Y290" t="str">
        <f t="shared" si="98"/>
        <v/>
      </c>
      <c r="Z290" t="str">
        <f t="shared" si="99"/>
        <v/>
      </c>
      <c r="AA290" t="str">
        <f t="shared" si="100"/>
        <v/>
      </c>
      <c r="AB290" t="str">
        <f>COUNTIFS(AC290:AC$596,AC290)&amp;AC290</f>
        <v>307</v>
      </c>
      <c r="AC290" t="str">
        <f t="shared" si="117"/>
        <v/>
      </c>
      <c r="AD290" t="str">
        <f>COUNTIFS(AC$2:AC290,AC290)&amp;AC290</f>
        <v>289</v>
      </c>
      <c r="AE290" t="str">
        <f t="shared" si="101"/>
        <v/>
      </c>
      <c r="AF290" t="str">
        <f t="shared" si="118"/>
        <v>..</v>
      </c>
      <c r="AG290" s="28" t="str">
        <f t="shared" ref="AG290:AG321" si="120">L290</f>
        <v/>
      </c>
      <c r="AH290" s="28" t="str">
        <f t="shared" si="103"/>
        <v/>
      </c>
      <c r="AI290" t="str">
        <f t="shared" si="104"/>
        <v/>
      </c>
      <c r="AJ290" t="str">
        <f t="shared" si="105"/>
        <v/>
      </c>
      <c r="AK290" t="str">
        <f t="shared" si="106"/>
        <v/>
      </c>
      <c r="AL290" t="str">
        <f t="shared" si="107"/>
        <v/>
      </c>
      <c r="AM290" t="str">
        <f t="shared" si="108"/>
        <v/>
      </c>
      <c r="AN290" t="str">
        <f t="shared" si="109"/>
        <v/>
      </c>
      <c r="AO290" t="str">
        <f t="shared" si="110"/>
        <v/>
      </c>
      <c r="AP290" t="str">
        <f t="shared" si="111"/>
        <v/>
      </c>
      <c r="AQ290" t="str">
        <f t="shared" si="112"/>
        <v/>
      </c>
      <c r="AR290" t="str">
        <f t="shared" si="113"/>
        <v/>
      </c>
      <c r="AS290" t="str">
        <f t="shared" si="114"/>
        <v/>
      </c>
      <c r="AT290" t="str">
        <f t="shared" si="115"/>
        <v/>
      </c>
      <c r="AU290" s="25" t="str">
        <f t="shared" si="119"/>
        <v/>
      </c>
      <c r="BA290">
        <f>'REGISTER SK'!F293</f>
        <v>0</v>
      </c>
    </row>
    <row r="291" spans="1:53" x14ac:dyDescent="0.35">
      <c r="A291" s="18">
        <v>290</v>
      </c>
      <c r="B291" s="36" t="s">
        <v>379</v>
      </c>
      <c r="C291" s="18" t="str">
        <f>IF(G291="","",IF(G291="Umum",G291,VLOOKUP(F291,'Data Induk Pegawai'!B:AE,4,FALSE)))</f>
        <v/>
      </c>
      <c r="D291" s="19" t="str">
        <f>IF('REGISTER SK'!A294="","",IF('REGISTER SK'!B294=0,D290,'REGISTER SK'!B294))</f>
        <v/>
      </c>
      <c r="E291" s="19" t="str">
        <f t="shared" si="116"/>
        <v/>
      </c>
      <c r="F291" s="29"/>
      <c r="G291" s="29"/>
      <c r="H291" s="31" t="str">
        <f>IF(F291="","",VLOOKUP(F291,'Data Induk Pegawai'!B:U,2,FALSE))</f>
        <v/>
      </c>
      <c r="I291" s="19" t="str">
        <f>IF('REGISTER SK'!C294="","",'REGISTER SK'!C294)</f>
        <v/>
      </c>
      <c r="J291" s="125"/>
      <c r="K291" s="125"/>
      <c r="L291" s="26" t="str">
        <f>IF('REGISTER SK'!D294="","",'REGISTER SK'!D294)</f>
        <v/>
      </c>
      <c r="M291" s="26" t="str">
        <f>IF('REGISTER SK'!E294="","",'REGISTER SK'!E294)</f>
        <v/>
      </c>
      <c r="N291" s="31" t="str">
        <f>IF(G291="","",IF(OR(G291="GTT",G291="PTT"),"--",VLOOKUP(F291,'Data Induk Pegawai'!B:AE,4,FALSE)))</f>
        <v/>
      </c>
      <c r="O291" s="18" t="s">
        <v>432</v>
      </c>
      <c r="P291" s="31" t="str">
        <f>IF(G291="","",VLOOKUP(F291,'Data Induk Pegawai'!B:AE,7,FALSE))</f>
        <v/>
      </c>
      <c r="Q291" s="30"/>
      <c r="R291" s="26" t="str">
        <f>IF(G291="","","Nomor "&amp;RIGHT(VLOOKUP(F291,'Data Induk Pegawai'!B:AE,12,FALSE),2)&amp;" Tahun "&amp;MID(VLOOKUP(F291,'Data Induk Pegawai'!B:AE,12,FALSE),5,4))</f>
        <v/>
      </c>
      <c r="S291" s="26" t="str">
        <f>IF(G291="","",VLOOKUP(F291,'Data Induk Pegawai'!B:AE,11,FALSE))</f>
        <v/>
      </c>
      <c r="T291" s="56"/>
      <c r="U291" s="18" t="str">
        <f t="shared" si="96"/>
        <v/>
      </c>
      <c r="V291" s="30"/>
      <c r="W291" s="18" t="str">
        <f t="shared" si="97"/>
        <v/>
      </c>
      <c r="X291" s="16"/>
      <c r="Y291" t="str">
        <f t="shared" si="98"/>
        <v/>
      </c>
      <c r="Z291" t="str">
        <f t="shared" si="99"/>
        <v/>
      </c>
      <c r="AA291" t="str">
        <f t="shared" si="100"/>
        <v/>
      </c>
      <c r="AB291" t="str">
        <f>COUNTIFS(AC291:AC$596,AC291)&amp;AC291</f>
        <v>306</v>
      </c>
      <c r="AC291" t="str">
        <f t="shared" si="117"/>
        <v/>
      </c>
      <c r="AD291" t="str">
        <f>COUNTIFS(AC$2:AC291,AC291)&amp;AC291</f>
        <v>290</v>
      </c>
      <c r="AE291" t="str">
        <f t="shared" si="101"/>
        <v/>
      </c>
      <c r="AF291" t="str">
        <f t="shared" si="118"/>
        <v>..</v>
      </c>
      <c r="AG291" s="28" t="str">
        <f t="shared" si="120"/>
        <v/>
      </c>
      <c r="AH291" s="28" t="str">
        <f t="shared" si="103"/>
        <v/>
      </c>
      <c r="AI291" t="str">
        <f t="shared" si="104"/>
        <v/>
      </c>
      <c r="AJ291" t="str">
        <f t="shared" si="105"/>
        <v/>
      </c>
      <c r="AK291" t="str">
        <f t="shared" si="106"/>
        <v/>
      </c>
      <c r="AL291" t="str">
        <f t="shared" si="107"/>
        <v/>
      </c>
      <c r="AM291" t="str">
        <f t="shared" si="108"/>
        <v/>
      </c>
      <c r="AN291" t="str">
        <f t="shared" si="109"/>
        <v/>
      </c>
      <c r="AO291" t="str">
        <f t="shared" si="110"/>
        <v/>
      </c>
      <c r="AP291" t="str">
        <f t="shared" si="111"/>
        <v/>
      </c>
      <c r="AQ291" t="str">
        <f t="shared" si="112"/>
        <v/>
      </c>
      <c r="AR291" t="str">
        <f t="shared" si="113"/>
        <v/>
      </c>
      <c r="AS291" t="str">
        <f t="shared" si="114"/>
        <v/>
      </c>
      <c r="AT291" t="str">
        <f t="shared" si="115"/>
        <v/>
      </c>
      <c r="AU291" s="25" t="str">
        <f t="shared" si="119"/>
        <v/>
      </c>
      <c r="BA291">
        <f>'REGISTER SK'!F294</f>
        <v>0</v>
      </c>
    </row>
    <row r="292" spans="1:53" x14ac:dyDescent="0.35">
      <c r="A292" s="18">
        <v>291</v>
      </c>
      <c r="B292" s="36" t="s">
        <v>379</v>
      </c>
      <c r="C292" s="18" t="str">
        <f>IF(G292="","",IF(G292="Umum",G292,VLOOKUP(F292,'Data Induk Pegawai'!B:AE,4,FALSE)))</f>
        <v/>
      </c>
      <c r="D292" s="19" t="str">
        <f>IF('REGISTER SK'!A295="","",IF('REGISTER SK'!B295=0,D291,'REGISTER SK'!B295))</f>
        <v/>
      </c>
      <c r="E292" s="19" t="str">
        <f t="shared" si="116"/>
        <v/>
      </c>
      <c r="F292" s="29"/>
      <c r="G292" s="29"/>
      <c r="H292" s="31" t="str">
        <f>IF(F292="","",VLOOKUP(F292,'Data Induk Pegawai'!B:U,2,FALSE))</f>
        <v/>
      </c>
      <c r="I292" s="19" t="str">
        <f>IF('REGISTER SK'!C295="","",'REGISTER SK'!C295)</f>
        <v/>
      </c>
      <c r="J292" s="125"/>
      <c r="K292" s="125"/>
      <c r="L292" s="26" t="str">
        <f>IF('REGISTER SK'!D295="","",'REGISTER SK'!D295)</f>
        <v/>
      </c>
      <c r="M292" s="26" t="str">
        <f>IF('REGISTER SK'!E295="","",'REGISTER SK'!E295)</f>
        <v/>
      </c>
      <c r="N292" s="31" t="str">
        <f>IF(G292="","",IF(OR(G292="GTT",G292="PTT"),"--",VLOOKUP(F292,'Data Induk Pegawai'!B:AE,4,FALSE)))</f>
        <v/>
      </c>
      <c r="O292" s="18" t="s">
        <v>321</v>
      </c>
      <c r="P292" s="31" t="str">
        <f>IF(G292="","",VLOOKUP(F292,'Data Induk Pegawai'!B:AE,7,FALSE))</f>
        <v/>
      </c>
      <c r="Q292" s="30"/>
      <c r="R292" s="26" t="str">
        <f>IF(G292="","","Nomor "&amp;RIGHT(VLOOKUP(F292,'Data Induk Pegawai'!B:AE,12,FALSE),2)&amp;" Tahun "&amp;MID(VLOOKUP(F292,'Data Induk Pegawai'!B:AE,12,FALSE),5,4))</f>
        <v/>
      </c>
      <c r="S292" s="26" t="str">
        <f>IF(G292="","",VLOOKUP(F292,'Data Induk Pegawai'!B:AE,11,FALSE))</f>
        <v/>
      </c>
      <c r="T292" s="56"/>
      <c r="U292" s="18" t="str">
        <f t="shared" si="96"/>
        <v/>
      </c>
      <c r="V292" s="30"/>
      <c r="W292" s="18" t="str">
        <f t="shared" si="97"/>
        <v/>
      </c>
      <c r="X292" s="16"/>
      <c r="Y292" t="str">
        <f t="shared" si="98"/>
        <v/>
      </c>
      <c r="Z292" t="str">
        <f t="shared" si="99"/>
        <v/>
      </c>
      <c r="AA292" t="str">
        <f t="shared" si="100"/>
        <v/>
      </c>
      <c r="AB292" t="str">
        <f>COUNTIFS(AC292:AC$596,AC292)&amp;AC292</f>
        <v>305</v>
      </c>
      <c r="AC292" t="str">
        <f t="shared" si="117"/>
        <v/>
      </c>
      <c r="AD292" t="str">
        <f>COUNTIFS(AC$2:AC292,AC292)&amp;AC292</f>
        <v>291</v>
      </c>
      <c r="AE292" t="str">
        <f t="shared" si="101"/>
        <v/>
      </c>
      <c r="AF292" t="str">
        <f t="shared" si="118"/>
        <v>..</v>
      </c>
      <c r="AG292" s="28" t="str">
        <f t="shared" si="120"/>
        <v/>
      </c>
      <c r="AH292" s="28" t="str">
        <f t="shared" si="103"/>
        <v/>
      </c>
      <c r="AI292" t="str">
        <f t="shared" si="104"/>
        <v/>
      </c>
      <c r="AJ292" t="str">
        <f t="shared" si="105"/>
        <v/>
      </c>
      <c r="AK292" t="str">
        <f t="shared" si="106"/>
        <v/>
      </c>
      <c r="AL292" t="str">
        <f t="shared" si="107"/>
        <v/>
      </c>
      <c r="AM292" t="str">
        <f t="shared" si="108"/>
        <v/>
      </c>
      <c r="AN292" t="str">
        <f t="shared" si="109"/>
        <v/>
      </c>
      <c r="AO292" t="str">
        <f t="shared" si="110"/>
        <v/>
      </c>
      <c r="AP292" t="str">
        <f t="shared" si="111"/>
        <v/>
      </c>
      <c r="AQ292" t="str">
        <f t="shared" si="112"/>
        <v/>
      </c>
      <c r="AR292" t="str">
        <f t="shared" si="113"/>
        <v/>
      </c>
      <c r="AS292" t="str">
        <f t="shared" si="114"/>
        <v/>
      </c>
      <c r="AT292" t="str">
        <f t="shared" si="115"/>
        <v/>
      </c>
      <c r="AU292" s="25" t="str">
        <f t="shared" si="119"/>
        <v/>
      </c>
      <c r="BA292">
        <f>'REGISTER SK'!F295</f>
        <v>0</v>
      </c>
    </row>
    <row r="293" spans="1:53" x14ac:dyDescent="0.35">
      <c r="A293" s="18">
        <v>292</v>
      </c>
      <c r="B293" s="36" t="s">
        <v>379</v>
      </c>
      <c r="C293" s="18" t="str">
        <f>IF(G293="","",IF(G293="Umum",G293,VLOOKUP(F293,'Data Induk Pegawai'!B:AE,4,FALSE)))</f>
        <v/>
      </c>
      <c r="D293" s="19" t="str">
        <f>IF('REGISTER SK'!A296="","",IF('REGISTER SK'!B296=0,D292,'REGISTER SK'!B296))</f>
        <v/>
      </c>
      <c r="E293" s="19" t="str">
        <f t="shared" si="116"/>
        <v/>
      </c>
      <c r="F293" s="29"/>
      <c r="G293" s="29"/>
      <c r="H293" s="31" t="str">
        <f>IF(F293="","",VLOOKUP(F293,'Data Induk Pegawai'!B:U,2,FALSE))</f>
        <v/>
      </c>
      <c r="I293" s="19" t="str">
        <f>IF('REGISTER SK'!C296="","",'REGISTER SK'!C296)</f>
        <v/>
      </c>
      <c r="J293" s="125"/>
      <c r="K293" s="125"/>
      <c r="L293" s="26" t="str">
        <f>IF('REGISTER SK'!D296="","",'REGISTER SK'!D296)</f>
        <v/>
      </c>
      <c r="M293" s="26" t="str">
        <f>IF('REGISTER SK'!E296="","",'REGISTER SK'!E296)</f>
        <v/>
      </c>
      <c r="N293" s="31" t="str">
        <f>IF(G293="","",IF(OR(G293="GTT",G293="PTT"),"--",VLOOKUP(F293,'Data Induk Pegawai'!B:AE,4,FALSE)))</f>
        <v/>
      </c>
      <c r="O293" s="18" t="s">
        <v>322</v>
      </c>
      <c r="P293" s="31" t="str">
        <f>IF(G293="","",VLOOKUP(F293,'Data Induk Pegawai'!B:AE,7,FALSE))</f>
        <v/>
      </c>
      <c r="Q293" s="30"/>
      <c r="R293" s="26" t="str">
        <f>IF(G293="","","Nomor "&amp;RIGHT(VLOOKUP(F293,'Data Induk Pegawai'!B:AE,12,FALSE),2)&amp;" Tahun "&amp;MID(VLOOKUP(F293,'Data Induk Pegawai'!B:AE,12,FALSE),5,4))</f>
        <v/>
      </c>
      <c r="S293" s="26" t="str">
        <f>IF(G293="","",VLOOKUP(F293,'Data Induk Pegawai'!B:AE,11,FALSE))</f>
        <v/>
      </c>
      <c r="T293" s="56"/>
      <c r="U293" s="18" t="str">
        <f t="shared" si="96"/>
        <v/>
      </c>
      <c r="V293" s="30"/>
      <c r="W293" s="18" t="str">
        <f t="shared" si="97"/>
        <v/>
      </c>
      <c r="X293" s="16"/>
      <c r="Y293" t="str">
        <f t="shared" si="98"/>
        <v/>
      </c>
      <c r="Z293" t="str">
        <f t="shared" si="99"/>
        <v/>
      </c>
      <c r="AA293" t="str">
        <f t="shared" si="100"/>
        <v/>
      </c>
      <c r="AB293" t="str">
        <f>COUNTIFS(AC293:AC$596,AC293)&amp;AC293</f>
        <v>304</v>
      </c>
      <c r="AC293" t="str">
        <f t="shared" si="117"/>
        <v/>
      </c>
      <c r="AD293" t="str">
        <f>COUNTIFS(AC$2:AC293,AC293)&amp;AC293</f>
        <v>292</v>
      </c>
      <c r="AE293" t="str">
        <f t="shared" si="101"/>
        <v/>
      </c>
      <c r="AF293" t="str">
        <f t="shared" si="118"/>
        <v>..</v>
      </c>
      <c r="AG293" s="28" t="str">
        <f t="shared" si="120"/>
        <v/>
      </c>
      <c r="AH293" s="28" t="str">
        <f t="shared" si="103"/>
        <v/>
      </c>
      <c r="AI293" t="str">
        <f t="shared" si="104"/>
        <v/>
      </c>
      <c r="AJ293" t="str">
        <f t="shared" si="105"/>
        <v/>
      </c>
      <c r="AK293" t="str">
        <f t="shared" si="106"/>
        <v/>
      </c>
      <c r="AL293" t="str">
        <f t="shared" si="107"/>
        <v/>
      </c>
      <c r="AM293" t="str">
        <f t="shared" si="108"/>
        <v/>
      </c>
      <c r="AN293" t="str">
        <f t="shared" si="109"/>
        <v/>
      </c>
      <c r="AO293" t="str">
        <f t="shared" si="110"/>
        <v/>
      </c>
      <c r="AP293" t="str">
        <f t="shared" si="111"/>
        <v/>
      </c>
      <c r="AQ293" t="str">
        <f t="shared" si="112"/>
        <v/>
      </c>
      <c r="AR293" t="str">
        <f t="shared" si="113"/>
        <v/>
      </c>
      <c r="AS293" t="str">
        <f t="shared" si="114"/>
        <v/>
      </c>
      <c r="AT293" t="str">
        <f t="shared" si="115"/>
        <v/>
      </c>
      <c r="AU293" s="25" t="str">
        <f t="shared" si="119"/>
        <v/>
      </c>
      <c r="BA293">
        <f>'REGISTER SK'!F296</f>
        <v>0</v>
      </c>
    </row>
    <row r="294" spans="1:53" x14ac:dyDescent="0.35">
      <c r="A294" s="18">
        <v>293</v>
      </c>
      <c r="B294" s="36" t="s">
        <v>379</v>
      </c>
      <c r="C294" s="18" t="str">
        <f>IF(G294="","",IF(G294="Umum",G294,VLOOKUP(F294,'Data Induk Pegawai'!B:AE,4,FALSE)))</f>
        <v/>
      </c>
      <c r="D294" s="19" t="str">
        <f>IF('REGISTER SK'!A297="","",IF('REGISTER SK'!B297=0,D293,'REGISTER SK'!B297))</f>
        <v/>
      </c>
      <c r="E294" s="19" t="str">
        <f t="shared" si="116"/>
        <v/>
      </c>
      <c r="F294" s="29"/>
      <c r="G294" s="29"/>
      <c r="H294" s="31" t="str">
        <f>IF(F294="","",VLOOKUP(F294,'Data Induk Pegawai'!B:U,2,FALSE))</f>
        <v/>
      </c>
      <c r="I294" s="19" t="str">
        <f>IF('REGISTER SK'!C297="","",'REGISTER SK'!C297)</f>
        <v/>
      </c>
      <c r="J294" s="125"/>
      <c r="K294" s="125"/>
      <c r="L294" s="26" t="str">
        <f>IF('REGISTER SK'!D297="","",'REGISTER SK'!D297)</f>
        <v/>
      </c>
      <c r="M294" s="26" t="str">
        <f>IF('REGISTER SK'!E297="","",'REGISTER SK'!E297)</f>
        <v/>
      </c>
      <c r="N294" s="31" t="str">
        <f>IF(G294="","",IF(OR(G294="GTT",G294="PTT"),"--",VLOOKUP(F294,'Data Induk Pegawai'!B:AE,4,FALSE)))</f>
        <v/>
      </c>
      <c r="O294" s="18" t="s">
        <v>323</v>
      </c>
      <c r="P294" s="31" t="str">
        <f>IF(G294="","",VLOOKUP(F294,'Data Induk Pegawai'!B:AE,7,FALSE))</f>
        <v/>
      </c>
      <c r="Q294" s="30"/>
      <c r="R294" s="26" t="str">
        <f>IF(G294="","","Nomor "&amp;RIGHT(VLOOKUP(F294,'Data Induk Pegawai'!B:AE,12,FALSE),2)&amp;" Tahun "&amp;MID(VLOOKUP(F294,'Data Induk Pegawai'!B:AE,12,FALSE),5,4))</f>
        <v/>
      </c>
      <c r="S294" s="26" t="str">
        <f>IF(G294="","",VLOOKUP(F294,'Data Induk Pegawai'!B:AE,11,FALSE))</f>
        <v/>
      </c>
      <c r="T294" s="56"/>
      <c r="U294" s="18" t="str">
        <f t="shared" si="96"/>
        <v/>
      </c>
      <c r="V294" s="30"/>
      <c r="W294" s="18" t="str">
        <f t="shared" si="97"/>
        <v/>
      </c>
      <c r="X294" s="16"/>
      <c r="Y294" t="str">
        <f t="shared" si="98"/>
        <v/>
      </c>
      <c r="Z294" t="str">
        <f t="shared" si="99"/>
        <v/>
      </c>
      <c r="AA294" t="str">
        <f t="shared" si="100"/>
        <v/>
      </c>
      <c r="AB294" t="str">
        <f>COUNTIFS(AC294:AC$596,AC294)&amp;AC294</f>
        <v>303</v>
      </c>
      <c r="AC294" t="str">
        <f t="shared" si="117"/>
        <v/>
      </c>
      <c r="AD294" t="str">
        <f>COUNTIFS(AC$2:AC294,AC294)&amp;AC294</f>
        <v>293</v>
      </c>
      <c r="AE294" t="str">
        <f t="shared" si="101"/>
        <v/>
      </c>
      <c r="AF294" t="str">
        <f t="shared" si="118"/>
        <v>..</v>
      </c>
      <c r="AG294" s="28" t="str">
        <f t="shared" si="120"/>
        <v/>
      </c>
      <c r="AH294" s="28" t="str">
        <f t="shared" si="103"/>
        <v/>
      </c>
      <c r="AI294" t="str">
        <f t="shared" si="104"/>
        <v/>
      </c>
      <c r="AJ294" t="str">
        <f t="shared" si="105"/>
        <v/>
      </c>
      <c r="AK294" t="str">
        <f t="shared" si="106"/>
        <v/>
      </c>
      <c r="AL294" t="str">
        <f t="shared" si="107"/>
        <v/>
      </c>
      <c r="AM294" t="str">
        <f t="shared" si="108"/>
        <v/>
      </c>
      <c r="AN294" t="str">
        <f t="shared" si="109"/>
        <v/>
      </c>
      <c r="AO294" t="str">
        <f t="shared" si="110"/>
        <v/>
      </c>
      <c r="AP294" t="str">
        <f t="shared" si="111"/>
        <v/>
      </c>
      <c r="AQ294" t="str">
        <f t="shared" si="112"/>
        <v/>
      </c>
      <c r="AR294" t="str">
        <f t="shared" si="113"/>
        <v/>
      </c>
      <c r="AS294" t="str">
        <f t="shared" si="114"/>
        <v/>
      </c>
      <c r="AT294" t="str">
        <f t="shared" si="115"/>
        <v/>
      </c>
      <c r="AU294" s="25" t="str">
        <f t="shared" si="119"/>
        <v/>
      </c>
      <c r="BA294">
        <f>'REGISTER SK'!F297</f>
        <v>0</v>
      </c>
    </row>
    <row r="295" spans="1:53" x14ac:dyDescent="0.35">
      <c r="A295" s="18">
        <v>294</v>
      </c>
      <c r="B295" s="36" t="s">
        <v>379</v>
      </c>
      <c r="C295" s="18" t="str">
        <f>IF(G295="","",IF(G295="Umum",G295,VLOOKUP(F295,'Data Induk Pegawai'!B:AE,4,FALSE)))</f>
        <v/>
      </c>
      <c r="D295" s="19" t="str">
        <f>IF('REGISTER SK'!A298="","",IF('REGISTER SK'!B298=0,D294,'REGISTER SK'!B298))</f>
        <v/>
      </c>
      <c r="E295" s="19" t="str">
        <f t="shared" si="116"/>
        <v/>
      </c>
      <c r="F295" s="29"/>
      <c r="G295" s="29"/>
      <c r="H295" s="31" t="str">
        <f>IF(F295="","",VLOOKUP(F295,'Data Induk Pegawai'!B:U,2,FALSE))</f>
        <v/>
      </c>
      <c r="I295" s="19" t="str">
        <f>IF('REGISTER SK'!C298="","",'REGISTER SK'!C298)</f>
        <v/>
      </c>
      <c r="J295" s="125"/>
      <c r="K295" s="125"/>
      <c r="L295" s="26" t="str">
        <f>IF('REGISTER SK'!D298="","",'REGISTER SK'!D298)</f>
        <v/>
      </c>
      <c r="M295" s="26" t="str">
        <f>IF('REGISTER SK'!E298="","",'REGISTER SK'!E298)</f>
        <v/>
      </c>
      <c r="N295" s="31" t="str">
        <f>IF(G295="","",IF(OR(G295="GTT",G295="PTT"),"--",VLOOKUP(F295,'Data Induk Pegawai'!B:AE,4,FALSE)))</f>
        <v/>
      </c>
      <c r="O295" s="18" t="s">
        <v>324</v>
      </c>
      <c r="P295" s="31" t="str">
        <f>IF(G295="","",VLOOKUP(F295,'Data Induk Pegawai'!B:AE,7,FALSE))</f>
        <v/>
      </c>
      <c r="Q295" s="30"/>
      <c r="R295" s="26" t="str">
        <f>IF(G295="","","Nomor "&amp;RIGHT(VLOOKUP(F295,'Data Induk Pegawai'!B:AE,12,FALSE),2)&amp;" Tahun "&amp;MID(VLOOKUP(F295,'Data Induk Pegawai'!B:AE,12,FALSE),5,4))</f>
        <v/>
      </c>
      <c r="S295" s="26" t="str">
        <f>IF(G295="","",VLOOKUP(F295,'Data Induk Pegawai'!B:AE,11,FALSE))</f>
        <v/>
      </c>
      <c r="T295" s="56"/>
      <c r="U295" s="18" t="str">
        <f t="shared" si="96"/>
        <v/>
      </c>
      <c r="V295" s="30"/>
      <c r="W295" s="18" t="str">
        <f t="shared" si="97"/>
        <v/>
      </c>
      <c r="X295" s="16"/>
      <c r="Y295" t="str">
        <f t="shared" si="98"/>
        <v/>
      </c>
      <c r="Z295" t="str">
        <f t="shared" si="99"/>
        <v/>
      </c>
      <c r="AA295" t="str">
        <f t="shared" si="100"/>
        <v/>
      </c>
      <c r="AB295" t="str">
        <f>COUNTIFS(AC295:AC$596,AC295)&amp;AC295</f>
        <v>302</v>
      </c>
      <c r="AC295" t="str">
        <f t="shared" si="117"/>
        <v/>
      </c>
      <c r="AD295" t="str">
        <f>COUNTIFS(AC$2:AC295,AC295)&amp;AC295</f>
        <v>294</v>
      </c>
      <c r="AE295" t="str">
        <f t="shared" si="101"/>
        <v/>
      </c>
      <c r="AF295" t="str">
        <f t="shared" si="118"/>
        <v>..</v>
      </c>
      <c r="AG295" s="28" t="str">
        <f t="shared" si="120"/>
        <v/>
      </c>
      <c r="AH295" s="28" t="str">
        <f t="shared" si="103"/>
        <v/>
      </c>
      <c r="AI295" t="str">
        <f t="shared" si="104"/>
        <v/>
      </c>
      <c r="AJ295" t="str">
        <f t="shared" si="105"/>
        <v/>
      </c>
      <c r="AK295" t="str">
        <f t="shared" si="106"/>
        <v/>
      </c>
      <c r="AL295" t="str">
        <f t="shared" si="107"/>
        <v/>
      </c>
      <c r="AM295" t="str">
        <f t="shared" si="108"/>
        <v/>
      </c>
      <c r="AN295" t="str">
        <f t="shared" si="109"/>
        <v/>
      </c>
      <c r="AO295" t="str">
        <f t="shared" si="110"/>
        <v/>
      </c>
      <c r="AP295" t="str">
        <f t="shared" si="111"/>
        <v/>
      </c>
      <c r="AQ295" t="str">
        <f t="shared" si="112"/>
        <v/>
      </c>
      <c r="AR295" t="str">
        <f t="shared" si="113"/>
        <v/>
      </c>
      <c r="AS295" t="str">
        <f t="shared" si="114"/>
        <v/>
      </c>
      <c r="AT295" t="str">
        <f t="shared" si="115"/>
        <v/>
      </c>
      <c r="AU295" s="25" t="str">
        <f t="shared" si="119"/>
        <v/>
      </c>
      <c r="BA295">
        <f>'REGISTER SK'!F298</f>
        <v>0</v>
      </c>
    </row>
    <row r="296" spans="1:53" x14ac:dyDescent="0.35">
      <c r="A296" s="18">
        <v>295</v>
      </c>
      <c r="B296" s="36"/>
      <c r="C296" s="18" t="str">
        <f>IF(G296="","",IF(G296="Umum",G296,VLOOKUP(F296,'Data Induk Pegawai'!B:AE,4,FALSE)))</f>
        <v/>
      </c>
      <c r="D296" s="19" t="str">
        <f>IF('REGISTER SK'!A299="","",IF('REGISTER SK'!B299=0,D295,'REGISTER SK'!B299))</f>
        <v/>
      </c>
      <c r="E296" s="19" t="str">
        <f t="shared" si="116"/>
        <v/>
      </c>
      <c r="F296" s="29"/>
      <c r="G296" s="29"/>
      <c r="H296" s="31" t="str">
        <f>IF(F296="","",VLOOKUP(F296,'Data Induk Pegawai'!B:U,2,FALSE))</f>
        <v/>
      </c>
      <c r="I296" s="19" t="str">
        <f>IF('REGISTER SK'!C299="","",'REGISTER SK'!C299)</f>
        <v/>
      </c>
      <c r="J296" s="125"/>
      <c r="K296" s="125"/>
      <c r="L296" s="26" t="str">
        <f>IF('REGISTER SK'!D299="","",'REGISTER SK'!D299)</f>
        <v/>
      </c>
      <c r="M296" s="26" t="str">
        <f>IF('REGISTER SK'!E299="","",'REGISTER SK'!E299)</f>
        <v/>
      </c>
      <c r="N296" s="31" t="str">
        <f>IF(G296="","",IF(OR(G296="GTT",G296="PTT"),"--",VLOOKUP(F296,'Data Induk Pegawai'!B:AE,4,FALSE)))</f>
        <v/>
      </c>
      <c r="O296" s="18" t="s">
        <v>442</v>
      </c>
      <c r="P296" s="31" t="str">
        <f>IF(G296="","",VLOOKUP(F296,'Data Induk Pegawai'!B:AE,7,FALSE))</f>
        <v/>
      </c>
      <c r="Q296" s="30"/>
      <c r="R296" s="26" t="str">
        <f>IF(G296="","","Nomor "&amp;RIGHT(VLOOKUP(F296,'Data Induk Pegawai'!B:AE,12,FALSE),2)&amp;" Tahun "&amp;MID(VLOOKUP(F296,'Data Induk Pegawai'!B:AE,12,FALSE),5,4))</f>
        <v/>
      </c>
      <c r="S296" s="26" t="str">
        <f>IF(G296="","",VLOOKUP(F296,'Data Induk Pegawai'!B:AE,11,FALSE))</f>
        <v/>
      </c>
      <c r="T296" s="56"/>
      <c r="U296" s="18" t="str">
        <f t="shared" si="96"/>
        <v/>
      </c>
      <c r="V296" s="30"/>
      <c r="W296" s="18" t="str">
        <f t="shared" si="97"/>
        <v/>
      </c>
      <c r="X296" s="16"/>
      <c r="Y296" t="str">
        <f t="shared" si="98"/>
        <v/>
      </c>
      <c r="Z296" t="str">
        <f t="shared" si="99"/>
        <v/>
      </c>
      <c r="AA296" t="str">
        <f t="shared" si="100"/>
        <v/>
      </c>
      <c r="AB296" t="str">
        <f>COUNTIFS(AC296:AC$596,AC296)&amp;AC296</f>
        <v>301</v>
      </c>
      <c r="AC296" t="str">
        <f t="shared" si="117"/>
        <v/>
      </c>
      <c r="AD296" t="str">
        <f>COUNTIFS(AC$2:AC296,AC296)&amp;AC296</f>
        <v>295</v>
      </c>
      <c r="AE296" t="str">
        <f t="shared" si="101"/>
        <v/>
      </c>
      <c r="AF296" t="str">
        <f t="shared" si="118"/>
        <v>..</v>
      </c>
      <c r="AG296" s="28" t="str">
        <f t="shared" si="120"/>
        <v/>
      </c>
      <c r="AH296" s="28" t="str">
        <f t="shared" si="103"/>
        <v/>
      </c>
      <c r="AI296" t="str">
        <f t="shared" si="104"/>
        <v/>
      </c>
      <c r="AJ296" t="str">
        <f t="shared" si="105"/>
        <v/>
      </c>
      <c r="AK296" t="str">
        <f t="shared" si="106"/>
        <v/>
      </c>
      <c r="AL296" t="str">
        <f t="shared" si="107"/>
        <v/>
      </c>
      <c r="AM296" t="str">
        <f t="shared" si="108"/>
        <v/>
      </c>
      <c r="AN296" t="str">
        <f t="shared" si="109"/>
        <v/>
      </c>
      <c r="AO296" t="str">
        <f t="shared" si="110"/>
        <v/>
      </c>
      <c r="AP296" t="str">
        <f t="shared" si="111"/>
        <v/>
      </c>
      <c r="AQ296" t="str">
        <f t="shared" si="112"/>
        <v/>
      </c>
      <c r="AR296" t="str">
        <f t="shared" si="113"/>
        <v/>
      </c>
      <c r="AS296" t="str">
        <f t="shared" si="114"/>
        <v/>
      </c>
      <c r="AT296" t="str">
        <f t="shared" si="115"/>
        <v/>
      </c>
      <c r="AU296" s="25" t="str">
        <f t="shared" si="119"/>
        <v/>
      </c>
      <c r="BA296">
        <f>'REGISTER SK'!F299</f>
        <v>0</v>
      </c>
    </row>
    <row r="297" spans="1:53" x14ac:dyDescent="0.35">
      <c r="A297" s="18">
        <v>296</v>
      </c>
      <c r="B297" s="36" t="s">
        <v>379</v>
      </c>
      <c r="C297" s="18" t="str">
        <f>IF(G297="","",IF(G297="Umum",G297,VLOOKUP(F297,'Data Induk Pegawai'!B:AE,4,FALSE)))</f>
        <v/>
      </c>
      <c r="D297" s="19" t="str">
        <f>IF('REGISTER SK'!A300="","",IF('REGISTER SK'!B300=0,D296,'REGISTER SK'!B300))</f>
        <v/>
      </c>
      <c r="E297" s="19" t="str">
        <f t="shared" si="116"/>
        <v/>
      </c>
      <c r="F297" s="29"/>
      <c r="G297" s="29"/>
      <c r="H297" s="31" t="str">
        <f>IF(F297="","",VLOOKUP(F297,'Data Induk Pegawai'!B:U,2,FALSE))</f>
        <v/>
      </c>
      <c r="I297" s="19" t="str">
        <f>IF('REGISTER SK'!C300="","",'REGISTER SK'!C300)</f>
        <v/>
      </c>
      <c r="J297" s="125"/>
      <c r="K297" s="125"/>
      <c r="L297" s="26" t="str">
        <f>IF('REGISTER SK'!D300="","",'REGISTER SK'!D300)</f>
        <v/>
      </c>
      <c r="M297" s="26" t="str">
        <f>IF('REGISTER SK'!E300="","",'REGISTER SK'!E300)</f>
        <v/>
      </c>
      <c r="N297" s="31" t="str">
        <f>IF(G297="","",IF(OR(G297="GTT",G297="PTT"),"--",VLOOKUP(F297,'Data Induk Pegawai'!B:AE,4,FALSE)))</f>
        <v/>
      </c>
      <c r="O297" s="18" t="s">
        <v>325</v>
      </c>
      <c r="P297" s="31" t="str">
        <f>IF(G297="","",VLOOKUP(F297,'Data Induk Pegawai'!B:AE,7,FALSE))</f>
        <v/>
      </c>
      <c r="Q297" s="30"/>
      <c r="R297" s="26" t="str">
        <f>IF(G297="","","Nomor "&amp;RIGHT(VLOOKUP(F297,'Data Induk Pegawai'!B:AE,12,FALSE),2)&amp;" Tahun "&amp;MID(VLOOKUP(F297,'Data Induk Pegawai'!B:AE,12,FALSE),5,4))</f>
        <v/>
      </c>
      <c r="S297" s="26" t="str">
        <f>IF(G297="","",VLOOKUP(F297,'Data Induk Pegawai'!B:AE,11,FALSE))</f>
        <v/>
      </c>
      <c r="T297" s="56"/>
      <c r="U297" s="18" t="str">
        <f t="shared" si="96"/>
        <v/>
      </c>
      <c r="V297" s="30"/>
      <c r="W297" s="18" t="str">
        <f t="shared" si="97"/>
        <v/>
      </c>
      <c r="X297" s="16"/>
      <c r="Y297" t="str">
        <f t="shared" si="98"/>
        <v/>
      </c>
      <c r="Z297" t="str">
        <f t="shared" si="99"/>
        <v/>
      </c>
      <c r="AA297" t="str">
        <f t="shared" si="100"/>
        <v/>
      </c>
      <c r="AB297" t="str">
        <f>COUNTIFS(AC297:AC$596,AC297)&amp;AC297</f>
        <v>300</v>
      </c>
      <c r="AC297" t="str">
        <f t="shared" si="117"/>
        <v/>
      </c>
      <c r="AD297" t="str">
        <f>COUNTIFS(AC$2:AC297,AC297)&amp;AC297</f>
        <v>296</v>
      </c>
      <c r="AE297" t="str">
        <f t="shared" si="101"/>
        <v/>
      </c>
      <c r="AF297" t="str">
        <f t="shared" si="118"/>
        <v>..</v>
      </c>
      <c r="AG297" s="28" t="str">
        <f t="shared" si="120"/>
        <v/>
      </c>
      <c r="AH297" s="28" t="str">
        <f t="shared" si="103"/>
        <v/>
      </c>
      <c r="AI297" t="str">
        <f t="shared" si="104"/>
        <v/>
      </c>
      <c r="AJ297" t="str">
        <f t="shared" si="105"/>
        <v/>
      </c>
      <c r="AK297" t="str">
        <f t="shared" si="106"/>
        <v/>
      </c>
      <c r="AL297" t="str">
        <f t="shared" si="107"/>
        <v/>
      </c>
      <c r="AM297" t="str">
        <f t="shared" si="108"/>
        <v/>
      </c>
      <c r="AN297" t="str">
        <f t="shared" si="109"/>
        <v/>
      </c>
      <c r="AO297" t="str">
        <f t="shared" si="110"/>
        <v/>
      </c>
      <c r="AP297" t="str">
        <f t="shared" si="111"/>
        <v/>
      </c>
      <c r="AQ297" t="str">
        <f t="shared" si="112"/>
        <v/>
      </c>
      <c r="AR297" t="str">
        <f t="shared" si="113"/>
        <v/>
      </c>
      <c r="AS297" t="str">
        <f t="shared" si="114"/>
        <v/>
      </c>
      <c r="AT297" t="str">
        <f t="shared" si="115"/>
        <v/>
      </c>
      <c r="AU297" s="25" t="str">
        <f t="shared" si="119"/>
        <v/>
      </c>
      <c r="BA297">
        <f>'REGISTER SK'!F300</f>
        <v>0</v>
      </c>
    </row>
    <row r="298" spans="1:53" x14ac:dyDescent="0.35">
      <c r="A298" s="18">
        <v>297</v>
      </c>
      <c r="B298" s="36" t="s">
        <v>379</v>
      </c>
      <c r="C298" s="18" t="str">
        <f>IF(G298="","",IF(G298="Umum",G298,VLOOKUP(F298,'Data Induk Pegawai'!B:AE,4,FALSE)))</f>
        <v/>
      </c>
      <c r="D298" s="19" t="str">
        <f>IF('REGISTER SK'!A301="","",IF('REGISTER SK'!B301=0,D297,'REGISTER SK'!B301))</f>
        <v/>
      </c>
      <c r="E298" s="19" t="str">
        <f t="shared" si="116"/>
        <v/>
      </c>
      <c r="F298" s="29"/>
      <c r="G298" s="29"/>
      <c r="H298" s="31" t="str">
        <f>IF(F298="","",VLOOKUP(F298,'Data Induk Pegawai'!B:U,2,FALSE))</f>
        <v/>
      </c>
      <c r="I298" s="19" t="str">
        <f>IF('REGISTER SK'!C301="","",'REGISTER SK'!C301)</f>
        <v/>
      </c>
      <c r="J298" s="125"/>
      <c r="K298" s="125"/>
      <c r="L298" s="26" t="str">
        <f>IF('REGISTER SK'!D301="","",'REGISTER SK'!D301)</f>
        <v/>
      </c>
      <c r="M298" s="26" t="str">
        <f>IF('REGISTER SK'!E301="","",'REGISTER SK'!E301)</f>
        <v/>
      </c>
      <c r="N298" s="31" t="str">
        <f>IF(G298="","",IF(OR(G298="GTT",G298="PTT"),"--",VLOOKUP(F298,'Data Induk Pegawai'!B:AE,4,FALSE)))</f>
        <v/>
      </c>
      <c r="O298" s="18" t="s">
        <v>326</v>
      </c>
      <c r="P298" s="31" t="str">
        <f>IF(G298="","",VLOOKUP(F298,'Data Induk Pegawai'!B:AE,7,FALSE))</f>
        <v/>
      </c>
      <c r="Q298" s="30"/>
      <c r="R298" s="26" t="str">
        <f>IF(G298="","","Nomor "&amp;RIGHT(VLOOKUP(F298,'Data Induk Pegawai'!B:AE,12,FALSE),2)&amp;" Tahun "&amp;MID(VLOOKUP(F298,'Data Induk Pegawai'!B:AE,12,FALSE),5,4))</f>
        <v/>
      </c>
      <c r="S298" s="26" t="str">
        <f>IF(G298="","",VLOOKUP(F298,'Data Induk Pegawai'!B:AE,11,FALSE))</f>
        <v/>
      </c>
      <c r="T298" s="56"/>
      <c r="U298" s="18" t="str">
        <f t="shared" si="96"/>
        <v/>
      </c>
      <c r="V298" s="30"/>
      <c r="W298" s="18" t="str">
        <f t="shared" si="97"/>
        <v/>
      </c>
      <c r="X298" s="16"/>
      <c r="Y298" t="str">
        <f t="shared" si="98"/>
        <v/>
      </c>
      <c r="Z298" t="str">
        <f t="shared" si="99"/>
        <v/>
      </c>
      <c r="AA298" t="str">
        <f t="shared" si="100"/>
        <v/>
      </c>
      <c r="AB298" t="str">
        <f>COUNTIFS(AC298:AC$596,AC298)&amp;AC298</f>
        <v>299</v>
      </c>
      <c r="AC298" t="str">
        <f t="shared" si="117"/>
        <v/>
      </c>
      <c r="AD298" t="str">
        <f>COUNTIFS(AC$2:AC298,AC298)&amp;AC298</f>
        <v>297</v>
      </c>
      <c r="AE298" t="str">
        <f t="shared" si="101"/>
        <v/>
      </c>
      <c r="AF298" t="str">
        <f t="shared" si="118"/>
        <v>..</v>
      </c>
      <c r="AG298" s="28" t="str">
        <f t="shared" si="120"/>
        <v/>
      </c>
      <c r="AH298" s="28" t="str">
        <f t="shared" si="103"/>
        <v/>
      </c>
      <c r="AI298" t="str">
        <f t="shared" si="104"/>
        <v/>
      </c>
      <c r="AJ298" t="str">
        <f t="shared" si="105"/>
        <v/>
      </c>
      <c r="AK298" t="str">
        <f t="shared" si="106"/>
        <v/>
      </c>
      <c r="AL298" t="str">
        <f t="shared" si="107"/>
        <v/>
      </c>
      <c r="AM298" t="str">
        <f t="shared" si="108"/>
        <v/>
      </c>
      <c r="AN298" t="str">
        <f t="shared" si="109"/>
        <v/>
      </c>
      <c r="AO298" t="str">
        <f t="shared" si="110"/>
        <v/>
      </c>
      <c r="AP298" t="str">
        <f t="shared" si="111"/>
        <v/>
      </c>
      <c r="AQ298" t="str">
        <f t="shared" si="112"/>
        <v/>
      </c>
      <c r="AR298" t="str">
        <f t="shared" si="113"/>
        <v/>
      </c>
      <c r="AS298" t="str">
        <f t="shared" si="114"/>
        <v/>
      </c>
      <c r="AT298" t="str">
        <f t="shared" si="115"/>
        <v/>
      </c>
      <c r="AU298" s="25" t="str">
        <f t="shared" si="119"/>
        <v/>
      </c>
      <c r="BA298">
        <f>'REGISTER SK'!F301</f>
        <v>0</v>
      </c>
    </row>
    <row r="299" spans="1:53" x14ac:dyDescent="0.35">
      <c r="A299" s="18">
        <v>298</v>
      </c>
      <c r="B299" s="36" t="s">
        <v>379</v>
      </c>
      <c r="C299" s="18" t="str">
        <f>IF(G299="","",IF(G299="Umum",G299,VLOOKUP(F299,'Data Induk Pegawai'!B:AE,4,FALSE)))</f>
        <v/>
      </c>
      <c r="D299" s="19" t="str">
        <f>IF('REGISTER SK'!A302="","",IF('REGISTER SK'!B302=0,D298,'REGISTER SK'!B302))</f>
        <v/>
      </c>
      <c r="E299" s="19" t="str">
        <f t="shared" si="116"/>
        <v/>
      </c>
      <c r="F299" s="29"/>
      <c r="G299" s="29"/>
      <c r="H299" s="31" t="str">
        <f>IF(F299="","",VLOOKUP(F299,'Data Induk Pegawai'!B:U,2,FALSE))</f>
        <v/>
      </c>
      <c r="I299" s="19" t="str">
        <f>IF('REGISTER SK'!C302="","",'REGISTER SK'!C302)</f>
        <v/>
      </c>
      <c r="J299" s="125"/>
      <c r="K299" s="125"/>
      <c r="L299" s="26" t="str">
        <f>IF('REGISTER SK'!D302="","",'REGISTER SK'!D302)</f>
        <v/>
      </c>
      <c r="M299" s="26" t="str">
        <f>IF('REGISTER SK'!E302="","",'REGISTER SK'!E302)</f>
        <v/>
      </c>
      <c r="N299" s="31" t="str">
        <f>IF(G299="","",IF(OR(G299="GTT",G299="PTT"),"--",VLOOKUP(F299,'Data Induk Pegawai'!B:AE,4,FALSE)))</f>
        <v/>
      </c>
      <c r="O299" s="18" t="s">
        <v>381</v>
      </c>
      <c r="P299" s="31" t="str">
        <f>IF(G299="","",VLOOKUP(F299,'Data Induk Pegawai'!B:AE,7,FALSE))</f>
        <v/>
      </c>
      <c r="Q299" s="30"/>
      <c r="R299" s="26" t="str">
        <f>IF(G299="","","Nomor "&amp;RIGHT(VLOOKUP(F299,'Data Induk Pegawai'!B:AE,12,FALSE),2)&amp;" Tahun "&amp;MID(VLOOKUP(F299,'Data Induk Pegawai'!B:AE,12,FALSE),5,4))</f>
        <v/>
      </c>
      <c r="S299" s="26" t="str">
        <f>IF(G299="","",VLOOKUP(F299,'Data Induk Pegawai'!B:AE,11,FALSE))</f>
        <v/>
      </c>
      <c r="T299" s="56"/>
      <c r="U299" s="18" t="str">
        <f t="shared" si="96"/>
        <v/>
      </c>
      <c r="V299" s="30"/>
      <c r="W299" s="18" t="str">
        <f t="shared" si="97"/>
        <v/>
      </c>
      <c r="X299" s="16"/>
      <c r="Y299" t="str">
        <f t="shared" si="98"/>
        <v/>
      </c>
      <c r="Z299" t="str">
        <f t="shared" si="99"/>
        <v/>
      </c>
      <c r="AA299" t="str">
        <f t="shared" si="100"/>
        <v/>
      </c>
      <c r="AB299" t="str">
        <f>COUNTIFS(AC299:AC$596,AC299)&amp;AC299</f>
        <v>298</v>
      </c>
      <c r="AC299" t="str">
        <f t="shared" si="117"/>
        <v/>
      </c>
      <c r="AD299" t="str">
        <f>COUNTIFS(AC$2:AC299,AC299)&amp;AC299</f>
        <v>298</v>
      </c>
      <c r="AE299" t="str">
        <f t="shared" si="101"/>
        <v/>
      </c>
      <c r="AF299" t="str">
        <f t="shared" si="118"/>
        <v>..</v>
      </c>
      <c r="AG299" s="28" t="str">
        <f t="shared" si="120"/>
        <v/>
      </c>
      <c r="AH299" s="28" t="str">
        <f t="shared" si="103"/>
        <v/>
      </c>
      <c r="AI299" t="str">
        <f t="shared" si="104"/>
        <v/>
      </c>
      <c r="AJ299" t="str">
        <f t="shared" si="105"/>
        <v/>
      </c>
      <c r="AK299" t="str">
        <f t="shared" si="106"/>
        <v/>
      </c>
      <c r="AL299" t="str">
        <f t="shared" si="107"/>
        <v/>
      </c>
      <c r="AM299" t="str">
        <f t="shared" si="108"/>
        <v/>
      </c>
      <c r="AN299" t="str">
        <f t="shared" si="109"/>
        <v/>
      </c>
      <c r="AO299" t="str">
        <f t="shared" si="110"/>
        <v/>
      </c>
      <c r="AP299" t="str">
        <f t="shared" si="111"/>
        <v/>
      </c>
      <c r="AQ299" t="str">
        <f t="shared" si="112"/>
        <v/>
      </c>
      <c r="AR299" t="str">
        <f t="shared" si="113"/>
        <v/>
      </c>
      <c r="AS299" t="str">
        <f t="shared" si="114"/>
        <v/>
      </c>
      <c r="AT299" t="str">
        <f t="shared" si="115"/>
        <v/>
      </c>
      <c r="AU299" s="25" t="str">
        <f t="shared" si="119"/>
        <v/>
      </c>
      <c r="BA299">
        <f>'REGISTER SK'!F302</f>
        <v>0</v>
      </c>
    </row>
    <row r="300" spans="1:53" x14ac:dyDescent="0.35">
      <c r="A300" s="18">
        <v>299</v>
      </c>
      <c r="B300" s="36" t="s">
        <v>379</v>
      </c>
      <c r="C300" s="18" t="str">
        <f>IF(G300="","",IF(G300="Umum",G300,VLOOKUP(F300,'Data Induk Pegawai'!B:AE,4,FALSE)))</f>
        <v/>
      </c>
      <c r="D300" s="19" t="str">
        <f>IF('REGISTER SK'!A303="","",IF('REGISTER SK'!B303=0,D299,'REGISTER SK'!B303))</f>
        <v/>
      </c>
      <c r="E300" s="19" t="str">
        <f t="shared" si="116"/>
        <v/>
      </c>
      <c r="F300" s="29"/>
      <c r="G300" s="29"/>
      <c r="H300" s="31" t="str">
        <f>IF(F300="","",VLOOKUP(F300,'Data Induk Pegawai'!B:U,2,FALSE))</f>
        <v/>
      </c>
      <c r="I300" s="19" t="str">
        <f>IF('REGISTER SK'!C303="","",'REGISTER SK'!C303)</f>
        <v/>
      </c>
      <c r="J300" s="125"/>
      <c r="K300" s="125"/>
      <c r="L300" s="26" t="str">
        <f>IF('REGISTER SK'!D303="","",'REGISTER SK'!D303)</f>
        <v/>
      </c>
      <c r="M300" s="26" t="str">
        <f>IF('REGISTER SK'!E303="","",'REGISTER SK'!E303)</f>
        <v/>
      </c>
      <c r="N300" s="31" t="str">
        <f>IF(G300="","",IF(OR(G300="GTT",G300="PTT"),"--",VLOOKUP(F300,'Data Induk Pegawai'!B:AE,4,FALSE)))</f>
        <v/>
      </c>
      <c r="O300" s="18" t="s">
        <v>382</v>
      </c>
      <c r="P300" s="31" t="str">
        <f>IF(G300="","",VLOOKUP(F300,'Data Induk Pegawai'!B:AE,7,FALSE))</f>
        <v/>
      </c>
      <c r="Q300" s="30"/>
      <c r="R300" s="26" t="str">
        <f>IF(G300="","","Nomor "&amp;RIGHT(VLOOKUP(F300,'Data Induk Pegawai'!B:AE,12,FALSE),2)&amp;" Tahun "&amp;MID(VLOOKUP(F300,'Data Induk Pegawai'!B:AE,12,FALSE),5,4))</f>
        <v/>
      </c>
      <c r="S300" s="26" t="str">
        <f>IF(G300="","",VLOOKUP(F300,'Data Induk Pegawai'!B:AE,11,FALSE))</f>
        <v/>
      </c>
      <c r="T300" s="56"/>
      <c r="U300" s="18" t="str">
        <f t="shared" si="96"/>
        <v/>
      </c>
      <c r="V300" s="30"/>
      <c r="W300" s="18" t="str">
        <f t="shared" si="97"/>
        <v/>
      </c>
      <c r="X300" s="16"/>
      <c r="Y300" t="str">
        <f t="shared" si="98"/>
        <v/>
      </c>
      <c r="Z300" t="str">
        <f t="shared" si="99"/>
        <v/>
      </c>
      <c r="AA300" t="str">
        <f t="shared" si="100"/>
        <v/>
      </c>
      <c r="AB300" t="str">
        <f>COUNTIFS(AC300:AC$596,AC300)&amp;AC300</f>
        <v>297</v>
      </c>
      <c r="AC300" t="str">
        <f t="shared" si="117"/>
        <v/>
      </c>
      <c r="AD300" t="str">
        <f>COUNTIFS(AC$2:AC300,AC300)&amp;AC300</f>
        <v>299</v>
      </c>
      <c r="AE300" t="str">
        <f t="shared" si="101"/>
        <v/>
      </c>
      <c r="AF300" t="str">
        <f t="shared" si="118"/>
        <v>..</v>
      </c>
      <c r="AG300" s="28" t="str">
        <f t="shared" si="120"/>
        <v/>
      </c>
      <c r="AH300" s="28" t="str">
        <f t="shared" si="103"/>
        <v/>
      </c>
      <c r="AI300" t="str">
        <f t="shared" si="104"/>
        <v/>
      </c>
      <c r="AJ300" t="str">
        <f t="shared" si="105"/>
        <v/>
      </c>
      <c r="AK300" t="str">
        <f t="shared" si="106"/>
        <v/>
      </c>
      <c r="AL300" t="str">
        <f t="shared" si="107"/>
        <v/>
      </c>
      <c r="AM300" t="str">
        <f t="shared" si="108"/>
        <v/>
      </c>
      <c r="AN300" t="str">
        <f t="shared" si="109"/>
        <v/>
      </c>
      <c r="AO300" t="str">
        <f t="shared" si="110"/>
        <v/>
      </c>
      <c r="AP300" t="str">
        <f t="shared" si="111"/>
        <v/>
      </c>
      <c r="AQ300" t="str">
        <f t="shared" si="112"/>
        <v/>
      </c>
      <c r="AR300" t="str">
        <f t="shared" si="113"/>
        <v/>
      </c>
      <c r="AS300" t="str">
        <f t="shared" si="114"/>
        <v/>
      </c>
      <c r="AT300" t="str">
        <f t="shared" si="115"/>
        <v/>
      </c>
      <c r="AU300" s="25" t="str">
        <f t="shared" si="119"/>
        <v/>
      </c>
      <c r="BA300">
        <f>'REGISTER SK'!F303</f>
        <v>0</v>
      </c>
    </row>
    <row r="301" spans="1:53" x14ac:dyDescent="0.35">
      <c r="A301" s="18">
        <v>300</v>
      </c>
      <c r="B301" s="36" t="s">
        <v>379</v>
      </c>
      <c r="C301" s="18" t="str">
        <f>IF(G301="","",IF(G301="Umum",G301,VLOOKUP(F301,'Data Induk Pegawai'!B:AE,4,FALSE)))</f>
        <v/>
      </c>
      <c r="D301" s="19" t="str">
        <f>IF('REGISTER SK'!A304="","",IF('REGISTER SK'!B304=0,D300,'REGISTER SK'!B304))</f>
        <v/>
      </c>
      <c r="E301" s="19" t="str">
        <f t="shared" si="116"/>
        <v/>
      </c>
      <c r="F301" s="29"/>
      <c r="G301" s="29"/>
      <c r="H301" s="31" t="str">
        <f>IF(F301="","",VLOOKUP(F301,'Data Induk Pegawai'!B:U,2,FALSE))</f>
        <v/>
      </c>
      <c r="I301" s="19" t="str">
        <f>IF('REGISTER SK'!C304="","",'REGISTER SK'!C304)</f>
        <v/>
      </c>
      <c r="J301" s="125"/>
      <c r="K301" s="125"/>
      <c r="L301" s="26" t="str">
        <f>IF('REGISTER SK'!D304="","",'REGISTER SK'!D304)</f>
        <v/>
      </c>
      <c r="M301" s="26" t="str">
        <f>IF('REGISTER SK'!E304="","",'REGISTER SK'!E304)</f>
        <v/>
      </c>
      <c r="N301" s="31" t="str">
        <f>IF(G301="","",IF(OR(G301="GTT",G301="PTT"),"--",VLOOKUP(F301,'Data Induk Pegawai'!B:AE,4,FALSE)))</f>
        <v/>
      </c>
      <c r="O301" s="18" t="s">
        <v>433</v>
      </c>
      <c r="P301" s="31" t="str">
        <f>IF(G301="","",VLOOKUP(F301,'Data Induk Pegawai'!B:AE,7,FALSE))</f>
        <v/>
      </c>
      <c r="Q301" s="30"/>
      <c r="R301" s="26" t="str">
        <f>IF(G301="","","Nomor "&amp;RIGHT(VLOOKUP(F301,'Data Induk Pegawai'!B:AE,12,FALSE),2)&amp;" Tahun "&amp;MID(VLOOKUP(F301,'Data Induk Pegawai'!B:AE,12,FALSE),5,4))</f>
        <v/>
      </c>
      <c r="S301" s="26" t="str">
        <f>IF(G301="","",VLOOKUP(F301,'Data Induk Pegawai'!B:AE,11,FALSE))</f>
        <v/>
      </c>
      <c r="T301" s="56"/>
      <c r="U301" s="18" t="str">
        <f t="shared" si="96"/>
        <v/>
      </c>
      <c r="V301" s="30"/>
      <c r="W301" s="18" t="str">
        <f t="shared" si="97"/>
        <v/>
      </c>
      <c r="X301" s="16"/>
      <c r="Y301" t="str">
        <f t="shared" si="98"/>
        <v/>
      </c>
      <c r="Z301" t="str">
        <f t="shared" si="99"/>
        <v/>
      </c>
      <c r="AA301" t="str">
        <f t="shared" si="100"/>
        <v/>
      </c>
      <c r="AB301" t="str">
        <f>COUNTIFS(AC301:AC$596,AC301)&amp;AC301</f>
        <v>296</v>
      </c>
      <c r="AC301" t="str">
        <f t="shared" si="117"/>
        <v/>
      </c>
      <c r="AD301" t="str">
        <f>COUNTIFS(AC$2:AC301,AC301)&amp;AC301</f>
        <v>300</v>
      </c>
      <c r="AE301" t="str">
        <f t="shared" si="101"/>
        <v/>
      </c>
      <c r="AF301" t="str">
        <f t="shared" si="118"/>
        <v>..</v>
      </c>
      <c r="AG301" s="28" t="str">
        <f t="shared" si="120"/>
        <v/>
      </c>
      <c r="AH301" s="28" t="str">
        <f t="shared" si="103"/>
        <v/>
      </c>
      <c r="AI301" t="str">
        <f t="shared" si="104"/>
        <v/>
      </c>
      <c r="AJ301" t="str">
        <f t="shared" si="105"/>
        <v/>
      </c>
      <c r="AK301" t="str">
        <f t="shared" si="106"/>
        <v/>
      </c>
      <c r="AL301" t="str">
        <f t="shared" si="107"/>
        <v/>
      </c>
      <c r="AM301" t="str">
        <f t="shared" si="108"/>
        <v/>
      </c>
      <c r="AN301" t="str">
        <f t="shared" si="109"/>
        <v/>
      </c>
      <c r="AO301" t="str">
        <f t="shared" si="110"/>
        <v/>
      </c>
      <c r="AP301" t="str">
        <f t="shared" si="111"/>
        <v/>
      </c>
      <c r="AQ301" t="str">
        <f t="shared" si="112"/>
        <v/>
      </c>
      <c r="AR301" t="str">
        <f t="shared" si="113"/>
        <v/>
      </c>
      <c r="AS301" t="str">
        <f t="shared" si="114"/>
        <v/>
      </c>
      <c r="AT301" t="str">
        <f t="shared" si="115"/>
        <v/>
      </c>
      <c r="AU301" s="25" t="str">
        <f t="shared" si="119"/>
        <v/>
      </c>
      <c r="BA301">
        <f>'REGISTER SK'!F304</f>
        <v>0</v>
      </c>
    </row>
    <row r="302" spans="1:53" x14ac:dyDescent="0.35">
      <c r="A302" s="18">
        <v>301</v>
      </c>
      <c r="B302" s="36" t="s">
        <v>379</v>
      </c>
      <c r="C302" s="18" t="str">
        <f>IF(G302="","",IF(G302="Umum",G302,VLOOKUP(F302,'Data Induk Pegawai'!B:AE,4,FALSE)))</f>
        <v/>
      </c>
      <c r="D302" s="19" t="str">
        <f>IF('REGISTER SK'!A305="","",IF('REGISTER SK'!B305=0,D301,'REGISTER SK'!B305))</f>
        <v/>
      </c>
      <c r="E302" s="19" t="str">
        <f t="shared" si="116"/>
        <v/>
      </c>
      <c r="F302" s="29"/>
      <c r="G302" s="29"/>
      <c r="H302" s="31" t="str">
        <f>IF(F302="","",VLOOKUP(F302,'Data Induk Pegawai'!B:U,2,FALSE))</f>
        <v/>
      </c>
      <c r="I302" s="19" t="str">
        <f>IF('REGISTER SK'!C305="","",'REGISTER SK'!C305)</f>
        <v/>
      </c>
      <c r="J302" s="125"/>
      <c r="K302" s="125"/>
      <c r="L302" s="26" t="str">
        <f>IF('REGISTER SK'!D305="","",'REGISTER SK'!D305)</f>
        <v/>
      </c>
      <c r="M302" s="26" t="str">
        <f>IF('REGISTER SK'!E305="","",'REGISTER SK'!E305)</f>
        <v/>
      </c>
      <c r="N302" s="31" t="str">
        <f>IF(G302="","",IF(OR(G302="GTT",G302="PTT"),"--",VLOOKUP(F302,'Data Induk Pegawai'!B:AE,4,FALSE)))</f>
        <v/>
      </c>
      <c r="O302" s="18" t="s">
        <v>435</v>
      </c>
      <c r="P302" s="31" t="str">
        <f>IF(G302="","",VLOOKUP(F302,'Data Induk Pegawai'!B:AE,7,FALSE))</f>
        <v/>
      </c>
      <c r="Q302" s="30"/>
      <c r="R302" s="26" t="str">
        <f>IF(G302="","","Nomor "&amp;RIGHT(VLOOKUP(F302,'Data Induk Pegawai'!B:AE,12,FALSE),2)&amp;" Tahun "&amp;MID(VLOOKUP(F302,'Data Induk Pegawai'!B:AE,12,FALSE),5,4))</f>
        <v/>
      </c>
      <c r="S302" s="26" t="str">
        <f>IF(G302="","",VLOOKUP(F302,'Data Induk Pegawai'!B:AE,11,FALSE))</f>
        <v/>
      </c>
      <c r="T302" s="56"/>
      <c r="U302" s="18" t="str">
        <f t="shared" si="96"/>
        <v/>
      </c>
      <c r="V302" s="30"/>
      <c r="W302" s="18" t="str">
        <f t="shared" si="97"/>
        <v/>
      </c>
      <c r="X302" s="16"/>
      <c r="Y302" t="str">
        <f t="shared" si="98"/>
        <v/>
      </c>
      <c r="Z302" t="str">
        <f t="shared" si="99"/>
        <v/>
      </c>
      <c r="AA302" t="str">
        <f t="shared" si="100"/>
        <v/>
      </c>
      <c r="AB302" t="str">
        <f>COUNTIFS(AC302:AC$596,AC302)&amp;AC302</f>
        <v>295</v>
      </c>
      <c r="AC302" t="str">
        <f t="shared" si="117"/>
        <v/>
      </c>
      <c r="AD302" t="str">
        <f>COUNTIFS(AC$2:AC302,AC302)&amp;AC302</f>
        <v>301</v>
      </c>
      <c r="AE302" t="str">
        <f t="shared" si="101"/>
        <v/>
      </c>
      <c r="AF302" t="str">
        <f t="shared" si="118"/>
        <v>..</v>
      </c>
      <c r="AG302" s="28" t="str">
        <f t="shared" si="120"/>
        <v/>
      </c>
      <c r="AH302" s="28" t="str">
        <f t="shared" si="103"/>
        <v/>
      </c>
      <c r="AI302" t="str">
        <f t="shared" si="104"/>
        <v/>
      </c>
      <c r="AJ302" t="str">
        <f t="shared" si="105"/>
        <v/>
      </c>
      <c r="AK302" t="str">
        <f t="shared" si="106"/>
        <v/>
      </c>
      <c r="AL302" t="str">
        <f t="shared" si="107"/>
        <v/>
      </c>
      <c r="AM302" t="str">
        <f t="shared" si="108"/>
        <v/>
      </c>
      <c r="AN302" t="str">
        <f t="shared" si="109"/>
        <v/>
      </c>
      <c r="AO302" t="str">
        <f t="shared" si="110"/>
        <v/>
      </c>
      <c r="AP302" t="str">
        <f t="shared" si="111"/>
        <v/>
      </c>
      <c r="AQ302" t="str">
        <f t="shared" si="112"/>
        <v/>
      </c>
      <c r="AR302" t="str">
        <f t="shared" si="113"/>
        <v/>
      </c>
      <c r="AS302" t="str">
        <f t="shared" si="114"/>
        <v/>
      </c>
      <c r="AT302" t="str">
        <f t="shared" si="115"/>
        <v/>
      </c>
      <c r="AU302" s="25" t="str">
        <f t="shared" si="119"/>
        <v/>
      </c>
      <c r="BA302">
        <f>'REGISTER SK'!F305</f>
        <v>0</v>
      </c>
    </row>
    <row r="303" spans="1:53" x14ac:dyDescent="0.35">
      <c r="A303" s="18">
        <v>302</v>
      </c>
      <c r="B303" s="36"/>
      <c r="C303" s="18" t="str">
        <f>IF(G303="","",IF(G303="Umum",G303,VLOOKUP(F303,'Data Induk Pegawai'!B:AE,4,FALSE)))</f>
        <v/>
      </c>
      <c r="D303" s="19" t="str">
        <f>IF('REGISTER SK'!A306="","",IF('REGISTER SK'!B306=0,D302,'REGISTER SK'!B306))</f>
        <v/>
      </c>
      <c r="E303" s="19" t="str">
        <f t="shared" si="116"/>
        <v/>
      </c>
      <c r="F303" s="29"/>
      <c r="G303" s="29"/>
      <c r="H303" s="31" t="str">
        <f>IF(F303="","",VLOOKUP(F303,'Data Induk Pegawai'!B:U,2,FALSE))</f>
        <v/>
      </c>
      <c r="I303" s="19" t="str">
        <f>IF('REGISTER SK'!C306="","",'REGISTER SK'!C306)</f>
        <v/>
      </c>
      <c r="J303" s="125"/>
      <c r="K303" s="125"/>
      <c r="L303" s="26" t="str">
        <f>IF('REGISTER SK'!D306="","",'REGISTER SK'!D306)</f>
        <v/>
      </c>
      <c r="M303" s="26" t="str">
        <f>IF('REGISTER SK'!E306="","",'REGISTER SK'!E306)</f>
        <v/>
      </c>
      <c r="N303" s="31" t="str">
        <f>IF(G303="","",IF(OR(G303="GTT",G303="PTT"),"--",VLOOKUP(F303,'Data Induk Pegawai'!B:AE,4,FALSE)))</f>
        <v/>
      </c>
      <c r="O303" s="18" t="s">
        <v>378</v>
      </c>
      <c r="P303" s="31" t="str">
        <f>IF(G303="","",VLOOKUP(F303,'Data Induk Pegawai'!B:AE,7,FALSE))</f>
        <v/>
      </c>
      <c r="Q303" s="30"/>
      <c r="R303" s="26" t="str">
        <f>IF(G303="","","Nomor "&amp;RIGHT(VLOOKUP(F303,'Data Induk Pegawai'!B:AE,12,FALSE),2)&amp;" Tahun "&amp;MID(VLOOKUP(F303,'Data Induk Pegawai'!B:AE,12,FALSE),5,4))</f>
        <v/>
      </c>
      <c r="S303" s="26" t="str">
        <f>IF(G303="","",VLOOKUP(F303,'Data Induk Pegawai'!B:AE,11,FALSE))</f>
        <v/>
      </c>
      <c r="T303" s="56"/>
      <c r="U303" s="18" t="str">
        <f t="shared" si="96"/>
        <v/>
      </c>
      <c r="V303" s="30"/>
      <c r="W303" s="18" t="str">
        <f t="shared" si="97"/>
        <v/>
      </c>
      <c r="X303" s="14"/>
      <c r="Y303" t="str">
        <f t="shared" si="98"/>
        <v/>
      </c>
      <c r="Z303" t="str">
        <f t="shared" si="99"/>
        <v/>
      </c>
      <c r="AA303" t="str">
        <f t="shared" si="100"/>
        <v/>
      </c>
      <c r="AB303" t="str">
        <f>COUNTIFS(AC303:AC$596,AC303)&amp;AC303</f>
        <v>294</v>
      </c>
      <c r="AC303" t="str">
        <f t="shared" si="117"/>
        <v/>
      </c>
      <c r="AD303" t="str">
        <f>COUNTIFS(AC$2:AC303,AC303)&amp;AC303</f>
        <v>302</v>
      </c>
      <c r="AE303" t="str">
        <f t="shared" si="101"/>
        <v/>
      </c>
      <c r="AF303" t="str">
        <f t="shared" si="118"/>
        <v>..</v>
      </c>
      <c r="AG303" s="28" t="str">
        <f t="shared" si="120"/>
        <v/>
      </c>
      <c r="AH303" s="28" t="str">
        <f t="shared" si="103"/>
        <v/>
      </c>
      <c r="AI303" t="str">
        <f t="shared" si="104"/>
        <v/>
      </c>
      <c r="AJ303" t="str">
        <f t="shared" si="105"/>
        <v/>
      </c>
      <c r="AK303" t="str">
        <f t="shared" si="106"/>
        <v/>
      </c>
      <c r="AL303" t="str">
        <f t="shared" si="107"/>
        <v/>
      </c>
      <c r="AM303" t="str">
        <f t="shared" si="108"/>
        <v/>
      </c>
      <c r="AN303" t="str">
        <f t="shared" si="109"/>
        <v/>
      </c>
      <c r="AO303" t="str">
        <f t="shared" si="110"/>
        <v/>
      </c>
      <c r="AP303" t="str">
        <f t="shared" si="111"/>
        <v/>
      </c>
      <c r="AQ303" t="str">
        <f t="shared" si="112"/>
        <v/>
      </c>
      <c r="AR303" t="str">
        <f t="shared" si="113"/>
        <v/>
      </c>
      <c r="AS303" t="str">
        <f t="shared" si="114"/>
        <v/>
      </c>
      <c r="AT303" t="str">
        <f t="shared" si="115"/>
        <v/>
      </c>
      <c r="AU303" s="25" t="str">
        <f t="shared" si="119"/>
        <v/>
      </c>
      <c r="BA303">
        <f>'REGISTER SK'!F306</f>
        <v>0</v>
      </c>
    </row>
    <row r="304" spans="1:53" x14ac:dyDescent="0.35">
      <c r="A304" s="18">
        <v>303</v>
      </c>
      <c r="B304" s="36" t="s">
        <v>379</v>
      </c>
      <c r="C304" s="18" t="str">
        <f>IF(G304="","",IF(G304="Umum",G304,VLOOKUP(F304,'Data Induk Pegawai'!B:AE,4,FALSE)))</f>
        <v/>
      </c>
      <c r="D304" s="19" t="str">
        <f>IF('REGISTER SK'!A307="","",IF('REGISTER SK'!B307=0,D303,'REGISTER SK'!B307))</f>
        <v/>
      </c>
      <c r="E304" s="19" t="str">
        <f t="shared" si="116"/>
        <v/>
      </c>
      <c r="F304" s="29"/>
      <c r="G304" s="29"/>
      <c r="H304" s="31" t="str">
        <f>IF(F304="","",VLOOKUP(F304,'Data Induk Pegawai'!B:U,2,FALSE))</f>
        <v/>
      </c>
      <c r="I304" s="19" t="str">
        <f>IF('REGISTER SK'!C307="","",'REGISTER SK'!C307)</f>
        <v/>
      </c>
      <c r="J304" s="125"/>
      <c r="K304" s="125"/>
      <c r="L304" s="26" t="str">
        <f>IF('REGISTER SK'!D307="","",'REGISTER SK'!D307)</f>
        <v/>
      </c>
      <c r="M304" s="26" t="str">
        <f>IF('REGISTER SK'!E307="","",'REGISTER SK'!E307)</f>
        <v/>
      </c>
      <c r="N304" s="31" t="str">
        <f>IF(G304="","",IF(OR(G304="GTT",G304="PTT"),"--",VLOOKUP(F304,'Data Induk Pegawai'!B:AE,4,FALSE)))</f>
        <v/>
      </c>
      <c r="O304" s="18" t="s">
        <v>317</v>
      </c>
      <c r="P304" s="31" t="str">
        <f>IF(G304="","",VLOOKUP(F304,'Data Induk Pegawai'!B:AE,7,FALSE))</f>
        <v/>
      </c>
      <c r="Q304" s="30"/>
      <c r="R304" s="26" t="str">
        <f>IF(G304="","","Nomor "&amp;RIGHT(VLOOKUP(F304,'Data Induk Pegawai'!B:AE,12,FALSE),2)&amp;" Tahun "&amp;MID(VLOOKUP(F304,'Data Induk Pegawai'!B:AE,12,FALSE),5,4))</f>
        <v/>
      </c>
      <c r="S304" s="26" t="str">
        <f>IF(G304="","",VLOOKUP(F304,'Data Induk Pegawai'!B:AE,11,FALSE))</f>
        <v/>
      </c>
      <c r="T304" s="56"/>
      <c r="U304" s="18" t="str">
        <f t="shared" si="96"/>
        <v/>
      </c>
      <c r="V304" s="30"/>
      <c r="W304" s="18" t="str">
        <f t="shared" si="97"/>
        <v/>
      </c>
      <c r="X304" s="16"/>
      <c r="Y304" t="str">
        <f t="shared" si="98"/>
        <v/>
      </c>
      <c r="Z304" t="str">
        <f t="shared" si="99"/>
        <v/>
      </c>
      <c r="AA304" t="str">
        <f t="shared" si="100"/>
        <v/>
      </c>
      <c r="AB304" t="str">
        <f>COUNTIFS(AC304:AC$596,AC304)&amp;AC304</f>
        <v>293</v>
      </c>
      <c r="AC304" t="str">
        <f t="shared" si="117"/>
        <v/>
      </c>
      <c r="AD304" t="str">
        <f>COUNTIFS(AC$2:AC304,AC304)&amp;AC304</f>
        <v>303</v>
      </c>
      <c r="AE304" t="str">
        <f t="shared" si="101"/>
        <v/>
      </c>
      <c r="AF304" t="str">
        <f t="shared" si="118"/>
        <v>..</v>
      </c>
      <c r="AG304" s="28" t="str">
        <f t="shared" si="120"/>
        <v/>
      </c>
      <c r="AH304" s="28" t="str">
        <f t="shared" si="103"/>
        <v/>
      </c>
      <c r="AI304" t="str">
        <f t="shared" si="104"/>
        <v/>
      </c>
      <c r="AJ304" t="str">
        <f t="shared" si="105"/>
        <v/>
      </c>
      <c r="AK304" t="str">
        <f t="shared" si="106"/>
        <v/>
      </c>
      <c r="AL304" t="str">
        <f t="shared" si="107"/>
        <v/>
      </c>
      <c r="AM304" t="str">
        <f t="shared" si="108"/>
        <v/>
      </c>
      <c r="AN304" t="str">
        <f t="shared" si="109"/>
        <v/>
      </c>
      <c r="AO304" t="str">
        <f t="shared" si="110"/>
        <v/>
      </c>
      <c r="AP304" t="str">
        <f t="shared" si="111"/>
        <v/>
      </c>
      <c r="AQ304" t="str">
        <f t="shared" si="112"/>
        <v/>
      </c>
      <c r="AR304" t="str">
        <f t="shared" si="113"/>
        <v/>
      </c>
      <c r="AS304" t="str">
        <f t="shared" si="114"/>
        <v/>
      </c>
      <c r="AT304" t="str">
        <f t="shared" si="115"/>
        <v/>
      </c>
      <c r="AU304" s="25" t="str">
        <f t="shared" si="119"/>
        <v/>
      </c>
      <c r="BA304">
        <f>'REGISTER SK'!F307</f>
        <v>0</v>
      </c>
    </row>
    <row r="305" spans="1:53" x14ac:dyDescent="0.35">
      <c r="A305" s="18">
        <v>304</v>
      </c>
      <c r="B305" s="36" t="s">
        <v>379</v>
      </c>
      <c r="C305" s="18" t="str">
        <f>IF(G305="","",IF(G305="Umum",G305,VLOOKUP(F305,'Data Induk Pegawai'!B:AE,4,FALSE)))</f>
        <v/>
      </c>
      <c r="D305" s="19" t="str">
        <f>IF('REGISTER SK'!A308="","",IF('REGISTER SK'!B308=0,D304,'REGISTER SK'!B308))</f>
        <v/>
      </c>
      <c r="E305" s="19" t="str">
        <f t="shared" si="116"/>
        <v/>
      </c>
      <c r="F305" s="29"/>
      <c r="G305" s="29"/>
      <c r="H305" s="31" t="str">
        <f>IF(F305="","",VLOOKUP(F305,'Data Induk Pegawai'!B:U,2,FALSE))</f>
        <v/>
      </c>
      <c r="I305" s="19" t="str">
        <f>IF('REGISTER SK'!C308="","",'REGISTER SK'!C308)</f>
        <v/>
      </c>
      <c r="J305" s="125"/>
      <c r="K305" s="125"/>
      <c r="L305" s="26" t="str">
        <f>IF('REGISTER SK'!D308="","",'REGISTER SK'!D308)</f>
        <v/>
      </c>
      <c r="M305" s="26" t="str">
        <f>IF('REGISTER SK'!E308="","",'REGISTER SK'!E308)</f>
        <v/>
      </c>
      <c r="N305" s="31" t="str">
        <f>IF(G305="","",IF(OR(G305="GTT",G305="PTT"),"--",VLOOKUP(F305,'Data Induk Pegawai'!B:AE,4,FALSE)))</f>
        <v/>
      </c>
      <c r="O305" s="18" t="s">
        <v>427</v>
      </c>
      <c r="P305" s="31" t="str">
        <f>IF(G305="","",VLOOKUP(F305,'Data Induk Pegawai'!B:AE,7,FALSE))</f>
        <v/>
      </c>
      <c r="Q305" s="30"/>
      <c r="R305" s="26" t="str">
        <f>IF(G305="","","Nomor "&amp;RIGHT(VLOOKUP(F305,'Data Induk Pegawai'!B:AE,12,FALSE),2)&amp;" Tahun "&amp;MID(VLOOKUP(F305,'Data Induk Pegawai'!B:AE,12,FALSE),5,4))</f>
        <v/>
      </c>
      <c r="S305" s="26" t="str">
        <f>IF(G305="","",VLOOKUP(F305,'Data Induk Pegawai'!B:AE,11,FALSE))</f>
        <v/>
      </c>
      <c r="T305" s="56"/>
      <c r="U305" s="18" t="str">
        <f t="shared" si="96"/>
        <v/>
      </c>
      <c r="V305" s="30"/>
      <c r="W305" s="18" t="str">
        <f t="shared" si="97"/>
        <v/>
      </c>
      <c r="X305" s="16"/>
      <c r="Y305" t="str">
        <f t="shared" si="98"/>
        <v/>
      </c>
      <c r="Z305" t="str">
        <f t="shared" si="99"/>
        <v/>
      </c>
      <c r="AA305" t="str">
        <f t="shared" si="100"/>
        <v/>
      </c>
      <c r="AB305" t="str">
        <f>COUNTIFS(AC305:AC$596,AC305)&amp;AC305</f>
        <v>292</v>
      </c>
      <c r="AC305" t="str">
        <f t="shared" si="117"/>
        <v/>
      </c>
      <c r="AD305" t="str">
        <f>COUNTIFS(AC$2:AC305,AC305)&amp;AC305</f>
        <v>304</v>
      </c>
      <c r="AE305" t="str">
        <f t="shared" si="101"/>
        <v/>
      </c>
      <c r="AF305" t="str">
        <f t="shared" si="118"/>
        <v>..</v>
      </c>
      <c r="AG305" s="28" t="str">
        <f t="shared" si="120"/>
        <v/>
      </c>
      <c r="AH305" s="28" t="str">
        <f t="shared" si="103"/>
        <v/>
      </c>
      <c r="AI305" t="str">
        <f t="shared" si="104"/>
        <v/>
      </c>
      <c r="AJ305" t="str">
        <f t="shared" si="105"/>
        <v/>
      </c>
      <c r="AK305" t="str">
        <f t="shared" si="106"/>
        <v/>
      </c>
      <c r="AL305" t="str">
        <f t="shared" si="107"/>
        <v/>
      </c>
      <c r="AM305" t="str">
        <f t="shared" si="108"/>
        <v/>
      </c>
      <c r="AN305" t="str">
        <f t="shared" si="109"/>
        <v/>
      </c>
      <c r="AO305" t="str">
        <f t="shared" si="110"/>
        <v/>
      </c>
      <c r="AP305" t="str">
        <f t="shared" si="111"/>
        <v/>
      </c>
      <c r="AQ305" t="str">
        <f t="shared" si="112"/>
        <v/>
      </c>
      <c r="AR305" t="str">
        <f t="shared" si="113"/>
        <v/>
      </c>
      <c r="AS305" t="str">
        <f t="shared" si="114"/>
        <v/>
      </c>
      <c r="AT305" t="str">
        <f t="shared" si="115"/>
        <v/>
      </c>
      <c r="AU305" s="25" t="str">
        <f t="shared" si="119"/>
        <v/>
      </c>
      <c r="BA305">
        <f>'REGISTER SK'!F308</f>
        <v>0</v>
      </c>
    </row>
    <row r="306" spans="1:53" x14ac:dyDescent="0.35">
      <c r="A306" s="18">
        <v>305</v>
      </c>
      <c r="B306" s="36" t="s">
        <v>379</v>
      </c>
      <c r="C306" s="18" t="str">
        <f>IF(G306="","",IF(G306="Umum",G306,VLOOKUP(F306,'Data Induk Pegawai'!B:AE,4,FALSE)))</f>
        <v/>
      </c>
      <c r="D306" s="19" t="str">
        <f>IF('REGISTER SK'!A309="","",IF('REGISTER SK'!B309=0,D305,'REGISTER SK'!B309))</f>
        <v/>
      </c>
      <c r="E306" s="19" t="str">
        <f t="shared" si="116"/>
        <v/>
      </c>
      <c r="F306" s="29"/>
      <c r="G306" s="29"/>
      <c r="H306" s="31" t="str">
        <f>IF(F306="","",VLOOKUP(F306,'Data Induk Pegawai'!B:U,2,FALSE))</f>
        <v/>
      </c>
      <c r="I306" s="19" t="str">
        <f>IF('REGISTER SK'!C309="","",'REGISTER SK'!C309)</f>
        <v/>
      </c>
      <c r="J306" s="125"/>
      <c r="K306" s="125"/>
      <c r="L306" s="26" t="str">
        <f>IF('REGISTER SK'!D309="","",'REGISTER SK'!D309)</f>
        <v/>
      </c>
      <c r="M306" s="26" t="str">
        <f>IF('REGISTER SK'!E309="","",'REGISTER SK'!E309)</f>
        <v/>
      </c>
      <c r="N306" s="31" t="str">
        <f>IF(G306="","",IF(OR(G306="GTT",G306="PTT"),"--",VLOOKUP(F306,'Data Induk Pegawai'!B:AE,4,FALSE)))</f>
        <v/>
      </c>
      <c r="O306" s="18" t="s">
        <v>426</v>
      </c>
      <c r="P306" s="31" t="str">
        <f>IF(G306="","",VLOOKUP(F306,'Data Induk Pegawai'!B:AE,7,FALSE))</f>
        <v/>
      </c>
      <c r="Q306" s="30"/>
      <c r="R306" s="26" t="str">
        <f>IF(G306="","","Nomor "&amp;RIGHT(VLOOKUP(F306,'Data Induk Pegawai'!B:AE,12,FALSE),2)&amp;" Tahun "&amp;MID(VLOOKUP(F306,'Data Induk Pegawai'!B:AE,12,FALSE),5,4))</f>
        <v/>
      </c>
      <c r="S306" s="26" t="str">
        <f>IF(G306="","",VLOOKUP(F306,'Data Induk Pegawai'!B:AE,11,FALSE))</f>
        <v/>
      </c>
      <c r="T306" s="56"/>
      <c r="U306" s="18" t="str">
        <f t="shared" si="96"/>
        <v/>
      </c>
      <c r="V306" s="30"/>
      <c r="W306" s="18" t="str">
        <f t="shared" si="97"/>
        <v/>
      </c>
      <c r="X306" s="16"/>
      <c r="Y306" t="str">
        <f t="shared" si="98"/>
        <v/>
      </c>
      <c r="Z306" t="str">
        <f t="shared" si="99"/>
        <v/>
      </c>
      <c r="AA306" t="str">
        <f t="shared" si="100"/>
        <v/>
      </c>
      <c r="AB306" t="str">
        <f>COUNTIFS(AC306:AC$596,AC306)&amp;AC306</f>
        <v>291</v>
      </c>
      <c r="AC306" t="str">
        <f t="shared" si="117"/>
        <v/>
      </c>
      <c r="AD306" t="str">
        <f>COUNTIFS(AC$2:AC306,AC306)&amp;AC306</f>
        <v>305</v>
      </c>
      <c r="AE306" t="str">
        <f t="shared" si="101"/>
        <v/>
      </c>
      <c r="AF306" t="str">
        <f t="shared" si="118"/>
        <v>..</v>
      </c>
      <c r="AG306" s="28" t="str">
        <f t="shared" si="120"/>
        <v/>
      </c>
      <c r="AH306" s="28" t="str">
        <f t="shared" si="103"/>
        <v/>
      </c>
      <c r="AI306" t="str">
        <f t="shared" si="104"/>
        <v/>
      </c>
      <c r="AJ306" t="str">
        <f t="shared" si="105"/>
        <v/>
      </c>
      <c r="AK306" t="str">
        <f t="shared" si="106"/>
        <v/>
      </c>
      <c r="AL306" t="str">
        <f t="shared" si="107"/>
        <v/>
      </c>
      <c r="AM306" t="str">
        <f t="shared" si="108"/>
        <v/>
      </c>
      <c r="AN306" t="str">
        <f t="shared" si="109"/>
        <v/>
      </c>
      <c r="AO306" t="str">
        <f t="shared" si="110"/>
        <v/>
      </c>
      <c r="AP306" t="str">
        <f t="shared" si="111"/>
        <v/>
      </c>
      <c r="AQ306" t="str">
        <f t="shared" si="112"/>
        <v/>
      </c>
      <c r="AR306" t="str">
        <f t="shared" si="113"/>
        <v/>
      </c>
      <c r="AS306" t="str">
        <f t="shared" si="114"/>
        <v/>
      </c>
      <c r="AT306" t="str">
        <f t="shared" si="115"/>
        <v/>
      </c>
      <c r="AU306" s="25" t="str">
        <f t="shared" si="119"/>
        <v/>
      </c>
      <c r="BA306">
        <f>'REGISTER SK'!F309</f>
        <v>0</v>
      </c>
    </row>
    <row r="307" spans="1:53" x14ac:dyDescent="0.35">
      <c r="A307" s="18">
        <v>306</v>
      </c>
      <c r="B307" s="36" t="s">
        <v>379</v>
      </c>
      <c r="C307" s="18" t="str">
        <f>IF(G307="","",IF(G307="Umum",G307,VLOOKUP(F307,'Data Induk Pegawai'!B:AE,4,FALSE)))</f>
        <v/>
      </c>
      <c r="D307" s="19" t="str">
        <f>IF('REGISTER SK'!A310="","",IF('REGISTER SK'!B310=0,D306,'REGISTER SK'!B310))</f>
        <v/>
      </c>
      <c r="E307" s="19" t="str">
        <f t="shared" si="116"/>
        <v/>
      </c>
      <c r="F307" s="29"/>
      <c r="G307" s="29"/>
      <c r="H307" s="31" t="str">
        <f>IF(F307="","",VLOOKUP(F307,'Data Induk Pegawai'!B:U,2,FALSE))</f>
        <v/>
      </c>
      <c r="I307" s="19" t="str">
        <f>IF('REGISTER SK'!C310="","",'REGISTER SK'!C310)</f>
        <v/>
      </c>
      <c r="J307" s="125"/>
      <c r="K307" s="125"/>
      <c r="L307" s="26" t="str">
        <f>IF('REGISTER SK'!D310="","",'REGISTER SK'!D310)</f>
        <v/>
      </c>
      <c r="M307" s="26" t="str">
        <f>IF('REGISTER SK'!E310="","",'REGISTER SK'!E310)</f>
        <v/>
      </c>
      <c r="N307" s="31" t="str">
        <f>IF(G307="","",IF(OR(G307="GTT",G307="PTT"),"--",VLOOKUP(F307,'Data Induk Pegawai'!B:AE,4,FALSE)))</f>
        <v/>
      </c>
      <c r="O307" s="18" t="s">
        <v>384</v>
      </c>
      <c r="P307" s="31" t="str">
        <f>IF(G307="","",VLOOKUP(F307,'Data Induk Pegawai'!B:AE,7,FALSE))</f>
        <v/>
      </c>
      <c r="Q307" s="30"/>
      <c r="R307" s="26" t="str">
        <f>IF(G307="","","Nomor "&amp;RIGHT(VLOOKUP(F307,'Data Induk Pegawai'!B:AE,12,FALSE),2)&amp;" Tahun "&amp;MID(VLOOKUP(F307,'Data Induk Pegawai'!B:AE,12,FALSE),5,4))</f>
        <v/>
      </c>
      <c r="S307" s="26" t="str">
        <f>IF(G307="","",VLOOKUP(F307,'Data Induk Pegawai'!B:AE,11,FALSE))</f>
        <v/>
      </c>
      <c r="T307" s="56"/>
      <c r="U307" s="18" t="str">
        <f t="shared" si="96"/>
        <v/>
      </c>
      <c r="V307" s="30"/>
      <c r="W307" s="18" t="str">
        <f t="shared" si="97"/>
        <v/>
      </c>
      <c r="X307" s="16"/>
      <c r="Y307" t="str">
        <f t="shared" si="98"/>
        <v/>
      </c>
      <c r="Z307" t="str">
        <f t="shared" si="99"/>
        <v/>
      </c>
      <c r="AA307" t="str">
        <f t="shared" si="100"/>
        <v/>
      </c>
      <c r="AB307" t="str">
        <f>COUNTIFS(AC307:AC$596,AC307)&amp;AC307</f>
        <v>290</v>
      </c>
      <c r="AC307" t="str">
        <f t="shared" si="117"/>
        <v/>
      </c>
      <c r="AD307" t="str">
        <f>COUNTIFS(AC$2:AC307,AC307)&amp;AC307</f>
        <v>306</v>
      </c>
      <c r="AE307" t="str">
        <f t="shared" si="101"/>
        <v/>
      </c>
      <c r="AF307" t="str">
        <f t="shared" si="118"/>
        <v>..</v>
      </c>
      <c r="AG307" s="28" t="str">
        <f t="shared" si="120"/>
        <v/>
      </c>
      <c r="AH307" s="28" t="str">
        <f t="shared" si="103"/>
        <v/>
      </c>
      <c r="AI307" t="str">
        <f t="shared" si="104"/>
        <v/>
      </c>
      <c r="AJ307" t="str">
        <f t="shared" si="105"/>
        <v/>
      </c>
      <c r="AK307" t="str">
        <f t="shared" si="106"/>
        <v/>
      </c>
      <c r="AL307" t="str">
        <f t="shared" si="107"/>
        <v/>
      </c>
      <c r="AM307" t="str">
        <f t="shared" si="108"/>
        <v/>
      </c>
      <c r="AN307" t="str">
        <f t="shared" si="109"/>
        <v/>
      </c>
      <c r="AO307" t="str">
        <f t="shared" si="110"/>
        <v/>
      </c>
      <c r="AP307" t="str">
        <f t="shared" si="111"/>
        <v/>
      </c>
      <c r="AQ307" t="str">
        <f t="shared" si="112"/>
        <v/>
      </c>
      <c r="AR307" t="str">
        <f t="shared" si="113"/>
        <v/>
      </c>
      <c r="AS307" t="str">
        <f t="shared" si="114"/>
        <v/>
      </c>
      <c r="AT307" t="str">
        <f t="shared" si="115"/>
        <v/>
      </c>
      <c r="AU307" s="25" t="str">
        <f t="shared" si="119"/>
        <v/>
      </c>
      <c r="BA307">
        <f>'REGISTER SK'!F310</f>
        <v>0</v>
      </c>
    </row>
    <row r="308" spans="1:53" x14ac:dyDescent="0.35">
      <c r="A308" s="18">
        <v>307</v>
      </c>
      <c r="B308" s="36" t="s">
        <v>379</v>
      </c>
      <c r="C308" s="18" t="str">
        <f>IF(G308="","",IF(G308="Umum",G308,VLOOKUP(F308,'Data Induk Pegawai'!B:AE,4,FALSE)))</f>
        <v/>
      </c>
      <c r="D308" s="19" t="str">
        <f>IF('REGISTER SK'!A311="","",IF('REGISTER SK'!B311=0,D307,'REGISTER SK'!B311))</f>
        <v/>
      </c>
      <c r="E308" s="19" t="str">
        <f t="shared" si="116"/>
        <v/>
      </c>
      <c r="F308" s="29"/>
      <c r="G308" s="29"/>
      <c r="H308" s="31" t="str">
        <f>IF(F308="","",VLOOKUP(F308,'Data Induk Pegawai'!B:U,2,FALSE))</f>
        <v/>
      </c>
      <c r="I308" s="19" t="str">
        <f>IF('REGISTER SK'!C311="","",'REGISTER SK'!C311)</f>
        <v/>
      </c>
      <c r="J308" s="125"/>
      <c r="K308" s="125"/>
      <c r="L308" s="26" t="str">
        <f>IF('REGISTER SK'!D311="","",'REGISTER SK'!D311)</f>
        <v/>
      </c>
      <c r="M308" s="26" t="str">
        <f>IF('REGISTER SK'!E311="","",'REGISTER SK'!E311)</f>
        <v/>
      </c>
      <c r="N308" s="31" t="str">
        <f>IF(G308="","",IF(OR(G308="GTT",G308="PTT"),"--",VLOOKUP(F308,'Data Induk Pegawai'!B:AE,4,FALSE)))</f>
        <v/>
      </c>
      <c r="O308" s="18" t="s">
        <v>383</v>
      </c>
      <c r="P308" s="31" t="str">
        <f>IF(G308="","",VLOOKUP(F308,'Data Induk Pegawai'!B:AE,7,FALSE))</f>
        <v/>
      </c>
      <c r="Q308" s="30"/>
      <c r="R308" s="26" t="str">
        <f>IF(G308="","","Nomor "&amp;RIGHT(VLOOKUP(F308,'Data Induk Pegawai'!B:AE,12,FALSE),2)&amp;" Tahun "&amp;MID(VLOOKUP(F308,'Data Induk Pegawai'!B:AE,12,FALSE),5,4))</f>
        <v/>
      </c>
      <c r="S308" s="26" t="str">
        <f>IF(G308="","",VLOOKUP(F308,'Data Induk Pegawai'!B:AE,11,FALSE))</f>
        <v/>
      </c>
      <c r="T308" s="56"/>
      <c r="U308" s="18" t="str">
        <f t="shared" si="96"/>
        <v/>
      </c>
      <c r="V308" s="30"/>
      <c r="W308" s="18" t="str">
        <f t="shared" si="97"/>
        <v/>
      </c>
      <c r="X308" s="16"/>
      <c r="Y308" t="str">
        <f t="shared" si="98"/>
        <v/>
      </c>
      <c r="Z308" t="str">
        <f t="shared" si="99"/>
        <v/>
      </c>
      <c r="AA308" t="str">
        <f t="shared" si="100"/>
        <v/>
      </c>
      <c r="AB308" t="str">
        <f>COUNTIFS(AC308:AC$596,AC308)&amp;AC308</f>
        <v>289</v>
      </c>
      <c r="AC308" t="str">
        <f t="shared" si="117"/>
        <v/>
      </c>
      <c r="AD308" t="str">
        <f>COUNTIFS(AC$2:AC308,AC308)&amp;AC308</f>
        <v>307</v>
      </c>
      <c r="AE308" t="str">
        <f t="shared" si="101"/>
        <v/>
      </c>
      <c r="AF308" t="str">
        <f t="shared" si="118"/>
        <v>..</v>
      </c>
      <c r="AG308" s="28" t="str">
        <f t="shared" si="120"/>
        <v/>
      </c>
      <c r="AH308" s="28" t="str">
        <f t="shared" si="103"/>
        <v/>
      </c>
      <c r="AI308" t="str">
        <f t="shared" si="104"/>
        <v/>
      </c>
      <c r="AJ308" t="str">
        <f t="shared" si="105"/>
        <v/>
      </c>
      <c r="AK308" t="str">
        <f t="shared" si="106"/>
        <v/>
      </c>
      <c r="AL308" t="str">
        <f t="shared" si="107"/>
        <v/>
      </c>
      <c r="AM308" t="str">
        <f t="shared" si="108"/>
        <v/>
      </c>
      <c r="AN308" t="str">
        <f t="shared" si="109"/>
        <v/>
      </c>
      <c r="AO308" t="str">
        <f t="shared" si="110"/>
        <v/>
      </c>
      <c r="AP308" t="str">
        <f t="shared" si="111"/>
        <v/>
      </c>
      <c r="AQ308" t="str">
        <f t="shared" si="112"/>
        <v/>
      </c>
      <c r="AR308" t="str">
        <f t="shared" si="113"/>
        <v/>
      </c>
      <c r="AS308" t="str">
        <f t="shared" si="114"/>
        <v/>
      </c>
      <c r="AT308" t="str">
        <f t="shared" si="115"/>
        <v/>
      </c>
      <c r="AU308" s="25" t="str">
        <f t="shared" si="119"/>
        <v/>
      </c>
      <c r="BA308">
        <f>'REGISTER SK'!F311</f>
        <v>0</v>
      </c>
    </row>
    <row r="309" spans="1:53" x14ac:dyDescent="0.35">
      <c r="A309" s="18">
        <v>308</v>
      </c>
      <c r="B309" s="36" t="s">
        <v>379</v>
      </c>
      <c r="C309" s="18" t="str">
        <f>IF(G309="","",IF(G309="Umum",G309,VLOOKUP(F309,'Data Induk Pegawai'!B:AE,4,FALSE)))</f>
        <v/>
      </c>
      <c r="D309" s="19" t="str">
        <f>IF('REGISTER SK'!A312="","",IF('REGISTER SK'!B312=0,D308,'REGISTER SK'!B312))</f>
        <v/>
      </c>
      <c r="E309" s="19" t="str">
        <f t="shared" si="116"/>
        <v/>
      </c>
      <c r="F309" s="29"/>
      <c r="G309" s="29"/>
      <c r="H309" s="31" t="str">
        <f>IF(F309="","",VLOOKUP(F309,'Data Induk Pegawai'!B:U,2,FALSE))</f>
        <v/>
      </c>
      <c r="I309" s="19" t="str">
        <f>IF('REGISTER SK'!C312="","",'REGISTER SK'!C312)</f>
        <v/>
      </c>
      <c r="J309" s="125"/>
      <c r="K309" s="125"/>
      <c r="L309" s="26" t="str">
        <f>IF('REGISTER SK'!D312="","",'REGISTER SK'!D312)</f>
        <v/>
      </c>
      <c r="M309" s="26" t="str">
        <f>IF('REGISTER SK'!E312="","",'REGISTER SK'!E312)</f>
        <v/>
      </c>
      <c r="N309" s="31" t="str">
        <f>IF(G309="","",IF(OR(G309="GTT",G309="PTT"),"--",VLOOKUP(F309,'Data Induk Pegawai'!B:AE,4,FALSE)))</f>
        <v/>
      </c>
      <c r="O309" s="18" t="s">
        <v>385</v>
      </c>
      <c r="P309" s="31" t="str">
        <f>IF(G309="","",VLOOKUP(F309,'Data Induk Pegawai'!B:AE,7,FALSE))</f>
        <v/>
      </c>
      <c r="Q309" s="30"/>
      <c r="R309" s="26" t="str">
        <f>IF(G309="","","Nomor "&amp;RIGHT(VLOOKUP(F309,'Data Induk Pegawai'!B:AE,12,FALSE),2)&amp;" Tahun "&amp;MID(VLOOKUP(F309,'Data Induk Pegawai'!B:AE,12,FALSE),5,4))</f>
        <v/>
      </c>
      <c r="S309" s="26" t="str">
        <f>IF(G309="","",VLOOKUP(F309,'Data Induk Pegawai'!B:AE,11,FALSE))</f>
        <v/>
      </c>
      <c r="T309" s="56"/>
      <c r="U309" s="18" t="str">
        <f t="shared" si="96"/>
        <v/>
      </c>
      <c r="V309" s="30"/>
      <c r="W309" s="18" t="str">
        <f t="shared" si="97"/>
        <v/>
      </c>
      <c r="X309" s="16"/>
      <c r="Y309" t="str">
        <f t="shared" si="98"/>
        <v/>
      </c>
      <c r="Z309" t="str">
        <f t="shared" si="99"/>
        <v/>
      </c>
      <c r="AA309" t="str">
        <f t="shared" si="100"/>
        <v/>
      </c>
      <c r="AB309" t="str">
        <f>COUNTIFS(AC309:AC$596,AC309)&amp;AC309</f>
        <v>288</v>
      </c>
      <c r="AC309" t="str">
        <f t="shared" si="117"/>
        <v/>
      </c>
      <c r="AD309" t="str">
        <f>COUNTIFS(AC$2:AC309,AC309)&amp;AC309</f>
        <v>308</v>
      </c>
      <c r="AE309" t="str">
        <f t="shared" si="101"/>
        <v/>
      </c>
      <c r="AF309" t="str">
        <f t="shared" si="118"/>
        <v>..</v>
      </c>
      <c r="AG309" s="28" t="str">
        <f t="shared" si="120"/>
        <v/>
      </c>
      <c r="AH309" s="28" t="str">
        <f t="shared" si="103"/>
        <v/>
      </c>
      <c r="AI309" t="str">
        <f t="shared" si="104"/>
        <v/>
      </c>
      <c r="AJ309" t="str">
        <f t="shared" si="105"/>
        <v/>
      </c>
      <c r="AK309" t="str">
        <f t="shared" si="106"/>
        <v/>
      </c>
      <c r="AL309" t="str">
        <f t="shared" si="107"/>
        <v/>
      </c>
      <c r="AM309" t="str">
        <f t="shared" si="108"/>
        <v/>
      </c>
      <c r="AN309" t="str">
        <f t="shared" si="109"/>
        <v/>
      </c>
      <c r="AO309" t="str">
        <f t="shared" si="110"/>
        <v/>
      </c>
      <c r="AP309" t="str">
        <f t="shared" si="111"/>
        <v/>
      </c>
      <c r="AQ309" t="str">
        <f t="shared" si="112"/>
        <v/>
      </c>
      <c r="AR309" t="str">
        <f t="shared" si="113"/>
        <v/>
      </c>
      <c r="AS309" t="str">
        <f t="shared" si="114"/>
        <v/>
      </c>
      <c r="AT309" t="str">
        <f t="shared" si="115"/>
        <v/>
      </c>
      <c r="AU309" s="25" t="str">
        <f t="shared" si="119"/>
        <v/>
      </c>
      <c r="BA309">
        <f>'REGISTER SK'!F312</f>
        <v>0</v>
      </c>
    </row>
    <row r="310" spans="1:53" x14ac:dyDescent="0.35">
      <c r="A310" s="18">
        <v>309</v>
      </c>
      <c r="B310" s="36" t="s">
        <v>379</v>
      </c>
      <c r="C310" s="18" t="str">
        <f>IF(G310="","",IF(G310="Umum",G310,VLOOKUP(F310,'Data Induk Pegawai'!B:AE,4,FALSE)))</f>
        <v/>
      </c>
      <c r="D310" s="19" t="str">
        <f>IF('REGISTER SK'!A313="","",IF('REGISTER SK'!B313=0,D309,'REGISTER SK'!B313))</f>
        <v/>
      </c>
      <c r="E310" s="19" t="str">
        <f t="shared" si="116"/>
        <v/>
      </c>
      <c r="F310" s="29"/>
      <c r="G310" s="29"/>
      <c r="H310" s="31" t="str">
        <f>IF(F310="","",VLOOKUP(F310,'Data Induk Pegawai'!B:U,2,FALSE))</f>
        <v/>
      </c>
      <c r="I310" s="19" t="str">
        <f>IF('REGISTER SK'!C313="","",'REGISTER SK'!C313)</f>
        <v/>
      </c>
      <c r="J310" s="125"/>
      <c r="K310" s="125"/>
      <c r="L310" s="26" t="str">
        <f>IF('REGISTER SK'!D313="","",'REGISTER SK'!D313)</f>
        <v/>
      </c>
      <c r="M310" s="26" t="str">
        <f>IF('REGISTER SK'!E313="","",'REGISTER SK'!E313)</f>
        <v/>
      </c>
      <c r="N310" s="31" t="str">
        <f>IF(G310="","",IF(OR(G310="GTT",G310="PTT"),"--",VLOOKUP(F310,'Data Induk Pegawai'!B:AE,4,FALSE)))</f>
        <v/>
      </c>
      <c r="O310" s="18" t="s">
        <v>386</v>
      </c>
      <c r="P310" s="31" t="str">
        <f>IF(G310="","",VLOOKUP(F310,'Data Induk Pegawai'!B:AE,7,FALSE))</f>
        <v/>
      </c>
      <c r="Q310" s="30"/>
      <c r="R310" s="26" t="str">
        <f>IF(G310="","","Nomor "&amp;RIGHT(VLOOKUP(F310,'Data Induk Pegawai'!B:AE,12,FALSE),2)&amp;" Tahun "&amp;MID(VLOOKUP(F310,'Data Induk Pegawai'!B:AE,12,FALSE),5,4))</f>
        <v/>
      </c>
      <c r="S310" s="26" t="str">
        <f>IF(G310="","",VLOOKUP(F310,'Data Induk Pegawai'!B:AE,11,FALSE))</f>
        <v/>
      </c>
      <c r="T310" s="56"/>
      <c r="U310" s="18" t="str">
        <f t="shared" si="96"/>
        <v/>
      </c>
      <c r="V310" s="30"/>
      <c r="W310" s="18" t="str">
        <f t="shared" si="97"/>
        <v/>
      </c>
      <c r="X310" s="16"/>
      <c r="Y310" t="str">
        <f t="shared" si="98"/>
        <v/>
      </c>
      <c r="Z310" t="str">
        <f t="shared" si="99"/>
        <v/>
      </c>
      <c r="AA310" t="str">
        <f t="shared" si="100"/>
        <v/>
      </c>
      <c r="AB310" t="str">
        <f>COUNTIFS(AC310:AC$596,AC310)&amp;AC310</f>
        <v>287</v>
      </c>
      <c r="AC310" t="str">
        <f t="shared" si="117"/>
        <v/>
      </c>
      <c r="AD310" t="str">
        <f>COUNTIFS(AC$2:AC310,AC310)&amp;AC310</f>
        <v>309</v>
      </c>
      <c r="AE310" t="str">
        <f t="shared" si="101"/>
        <v/>
      </c>
      <c r="AF310" t="str">
        <f t="shared" si="118"/>
        <v>..</v>
      </c>
      <c r="AG310" s="28" t="str">
        <f t="shared" si="120"/>
        <v/>
      </c>
      <c r="AH310" s="28" t="str">
        <f t="shared" si="103"/>
        <v/>
      </c>
      <c r="AI310" t="str">
        <f t="shared" si="104"/>
        <v/>
      </c>
      <c r="AJ310" t="str">
        <f t="shared" si="105"/>
        <v/>
      </c>
      <c r="AK310" t="str">
        <f t="shared" si="106"/>
        <v/>
      </c>
      <c r="AL310" t="str">
        <f t="shared" si="107"/>
        <v/>
      </c>
      <c r="AM310" t="str">
        <f t="shared" si="108"/>
        <v/>
      </c>
      <c r="AN310" t="str">
        <f t="shared" si="109"/>
        <v/>
      </c>
      <c r="AO310" t="str">
        <f t="shared" si="110"/>
        <v/>
      </c>
      <c r="AP310" t="str">
        <f t="shared" si="111"/>
        <v/>
      </c>
      <c r="AQ310" t="str">
        <f t="shared" si="112"/>
        <v/>
      </c>
      <c r="AR310" t="str">
        <f t="shared" si="113"/>
        <v/>
      </c>
      <c r="AS310" t="str">
        <f t="shared" si="114"/>
        <v/>
      </c>
      <c r="AT310" t="str">
        <f t="shared" si="115"/>
        <v/>
      </c>
      <c r="AU310" s="25" t="str">
        <f t="shared" si="119"/>
        <v/>
      </c>
      <c r="BA310">
        <f>'REGISTER SK'!F313</f>
        <v>0</v>
      </c>
    </row>
    <row r="311" spans="1:53" x14ac:dyDescent="0.35">
      <c r="A311" s="18">
        <v>310</v>
      </c>
      <c r="B311" s="36" t="s">
        <v>379</v>
      </c>
      <c r="C311" s="18" t="str">
        <f>IF(G311="","",IF(G311="Umum",G311,VLOOKUP(F311,'Data Induk Pegawai'!B:AE,4,FALSE)))</f>
        <v/>
      </c>
      <c r="D311" s="19" t="str">
        <f>IF('REGISTER SK'!A314="","",IF('REGISTER SK'!B314=0,D310,'REGISTER SK'!B314))</f>
        <v/>
      </c>
      <c r="E311" s="19" t="str">
        <f t="shared" si="116"/>
        <v/>
      </c>
      <c r="F311" s="29"/>
      <c r="G311" s="29"/>
      <c r="H311" s="31" t="str">
        <f>IF(F311="","",VLOOKUP(F311,'Data Induk Pegawai'!B:U,2,FALSE))</f>
        <v/>
      </c>
      <c r="I311" s="19" t="str">
        <f>IF('REGISTER SK'!C314="","",'REGISTER SK'!C314)</f>
        <v/>
      </c>
      <c r="J311" s="125"/>
      <c r="K311" s="125"/>
      <c r="L311" s="26" t="str">
        <f>IF('REGISTER SK'!D314="","",'REGISTER SK'!D314)</f>
        <v/>
      </c>
      <c r="M311" s="26" t="str">
        <f>IF('REGISTER SK'!E314="","",'REGISTER SK'!E314)</f>
        <v/>
      </c>
      <c r="N311" s="31" t="str">
        <f>IF(G311="","",IF(OR(G311="GTT",G311="PTT"),"--",VLOOKUP(F311,'Data Induk Pegawai'!B:AE,4,FALSE)))</f>
        <v/>
      </c>
      <c r="O311" s="18" t="s">
        <v>434</v>
      </c>
      <c r="P311" s="31" t="str">
        <f>IF(G311="","",VLOOKUP(F311,'Data Induk Pegawai'!B:AE,7,FALSE))</f>
        <v/>
      </c>
      <c r="Q311" s="30"/>
      <c r="R311" s="26" t="str">
        <f>IF(G311="","","Nomor "&amp;RIGHT(VLOOKUP(F311,'Data Induk Pegawai'!B:AE,12,FALSE),2)&amp;" Tahun "&amp;MID(VLOOKUP(F311,'Data Induk Pegawai'!B:AE,12,FALSE),5,4))</f>
        <v/>
      </c>
      <c r="S311" s="26" t="str">
        <f>IF(G311="","",VLOOKUP(F311,'Data Induk Pegawai'!B:AE,11,FALSE))</f>
        <v/>
      </c>
      <c r="T311" s="56"/>
      <c r="U311" s="18" t="str">
        <f t="shared" si="96"/>
        <v/>
      </c>
      <c r="V311" s="30"/>
      <c r="W311" s="18" t="str">
        <f t="shared" si="97"/>
        <v/>
      </c>
      <c r="X311" s="16"/>
      <c r="Y311" t="str">
        <f t="shared" si="98"/>
        <v/>
      </c>
      <c r="Z311" t="str">
        <f t="shared" si="99"/>
        <v/>
      </c>
      <c r="AA311" t="str">
        <f t="shared" si="100"/>
        <v/>
      </c>
      <c r="AB311" t="str">
        <f>COUNTIFS(AC311:AC$596,AC311)&amp;AC311</f>
        <v>286</v>
      </c>
      <c r="AC311" t="str">
        <f t="shared" si="117"/>
        <v/>
      </c>
      <c r="AD311" t="str">
        <f>COUNTIFS(AC$2:AC311,AC311)&amp;AC311</f>
        <v>310</v>
      </c>
      <c r="AE311" t="str">
        <f t="shared" si="101"/>
        <v/>
      </c>
      <c r="AF311" t="str">
        <f t="shared" si="118"/>
        <v>..</v>
      </c>
      <c r="AG311" s="28" t="str">
        <f t="shared" si="120"/>
        <v/>
      </c>
      <c r="AH311" s="28" t="str">
        <f t="shared" si="103"/>
        <v/>
      </c>
      <c r="AI311" t="str">
        <f t="shared" si="104"/>
        <v/>
      </c>
      <c r="AJ311" t="str">
        <f t="shared" si="105"/>
        <v/>
      </c>
      <c r="AK311" t="str">
        <f t="shared" si="106"/>
        <v/>
      </c>
      <c r="AL311" t="str">
        <f t="shared" si="107"/>
        <v/>
      </c>
      <c r="AM311" t="str">
        <f t="shared" si="108"/>
        <v/>
      </c>
      <c r="AN311" t="str">
        <f t="shared" si="109"/>
        <v/>
      </c>
      <c r="AO311" t="str">
        <f t="shared" si="110"/>
        <v/>
      </c>
      <c r="AP311" t="str">
        <f t="shared" si="111"/>
        <v/>
      </c>
      <c r="AQ311" t="str">
        <f t="shared" si="112"/>
        <v/>
      </c>
      <c r="AR311" t="str">
        <f t="shared" si="113"/>
        <v/>
      </c>
      <c r="AS311" t="str">
        <f t="shared" si="114"/>
        <v/>
      </c>
      <c r="AT311" t="str">
        <f t="shared" si="115"/>
        <v/>
      </c>
      <c r="AU311" s="25" t="str">
        <f t="shared" si="119"/>
        <v/>
      </c>
      <c r="BA311">
        <f>'REGISTER SK'!F314</f>
        <v>0</v>
      </c>
    </row>
    <row r="312" spans="1:53" x14ac:dyDescent="0.35">
      <c r="A312" s="18">
        <v>311</v>
      </c>
      <c r="B312" s="36" t="s">
        <v>379</v>
      </c>
      <c r="C312" s="18" t="str">
        <f>IF(G312="","",IF(G312="Umum",G312,VLOOKUP(F312,'Data Induk Pegawai'!B:AE,4,FALSE)))</f>
        <v/>
      </c>
      <c r="D312" s="19" t="str">
        <f>IF('REGISTER SK'!A315="","",IF('REGISTER SK'!B315=0,D311,'REGISTER SK'!B315))</f>
        <v/>
      </c>
      <c r="E312" s="19" t="str">
        <f t="shared" si="116"/>
        <v/>
      </c>
      <c r="F312" s="29"/>
      <c r="G312" s="29"/>
      <c r="H312" s="31" t="str">
        <f>IF(F312="","",VLOOKUP(F312,'Data Induk Pegawai'!B:U,2,FALSE))</f>
        <v/>
      </c>
      <c r="I312" s="19" t="str">
        <f>IF('REGISTER SK'!C315="","",'REGISTER SK'!C315)</f>
        <v/>
      </c>
      <c r="J312" s="125"/>
      <c r="K312" s="125"/>
      <c r="L312" s="26" t="str">
        <f>IF('REGISTER SK'!D315="","",'REGISTER SK'!D315)</f>
        <v/>
      </c>
      <c r="M312" s="26" t="str">
        <f>IF('REGISTER SK'!E315="","",'REGISTER SK'!E315)</f>
        <v/>
      </c>
      <c r="N312" s="31" t="str">
        <f>IF(G312="","",IF(OR(G312="GTT",G312="PTT"),"--",VLOOKUP(F312,'Data Induk Pegawai'!B:AE,4,FALSE)))</f>
        <v/>
      </c>
      <c r="O312" s="18" t="s">
        <v>436</v>
      </c>
      <c r="P312" s="31" t="str">
        <f>IF(G312="","",VLOOKUP(F312,'Data Induk Pegawai'!B:AE,7,FALSE))</f>
        <v/>
      </c>
      <c r="Q312" s="30"/>
      <c r="R312" s="26" t="str">
        <f>IF(G312="","","Nomor "&amp;RIGHT(VLOOKUP(F312,'Data Induk Pegawai'!B:AE,12,FALSE),2)&amp;" Tahun "&amp;MID(VLOOKUP(F312,'Data Induk Pegawai'!B:AE,12,FALSE),5,4))</f>
        <v/>
      </c>
      <c r="S312" s="26" t="str">
        <f>IF(G312="","",VLOOKUP(F312,'Data Induk Pegawai'!B:AE,11,FALSE))</f>
        <v/>
      </c>
      <c r="T312" s="56"/>
      <c r="U312" s="18" t="str">
        <f t="shared" si="96"/>
        <v/>
      </c>
      <c r="V312" s="30"/>
      <c r="W312" s="18" t="str">
        <f t="shared" si="97"/>
        <v/>
      </c>
      <c r="X312" s="16"/>
      <c r="Y312" t="str">
        <f t="shared" si="98"/>
        <v/>
      </c>
      <c r="Z312" t="str">
        <f t="shared" si="99"/>
        <v/>
      </c>
      <c r="AA312" t="str">
        <f t="shared" si="100"/>
        <v/>
      </c>
      <c r="AB312" t="str">
        <f>COUNTIFS(AC312:AC$596,AC312)&amp;AC312</f>
        <v>285</v>
      </c>
      <c r="AC312" t="str">
        <f t="shared" si="117"/>
        <v/>
      </c>
      <c r="AD312" t="str">
        <f>COUNTIFS(AC$2:AC312,AC312)&amp;AC312</f>
        <v>311</v>
      </c>
      <c r="AE312" t="str">
        <f t="shared" si="101"/>
        <v/>
      </c>
      <c r="AF312" t="str">
        <f t="shared" si="118"/>
        <v>..</v>
      </c>
      <c r="AG312" s="28" t="str">
        <f t="shared" si="120"/>
        <v/>
      </c>
      <c r="AH312" s="28" t="str">
        <f t="shared" si="103"/>
        <v/>
      </c>
      <c r="AI312" t="str">
        <f t="shared" si="104"/>
        <v/>
      </c>
      <c r="AJ312" t="str">
        <f t="shared" si="105"/>
        <v/>
      </c>
      <c r="AK312" t="str">
        <f t="shared" si="106"/>
        <v/>
      </c>
      <c r="AL312" t="str">
        <f t="shared" si="107"/>
        <v/>
      </c>
      <c r="AM312" t="str">
        <f t="shared" si="108"/>
        <v/>
      </c>
      <c r="AN312" t="str">
        <f t="shared" si="109"/>
        <v/>
      </c>
      <c r="AO312" t="str">
        <f t="shared" si="110"/>
        <v/>
      </c>
      <c r="AP312" t="str">
        <f t="shared" si="111"/>
        <v/>
      </c>
      <c r="AQ312" t="str">
        <f t="shared" si="112"/>
        <v/>
      </c>
      <c r="AR312" t="str">
        <f t="shared" si="113"/>
        <v/>
      </c>
      <c r="AS312" t="str">
        <f t="shared" si="114"/>
        <v/>
      </c>
      <c r="AT312" t="str">
        <f t="shared" si="115"/>
        <v/>
      </c>
      <c r="AU312" s="25" t="str">
        <f t="shared" si="119"/>
        <v/>
      </c>
      <c r="BA312">
        <f>'REGISTER SK'!F315</f>
        <v>0</v>
      </c>
    </row>
    <row r="313" spans="1:53" x14ac:dyDescent="0.35">
      <c r="A313" s="18">
        <v>312</v>
      </c>
      <c r="B313" s="36" t="s">
        <v>379</v>
      </c>
      <c r="C313" s="18" t="str">
        <f>IF(G313="","",IF(G313="Umum",G313,VLOOKUP(F313,'Data Induk Pegawai'!B:AE,4,FALSE)))</f>
        <v/>
      </c>
      <c r="D313" s="19" t="str">
        <f>IF('REGISTER SK'!A316="","",IF('REGISTER SK'!B316=0,D312,'REGISTER SK'!B316))</f>
        <v/>
      </c>
      <c r="E313" s="19" t="str">
        <f t="shared" si="116"/>
        <v/>
      </c>
      <c r="F313" s="29"/>
      <c r="G313" s="29"/>
      <c r="H313" s="31" t="str">
        <f>IF(F313="","",VLOOKUP(F313,'Data Induk Pegawai'!B:U,2,FALSE))</f>
        <v/>
      </c>
      <c r="I313" s="19" t="str">
        <f>IF('REGISTER SK'!C316="","",'REGISTER SK'!C316)</f>
        <v/>
      </c>
      <c r="J313" s="125"/>
      <c r="K313" s="125"/>
      <c r="L313" s="26" t="str">
        <f>IF('REGISTER SK'!D316="","",'REGISTER SK'!D316)</f>
        <v/>
      </c>
      <c r="M313" s="26" t="str">
        <f>IF('REGISTER SK'!E316="","",'REGISTER SK'!E316)</f>
        <v/>
      </c>
      <c r="N313" s="31" t="str">
        <f>IF(G313="","",IF(OR(G313="GTT",G313="PTT"),"--",VLOOKUP(F313,'Data Induk Pegawai'!B:AE,4,FALSE)))</f>
        <v/>
      </c>
      <c r="O313" s="18" t="s">
        <v>432</v>
      </c>
      <c r="P313" s="31" t="str">
        <f>IF(G313="","",VLOOKUP(F313,'Data Induk Pegawai'!B:AE,7,FALSE))</f>
        <v/>
      </c>
      <c r="Q313" s="30"/>
      <c r="R313" s="26" t="str">
        <f>IF(G313="","","Nomor "&amp;RIGHT(VLOOKUP(F313,'Data Induk Pegawai'!B:AE,12,FALSE),2)&amp;" Tahun "&amp;MID(VLOOKUP(F313,'Data Induk Pegawai'!B:AE,12,FALSE),5,4))</f>
        <v/>
      </c>
      <c r="S313" s="26" t="str">
        <f>IF(G313="","",VLOOKUP(F313,'Data Induk Pegawai'!B:AE,11,FALSE))</f>
        <v/>
      </c>
      <c r="T313" s="56"/>
      <c r="U313" s="18" t="str">
        <f t="shared" si="96"/>
        <v/>
      </c>
      <c r="V313" s="30"/>
      <c r="W313" s="18" t="str">
        <f t="shared" si="97"/>
        <v/>
      </c>
      <c r="X313" s="16"/>
      <c r="Y313" t="str">
        <f t="shared" si="98"/>
        <v/>
      </c>
      <c r="Z313" t="str">
        <f t="shared" si="99"/>
        <v/>
      </c>
      <c r="AA313" t="str">
        <f t="shared" si="100"/>
        <v/>
      </c>
      <c r="AB313" t="str">
        <f>COUNTIFS(AC313:AC$596,AC313)&amp;AC313</f>
        <v>284</v>
      </c>
      <c r="AC313" t="str">
        <f t="shared" si="117"/>
        <v/>
      </c>
      <c r="AD313" t="str">
        <f>COUNTIFS(AC$2:AC313,AC313)&amp;AC313</f>
        <v>312</v>
      </c>
      <c r="AE313" t="str">
        <f t="shared" si="101"/>
        <v/>
      </c>
      <c r="AF313" t="str">
        <f t="shared" si="118"/>
        <v>..</v>
      </c>
      <c r="AG313" s="28" t="str">
        <f t="shared" si="120"/>
        <v/>
      </c>
      <c r="AH313" s="28" t="str">
        <f t="shared" si="103"/>
        <v/>
      </c>
      <c r="AI313" t="str">
        <f t="shared" si="104"/>
        <v/>
      </c>
      <c r="AJ313" t="str">
        <f t="shared" si="105"/>
        <v/>
      </c>
      <c r="AK313" t="str">
        <f t="shared" si="106"/>
        <v/>
      </c>
      <c r="AL313" t="str">
        <f t="shared" si="107"/>
        <v/>
      </c>
      <c r="AM313" t="str">
        <f t="shared" si="108"/>
        <v/>
      </c>
      <c r="AN313" t="str">
        <f t="shared" si="109"/>
        <v/>
      </c>
      <c r="AO313" t="str">
        <f t="shared" si="110"/>
        <v/>
      </c>
      <c r="AP313" t="str">
        <f t="shared" si="111"/>
        <v/>
      </c>
      <c r="AQ313" t="str">
        <f t="shared" si="112"/>
        <v/>
      </c>
      <c r="AR313" t="str">
        <f t="shared" si="113"/>
        <v/>
      </c>
      <c r="AS313" t="str">
        <f t="shared" si="114"/>
        <v/>
      </c>
      <c r="AT313" t="str">
        <f t="shared" si="115"/>
        <v/>
      </c>
      <c r="AU313" s="25" t="str">
        <f t="shared" si="119"/>
        <v/>
      </c>
      <c r="BA313">
        <f>'REGISTER SK'!F316</f>
        <v>0</v>
      </c>
    </row>
    <row r="314" spans="1:53" x14ac:dyDescent="0.35">
      <c r="A314" s="18">
        <v>313</v>
      </c>
      <c r="B314" s="36" t="s">
        <v>379</v>
      </c>
      <c r="C314" s="18" t="str">
        <f>IF(G314="","",IF(G314="Umum",G314,VLOOKUP(F314,'Data Induk Pegawai'!B:AE,4,FALSE)))</f>
        <v/>
      </c>
      <c r="D314" s="19" t="str">
        <f>IF('REGISTER SK'!A317="","",IF('REGISTER SK'!B317=0,D313,'REGISTER SK'!B317))</f>
        <v/>
      </c>
      <c r="E314" s="19" t="str">
        <f t="shared" si="116"/>
        <v/>
      </c>
      <c r="F314" s="29"/>
      <c r="G314" s="29"/>
      <c r="H314" s="31" t="str">
        <f>IF(F314="","",VLOOKUP(F314,'Data Induk Pegawai'!B:U,2,FALSE))</f>
        <v/>
      </c>
      <c r="I314" s="19" t="str">
        <f>IF('REGISTER SK'!C317="","",'REGISTER SK'!C317)</f>
        <v/>
      </c>
      <c r="J314" s="125"/>
      <c r="K314" s="125"/>
      <c r="L314" s="26" t="str">
        <f>IF('REGISTER SK'!D317="","",'REGISTER SK'!D317)</f>
        <v/>
      </c>
      <c r="M314" s="26" t="str">
        <f>IF('REGISTER SK'!E317="","",'REGISTER SK'!E317)</f>
        <v/>
      </c>
      <c r="N314" s="31" t="str">
        <f>IF(G314="","",IF(OR(G314="GTT",G314="PTT"),"--",VLOOKUP(F314,'Data Induk Pegawai'!B:AE,4,FALSE)))</f>
        <v/>
      </c>
      <c r="O314" s="18" t="s">
        <v>429</v>
      </c>
      <c r="P314" s="31" t="str">
        <f>IF(G314="","",VLOOKUP(F314,'Data Induk Pegawai'!B:AE,7,FALSE))</f>
        <v/>
      </c>
      <c r="Q314" s="30"/>
      <c r="R314" s="26" t="str">
        <f>IF(G314="","","Nomor "&amp;RIGHT(VLOOKUP(F314,'Data Induk Pegawai'!B:AE,12,FALSE),2)&amp;" Tahun "&amp;MID(VLOOKUP(F314,'Data Induk Pegawai'!B:AE,12,FALSE),5,4))</f>
        <v/>
      </c>
      <c r="S314" s="26" t="str">
        <f>IF(G314="","",VLOOKUP(F314,'Data Induk Pegawai'!B:AE,11,FALSE))</f>
        <v/>
      </c>
      <c r="T314" s="56"/>
      <c r="U314" s="18" t="str">
        <f t="shared" si="96"/>
        <v/>
      </c>
      <c r="V314" s="30"/>
      <c r="W314" s="18" t="str">
        <f t="shared" si="97"/>
        <v/>
      </c>
      <c r="X314" s="16"/>
      <c r="Y314" t="str">
        <f t="shared" si="98"/>
        <v/>
      </c>
      <c r="Z314" t="str">
        <f t="shared" si="99"/>
        <v/>
      </c>
      <c r="AA314" t="str">
        <f t="shared" si="100"/>
        <v/>
      </c>
      <c r="AB314" t="str">
        <f>COUNTIFS(AC314:AC$596,AC314)&amp;AC314</f>
        <v>283</v>
      </c>
      <c r="AC314" t="str">
        <f t="shared" si="117"/>
        <v/>
      </c>
      <c r="AD314" t="str">
        <f>COUNTIFS(AC$2:AC314,AC314)&amp;AC314</f>
        <v>313</v>
      </c>
      <c r="AE314" t="str">
        <f t="shared" si="101"/>
        <v/>
      </c>
      <c r="AF314" t="str">
        <f t="shared" si="118"/>
        <v>..</v>
      </c>
      <c r="AG314" s="28" t="str">
        <f t="shared" si="120"/>
        <v/>
      </c>
      <c r="AH314" s="28" t="str">
        <f t="shared" si="103"/>
        <v/>
      </c>
      <c r="AI314" t="str">
        <f t="shared" si="104"/>
        <v/>
      </c>
      <c r="AJ314" t="str">
        <f t="shared" si="105"/>
        <v/>
      </c>
      <c r="AK314" t="str">
        <f t="shared" si="106"/>
        <v/>
      </c>
      <c r="AL314" t="str">
        <f t="shared" si="107"/>
        <v/>
      </c>
      <c r="AM314" t="str">
        <f t="shared" si="108"/>
        <v/>
      </c>
      <c r="AN314" t="str">
        <f t="shared" si="109"/>
        <v/>
      </c>
      <c r="AO314" t="str">
        <f t="shared" si="110"/>
        <v/>
      </c>
      <c r="AP314" t="str">
        <f t="shared" si="111"/>
        <v/>
      </c>
      <c r="AQ314" t="str">
        <f t="shared" si="112"/>
        <v/>
      </c>
      <c r="AR314" t="str">
        <f t="shared" si="113"/>
        <v/>
      </c>
      <c r="AS314" t="str">
        <f t="shared" si="114"/>
        <v/>
      </c>
      <c r="AT314" t="str">
        <f t="shared" si="115"/>
        <v/>
      </c>
      <c r="AU314" s="25" t="str">
        <f t="shared" si="119"/>
        <v/>
      </c>
      <c r="BA314">
        <f>'REGISTER SK'!F317</f>
        <v>0</v>
      </c>
    </row>
    <row r="315" spans="1:53" x14ac:dyDescent="0.35">
      <c r="A315" s="18">
        <v>314</v>
      </c>
      <c r="B315" s="36" t="s">
        <v>379</v>
      </c>
      <c r="C315" s="18" t="str">
        <f>IF(G315="","",IF(G315="Umum",G315,VLOOKUP(F315,'Data Induk Pegawai'!B:AE,4,FALSE)))</f>
        <v/>
      </c>
      <c r="D315" s="19" t="str">
        <f>IF('REGISTER SK'!A318="","",IF('REGISTER SK'!B318=0,D314,'REGISTER SK'!B318))</f>
        <v/>
      </c>
      <c r="E315" s="19" t="str">
        <f t="shared" si="116"/>
        <v/>
      </c>
      <c r="F315" s="29"/>
      <c r="G315" s="29"/>
      <c r="H315" s="31" t="str">
        <f>IF(F315="","",VLOOKUP(F315,'Data Induk Pegawai'!B:U,2,FALSE))</f>
        <v/>
      </c>
      <c r="I315" s="19" t="str">
        <f>IF('REGISTER SK'!C318="","",'REGISTER SK'!C318)</f>
        <v/>
      </c>
      <c r="J315" s="125"/>
      <c r="K315" s="125"/>
      <c r="L315" s="26" t="str">
        <f>IF('REGISTER SK'!D318="","",'REGISTER SK'!D318)</f>
        <v/>
      </c>
      <c r="M315" s="26" t="str">
        <f>IF('REGISTER SK'!E318="","",'REGISTER SK'!E318)</f>
        <v/>
      </c>
      <c r="N315" s="31" t="str">
        <f>IF(G315="","",IF(OR(G315="GTT",G315="PTT"),"--",VLOOKUP(F315,'Data Induk Pegawai'!B:AE,4,FALSE)))</f>
        <v/>
      </c>
      <c r="O315" s="18" t="s">
        <v>257</v>
      </c>
      <c r="P315" s="31" t="str">
        <f>IF(G315="","",VLOOKUP(F315,'Data Induk Pegawai'!B:AE,7,FALSE))</f>
        <v/>
      </c>
      <c r="Q315" s="30"/>
      <c r="R315" s="26" t="str">
        <f>IF(G315="","","Nomor "&amp;RIGHT(VLOOKUP(F315,'Data Induk Pegawai'!B:AE,12,FALSE),2)&amp;" Tahun "&amp;MID(VLOOKUP(F315,'Data Induk Pegawai'!B:AE,12,FALSE),5,4))</f>
        <v/>
      </c>
      <c r="S315" s="26" t="str">
        <f>IF(G315="","",VLOOKUP(F315,'Data Induk Pegawai'!B:AE,11,FALSE))</f>
        <v/>
      </c>
      <c r="T315" s="56"/>
      <c r="U315" s="18" t="str">
        <f t="shared" si="96"/>
        <v/>
      </c>
      <c r="V315" s="30"/>
      <c r="W315" s="18" t="str">
        <f t="shared" si="97"/>
        <v/>
      </c>
      <c r="X315" s="16"/>
      <c r="Y315" t="str">
        <f t="shared" si="98"/>
        <v/>
      </c>
      <c r="Z315" t="str">
        <f t="shared" si="99"/>
        <v/>
      </c>
      <c r="AA315" t="str">
        <f t="shared" si="100"/>
        <v/>
      </c>
      <c r="AB315" t="str">
        <f>COUNTIFS(AC315:AC$596,AC315)&amp;AC315</f>
        <v>282</v>
      </c>
      <c r="AC315" t="str">
        <f t="shared" si="117"/>
        <v/>
      </c>
      <c r="AD315" t="str">
        <f>COUNTIFS(AC$2:AC315,AC315)&amp;AC315</f>
        <v>314</v>
      </c>
      <c r="AE315" t="str">
        <f t="shared" si="101"/>
        <v/>
      </c>
      <c r="AF315" t="str">
        <f t="shared" si="118"/>
        <v>..</v>
      </c>
      <c r="AG315" s="28" t="str">
        <f t="shared" si="120"/>
        <v/>
      </c>
      <c r="AH315" s="28" t="str">
        <f t="shared" si="103"/>
        <v/>
      </c>
      <c r="AI315" t="str">
        <f t="shared" si="104"/>
        <v/>
      </c>
      <c r="AJ315" t="str">
        <f t="shared" si="105"/>
        <v/>
      </c>
      <c r="AK315" t="str">
        <f t="shared" si="106"/>
        <v/>
      </c>
      <c r="AL315" t="str">
        <f t="shared" si="107"/>
        <v/>
      </c>
      <c r="AM315" t="str">
        <f t="shared" si="108"/>
        <v/>
      </c>
      <c r="AN315" t="str">
        <f t="shared" si="109"/>
        <v/>
      </c>
      <c r="AO315" t="str">
        <f t="shared" si="110"/>
        <v/>
      </c>
      <c r="AP315" t="str">
        <f t="shared" si="111"/>
        <v/>
      </c>
      <c r="AQ315" t="str">
        <f t="shared" si="112"/>
        <v/>
      </c>
      <c r="AR315" t="str">
        <f t="shared" si="113"/>
        <v/>
      </c>
      <c r="AS315" t="str">
        <f t="shared" si="114"/>
        <v/>
      </c>
      <c r="AT315" t="str">
        <f t="shared" si="115"/>
        <v/>
      </c>
      <c r="AU315" s="25" t="str">
        <f t="shared" si="119"/>
        <v/>
      </c>
      <c r="BA315">
        <f>'REGISTER SK'!F318</f>
        <v>0</v>
      </c>
    </row>
    <row r="316" spans="1:53" x14ac:dyDescent="0.35">
      <c r="A316" s="18">
        <v>315</v>
      </c>
      <c r="B316" s="36" t="s">
        <v>379</v>
      </c>
      <c r="C316" s="18" t="str">
        <f>IF(G316="","",IF(G316="Umum",G316,VLOOKUP(F316,'Data Induk Pegawai'!B:AE,4,FALSE)))</f>
        <v/>
      </c>
      <c r="D316" s="19" t="str">
        <f>IF('REGISTER SK'!A319="","",IF('REGISTER SK'!B319=0,D315,'REGISTER SK'!B319))</f>
        <v/>
      </c>
      <c r="E316" s="19" t="str">
        <f t="shared" si="116"/>
        <v/>
      </c>
      <c r="F316" s="29"/>
      <c r="G316" s="29"/>
      <c r="H316" s="31" t="str">
        <f>IF(F316="","",VLOOKUP(F316,'Data Induk Pegawai'!B:U,2,FALSE))</f>
        <v/>
      </c>
      <c r="I316" s="19" t="str">
        <f>IF('REGISTER SK'!C319="","",'REGISTER SK'!C319)</f>
        <v/>
      </c>
      <c r="J316" s="125"/>
      <c r="K316" s="125"/>
      <c r="L316" s="26" t="str">
        <f>IF('REGISTER SK'!D319="","",'REGISTER SK'!D319)</f>
        <v/>
      </c>
      <c r="M316" s="26" t="str">
        <f>IF('REGISTER SK'!E319="","",'REGISTER SK'!E319)</f>
        <v/>
      </c>
      <c r="N316" s="31" t="str">
        <f>IF(G316="","",IF(OR(G316="GTT",G316="PTT"),"--",VLOOKUP(F316,'Data Induk Pegawai'!B:AE,4,FALSE)))</f>
        <v/>
      </c>
      <c r="O316" s="18" t="s">
        <v>267</v>
      </c>
      <c r="P316" s="31" t="str">
        <f>IF(G316="","",VLOOKUP(F316,'Data Induk Pegawai'!B:AE,7,FALSE))</f>
        <v/>
      </c>
      <c r="Q316" s="30"/>
      <c r="R316" s="26" t="str">
        <f>IF(G316="","","Nomor "&amp;RIGHT(VLOOKUP(F316,'Data Induk Pegawai'!B:AE,12,FALSE),2)&amp;" Tahun "&amp;MID(VLOOKUP(F316,'Data Induk Pegawai'!B:AE,12,FALSE),5,4))</f>
        <v/>
      </c>
      <c r="S316" s="26" t="str">
        <f>IF(G316="","",VLOOKUP(F316,'Data Induk Pegawai'!B:AE,11,FALSE))</f>
        <v/>
      </c>
      <c r="T316" s="56"/>
      <c r="U316" s="18" t="str">
        <f t="shared" si="96"/>
        <v/>
      </c>
      <c r="V316" s="30"/>
      <c r="W316" s="18" t="str">
        <f t="shared" ref="W316:W342" si="121">V316&amp;H316</f>
        <v/>
      </c>
      <c r="X316" s="16"/>
      <c r="Y316" t="str">
        <f t="shared" si="98"/>
        <v/>
      </c>
      <c r="Z316" t="str">
        <f t="shared" si="99"/>
        <v/>
      </c>
      <c r="AA316" t="str">
        <f t="shared" si="100"/>
        <v/>
      </c>
      <c r="AB316" t="str">
        <f>COUNTIFS(AC316:AC$596,AC316)&amp;AC316</f>
        <v>281</v>
      </c>
      <c r="AC316" t="str">
        <f t="shared" si="117"/>
        <v/>
      </c>
      <c r="AD316" t="str">
        <f>COUNTIFS(AC$2:AC316,AC316)&amp;AC316</f>
        <v>315</v>
      </c>
      <c r="AE316" t="str">
        <f t="shared" si="101"/>
        <v/>
      </c>
      <c r="AF316" t="str">
        <f t="shared" si="118"/>
        <v>..</v>
      </c>
      <c r="AG316" s="28" t="str">
        <f t="shared" si="120"/>
        <v/>
      </c>
      <c r="AH316" s="28" t="str">
        <f t="shared" si="103"/>
        <v/>
      </c>
      <c r="AI316" t="str">
        <f t="shared" si="104"/>
        <v/>
      </c>
      <c r="AJ316" t="str">
        <f t="shared" si="105"/>
        <v/>
      </c>
      <c r="AK316" t="str">
        <f t="shared" si="106"/>
        <v/>
      </c>
      <c r="AL316" t="str">
        <f t="shared" si="107"/>
        <v/>
      </c>
      <c r="AM316" t="str">
        <f t="shared" si="108"/>
        <v/>
      </c>
      <c r="AN316" t="str">
        <f t="shared" si="109"/>
        <v/>
      </c>
      <c r="AO316" t="str">
        <f t="shared" si="110"/>
        <v/>
      </c>
      <c r="AP316" t="str">
        <f t="shared" si="111"/>
        <v/>
      </c>
      <c r="AQ316" t="str">
        <f t="shared" si="112"/>
        <v/>
      </c>
      <c r="AR316" t="str">
        <f t="shared" si="113"/>
        <v/>
      </c>
      <c r="AS316" t="str">
        <f t="shared" si="114"/>
        <v/>
      </c>
      <c r="AT316" t="str">
        <f t="shared" si="115"/>
        <v/>
      </c>
      <c r="AU316" s="25" t="str">
        <f t="shared" si="119"/>
        <v/>
      </c>
      <c r="BA316">
        <f>'REGISTER SK'!F319</f>
        <v>0</v>
      </c>
    </row>
    <row r="317" spans="1:53" x14ac:dyDescent="0.35">
      <c r="A317" s="18">
        <v>316</v>
      </c>
      <c r="B317" s="36" t="s">
        <v>379</v>
      </c>
      <c r="C317" s="18" t="str">
        <f>IF(G317="","",IF(G317="Umum",G317,VLOOKUP(F317,'Data Induk Pegawai'!B:AE,4,FALSE)))</f>
        <v/>
      </c>
      <c r="D317" s="19" t="str">
        <f>IF('REGISTER SK'!A320="","",IF('REGISTER SK'!B320=0,D316,'REGISTER SK'!B320))</f>
        <v/>
      </c>
      <c r="E317" s="19" t="str">
        <f t="shared" si="116"/>
        <v/>
      </c>
      <c r="F317" s="29"/>
      <c r="G317" s="29"/>
      <c r="H317" s="31" t="str">
        <f>IF(F317="","",VLOOKUP(F317,'Data Induk Pegawai'!B:U,2,FALSE))</f>
        <v/>
      </c>
      <c r="I317" s="19" t="str">
        <f>IF('REGISTER SK'!C320="","",'REGISTER SK'!C320)</f>
        <v/>
      </c>
      <c r="J317" s="125"/>
      <c r="K317" s="125"/>
      <c r="L317" s="26" t="str">
        <f>IF('REGISTER SK'!D320="","",'REGISTER SK'!D320)</f>
        <v/>
      </c>
      <c r="M317" s="26" t="str">
        <f>IF('REGISTER SK'!E320="","",'REGISTER SK'!E320)</f>
        <v/>
      </c>
      <c r="N317" s="31" t="str">
        <f>IF(G317="","",IF(OR(G317="GTT",G317="PTT"),"--",VLOOKUP(F317,'Data Induk Pegawai'!B:AE,4,FALSE)))</f>
        <v/>
      </c>
      <c r="O317" s="18" t="s">
        <v>275</v>
      </c>
      <c r="P317" s="31" t="str">
        <f>IF(G317="","",VLOOKUP(F317,'Data Induk Pegawai'!B:AE,7,FALSE))</f>
        <v/>
      </c>
      <c r="Q317" s="30"/>
      <c r="R317" s="26" t="str">
        <f>IF(G317="","","Nomor "&amp;RIGHT(VLOOKUP(F317,'Data Induk Pegawai'!B:AE,12,FALSE),2)&amp;" Tahun "&amp;MID(VLOOKUP(F317,'Data Induk Pegawai'!B:AE,12,FALSE),5,4))</f>
        <v/>
      </c>
      <c r="S317" s="26" t="str">
        <f>IF(G317="","",VLOOKUP(F317,'Data Induk Pegawai'!B:AE,11,FALSE))</f>
        <v/>
      </c>
      <c r="T317" s="56"/>
      <c r="U317" s="18" t="str">
        <f t="shared" si="96"/>
        <v/>
      </c>
      <c r="V317" s="30"/>
      <c r="W317" s="18" t="str">
        <f t="shared" si="121"/>
        <v/>
      </c>
      <c r="X317" s="16"/>
      <c r="Y317" t="str">
        <f t="shared" si="98"/>
        <v/>
      </c>
      <c r="Z317" t="str">
        <f t="shared" si="99"/>
        <v/>
      </c>
      <c r="AA317" t="str">
        <f t="shared" si="100"/>
        <v/>
      </c>
      <c r="AB317" t="str">
        <f>COUNTIFS(AC317:AC$596,AC317)&amp;AC317</f>
        <v>280</v>
      </c>
      <c r="AC317" t="str">
        <f t="shared" si="117"/>
        <v/>
      </c>
      <c r="AD317" t="str">
        <f>COUNTIFS(AC$2:AC317,AC317)&amp;AC317</f>
        <v>316</v>
      </c>
      <c r="AE317" t="str">
        <f t="shared" si="101"/>
        <v/>
      </c>
      <c r="AF317" t="str">
        <f t="shared" si="118"/>
        <v>..</v>
      </c>
      <c r="AG317" s="28" t="str">
        <f t="shared" si="120"/>
        <v/>
      </c>
      <c r="AH317" s="28" t="str">
        <f t="shared" si="103"/>
        <v/>
      </c>
      <c r="AI317" t="str">
        <f t="shared" si="104"/>
        <v/>
      </c>
      <c r="AJ317" t="str">
        <f t="shared" si="105"/>
        <v/>
      </c>
      <c r="AK317" t="str">
        <f t="shared" si="106"/>
        <v/>
      </c>
      <c r="AL317" t="str">
        <f t="shared" si="107"/>
        <v/>
      </c>
      <c r="AM317" t="str">
        <f t="shared" si="108"/>
        <v/>
      </c>
      <c r="AN317" t="str">
        <f t="shared" si="109"/>
        <v/>
      </c>
      <c r="AO317" t="str">
        <f t="shared" si="110"/>
        <v/>
      </c>
      <c r="AP317" t="str">
        <f t="shared" si="111"/>
        <v/>
      </c>
      <c r="AQ317" t="str">
        <f t="shared" si="112"/>
        <v/>
      </c>
      <c r="AR317" t="str">
        <f t="shared" si="113"/>
        <v/>
      </c>
      <c r="AS317" t="str">
        <f t="shared" si="114"/>
        <v/>
      </c>
      <c r="AT317" t="str">
        <f t="shared" si="115"/>
        <v/>
      </c>
      <c r="AU317" s="25" t="str">
        <f t="shared" si="119"/>
        <v/>
      </c>
      <c r="BA317">
        <f>'REGISTER SK'!F320</f>
        <v>0</v>
      </c>
    </row>
    <row r="318" spans="1:53" x14ac:dyDescent="0.35">
      <c r="A318" s="18">
        <v>317</v>
      </c>
      <c r="B318" s="36" t="s">
        <v>379</v>
      </c>
      <c r="C318" s="18" t="str">
        <f>IF(G318="","",IF(G318="Umum",G318,VLOOKUP(F318,'Data Induk Pegawai'!B:AE,4,FALSE)))</f>
        <v/>
      </c>
      <c r="D318" s="19" t="str">
        <f>IF('REGISTER SK'!A321="","",IF('REGISTER SK'!B321=0,D317,'REGISTER SK'!B321))</f>
        <v/>
      </c>
      <c r="E318" s="19" t="str">
        <f t="shared" si="116"/>
        <v/>
      </c>
      <c r="F318" s="29"/>
      <c r="G318" s="29"/>
      <c r="H318" s="31" t="str">
        <f>IF(F318="","",VLOOKUP(F318,'Data Induk Pegawai'!B:U,2,FALSE))</f>
        <v/>
      </c>
      <c r="I318" s="19" t="str">
        <f>IF('REGISTER SK'!C321="","",'REGISTER SK'!C321)</f>
        <v/>
      </c>
      <c r="J318" s="125"/>
      <c r="K318" s="125"/>
      <c r="L318" s="26" t="str">
        <f>IF('REGISTER SK'!D321="","",'REGISTER SK'!D321)</f>
        <v/>
      </c>
      <c r="M318" s="26" t="str">
        <f>IF('REGISTER SK'!E321="","",'REGISTER SK'!E321)</f>
        <v/>
      </c>
      <c r="N318" s="31" t="str">
        <f>IF(G318="","",IF(OR(G318="GTT",G318="PTT"),"--",VLOOKUP(F318,'Data Induk Pegawai'!B:AE,4,FALSE)))</f>
        <v/>
      </c>
      <c r="O318" s="18" t="s">
        <v>264</v>
      </c>
      <c r="P318" s="31" t="str">
        <f>IF(G318="","",VLOOKUP(F318,'Data Induk Pegawai'!B:AE,7,FALSE))</f>
        <v/>
      </c>
      <c r="Q318" s="30"/>
      <c r="R318" s="26" t="str">
        <f>IF(G318="","","Nomor "&amp;RIGHT(VLOOKUP(F318,'Data Induk Pegawai'!B:AE,12,FALSE),2)&amp;" Tahun "&amp;MID(VLOOKUP(F318,'Data Induk Pegawai'!B:AE,12,FALSE),5,4))</f>
        <v/>
      </c>
      <c r="S318" s="26" t="str">
        <f>IF(G318="","",VLOOKUP(F318,'Data Induk Pegawai'!B:AE,11,FALSE))</f>
        <v/>
      </c>
      <c r="T318" s="56"/>
      <c r="U318" s="18" t="str">
        <f t="shared" si="96"/>
        <v/>
      </c>
      <c r="V318" s="30"/>
      <c r="W318" s="18" t="str">
        <f t="shared" si="121"/>
        <v/>
      </c>
      <c r="X318" s="16"/>
      <c r="Y318" t="str">
        <f t="shared" si="98"/>
        <v/>
      </c>
      <c r="Z318" t="str">
        <f t="shared" si="99"/>
        <v/>
      </c>
      <c r="AA318" t="str">
        <f t="shared" si="100"/>
        <v/>
      </c>
      <c r="AB318" t="str">
        <f>COUNTIFS(AC318:AC$596,AC318)&amp;AC318</f>
        <v>279</v>
      </c>
      <c r="AC318" t="str">
        <f t="shared" si="117"/>
        <v/>
      </c>
      <c r="AD318" t="str">
        <f>COUNTIFS(AC$2:AC318,AC318)&amp;AC318</f>
        <v>317</v>
      </c>
      <c r="AE318" t="str">
        <f t="shared" si="101"/>
        <v/>
      </c>
      <c r="AF318" t="str">
        <f t="shared" si="118"/>
        <v>..</v>
      </c>
      <c r="AG318" s="28" t="str">
        <f t="shared" si="120"/>
        <v/>
      </c>
      <c r="AH318" s="28" t="str">
        <f t="shared" si="103"/>
        <v/>
      </c>
      <c r="AI318" t="str">
        <f t="shared" si="104"/>
        <v/>
      </c>
      <c r="AJ318" t="str">
        <f t="shared" si="105"/>
        <v/>
      </c>
      <c r="AK318" t="str">
        <f t="shared" si="106"/>
        <v/>
      </c>
      <c r="AL318" t="str">
        <f t="shared" si="107"/>
        <v/>
      </c>
      <c r="AM318" t="str">
        <f t="shared" si="108"/>
        <v/>
      </c>
      <c r="AN318" t="str">
        <f t="shared" si="109"/>
        <v/>
      </c>
      <c r="AO318" t="str">
        <f t="shared" si="110"/>
        <v/>
      </c>
      <c r="AP318" t="str">
        <f t="shared" si="111"/>
        <v/>
      </c>
      <c r="AQ318" t="str">
        <f t="shared" si="112"/>
        <v/>
      </c>
      <c r="AR318" t="str">
        <f t="shared" si="113"/>
        <v/>
      </c>
      <c r="AS318" t="str">
        <f t="shared" si="114"/>
        <v/>
      </c>
      <c r="AT318" t="str">
        <f t="shared" si="115"/>
        <v/>
      </c>
      <c r="AU318" s="25" t="str">
        <f t="shared" si="119"/>
        <v/>
      </c>
      <c r="BA318">
        <f>'REGISTER SK'!F321</f>
        <v>0</v>
      </c>
    </row>
    <row r="319" spans="1:53" x14ac:dyDescent="0.35">
      <c r="A319" s="18">
        <v>318</v>
      </c>
      <c r="B319" s="36" t="s">
        <v>379</v>
      </c>
      <c r="C319" s="18" t="str">
        <f>IF(G319="","",IF(G319="Umum",G319,VLOOKUP(F319,'Data Induk Pegawai'!B:AE,4,FALSE)))</f>
        <v/>
      </c>
      <c r="D319" s="19" t="str">
        <f>IF('REGISTER SK'!A322="","",IF('REGISTER SK'!B322=0,D318,'REGISTER SK'!B322))</f>
        <v/>
      </c>
      <c r="E319" s="19" t="str">
        <f t="shared" si="116"/>
        <v/>
      </c>
      <c r="F319" s="29"/>
      <c r="G319" s="29"/>
      <c r="H319" s="31" t="str">
        <f>IF(F319="","",VLOOKUP(F319,'Data Induk Pegawai'!B:U,2,FALSE))</f>
        <v/>
      </c>
      <c r="I319" s="19" t="str">
        <f>IF('REGISTER SK'!C322="","",'REGISTER SK'!C322)</f>
        <v/>
      </c>
      <c r="J319" s="125"/>
      <c r="K319" s="125"/>
      <c r="L319" s="26" t="str">
        <f>IF('REGISTER SK'!D322="","",'REGISTER SK'!D322)</f>
        <v/>
      </c>
      <c r="M319" s="26" t="str">
        <f>IF('REGISTER SK'!E322="","",'REGISTER SK'!E322)</f>
        <v/>
      </c>
      <c r="N319" s="31" t="str">
        <f>IF(G319="","",IF(OR(G319="GTT",G319="PTT"),"--",VLOOKUP(F319,'Data Induk Pegawai'!B:AE,4,FALSE)))</f>
        <v/>
      </c>
      <c r="O319" s="18" t="s">
        <v>273</v>
      </c>
      <c r="P319" s="31" t="str">
        <f>IF(G319="","",VLOOKUP(F319,'Data Induk Pegawai'!B:AE,7,FALSE))</f>
        <v/>
      </c>
      <c r="Q319" s="30"/>
      <c r="R319" s="26" t="str">
        <f>IF(G319="","","Nomor "&amp;RIGHT(VLOOKUP(F319,'Data Induk Pegawai'!B:AE,12,FALSE),2)&amp;" Tahun "&amp;MID(VLOOKUP(F319,'Data Induk Pegawai'!B:AE,12,FALSE),5,4))</f>
        <v/>
      </c>
      <c r="S319" s="26" t="str">
        <f>IF(G319="","",VLOOKUP(F319,'Data Induk Pegawai'!B:AE,11,FALSE))</f>
        <v/>
      </c>
      <c r="T319" s="56"/>
      <c r="U319" s="18" t="str">
        <f t="shared" si="96"/>
        <v/>
      </c>
      <c r="V319" s="30"/>
      <c r="W319" s="18" t="str">
        <f t="shared" si="121"/>
        <v/>
      </c>
      <c r="X319" s="16"/>
      <c r="Y319" t="str">
        <f t="shared" si="98"/>
        <v/>
      </c>
      <c r="Z319" t="str">
        <f t="shared" si="99"/>
        <v/>
      </c>
      <c r="AA319" t="str">
        <f t="shared" si="100"/>
        <v/>
      </c>
      <c r="AB319" t="str">
        <f>COUNTIFS(AC319:AC$596,AC319)&amp;AC319</f>
        <v>278</v>
      </c>
      <c r="AC319" t="str">
        <f t="shared" si="117"/>
        <v/>
      </c>
      <c r="AD319" t="str">
        <f>COUNTIFS(AC$2:AC319,AC319)&amp;AC319</f>
        <v>318</v>
      </c>
      <c r="AE319" t="str">
        <f t="shared" si="101"/>
        <v/>
      </c>
      <c r="AF319" t="str">
        <f t="shared" si="118"/>
        <v>..</v>
      </c>
      <c r="AG319" s="28" t="str">
        <f t="shared" si="120"/>
        <v/>
      </c>
      <c r="AH319" s="28" t="str">
        <f t="shared" si="103"/>
        <v/>
      </c>
      <c r="AI319" t="str">
        <f t="shared" si="104"/>
        <v/>
      </c>
      <c r="AJ319" t="str">
        <f t="shared" si="105"/>
        <v/>
      </c>
      <c r="AK319" t="str">
        <f t="shared" si="106"/>
        <v/>
      </c>
      <c r="AL319" t="str">
        <f t="shared" si="107"/>
        <v/>
      </c>
      <c r="AM319" t="str">
        <f t="shared" si="108"/>
        <v/>
      </c>
      <c r="AN319" t="str">
        <f t="shared" si="109"/>
        <v/>
      </c>
      <c r="AO319" t="str">
        <f t="shared" si="110"/>
        <v/>
      </c>
      <c r="AP319" t="str">
        <f t="shared" si="111"/>
        <v/>
      </c>
      <c r="AQ319" t="str">
        <f t="shared" si="112"/>
        <v/>
      </c>
      <c r="AR319" t="str">
        <f t="shared" si="113"/>
        <v/>
      </c>
      <c r="AS319" t="str">
        <f t="shared" si="114"/>
        <v/>
      </c>
      <c r="AT319" t="str">
        <f t="shared" si="115"/>
        <v/>
      </c>
      <c r="AU319" s="25" t="str">
        <f t="shared" si="119"/>
        <v/>
      </c>
      <c r="BA319">
        <f>'REGISTER SK'!F322</f>
        <v>0</v>
      </c>
    </row>
    <row r="320" spans="1:53" x14ac:dyDescent="0.35">
      <c r="A320" s="18">
        <v>319</v>
      </c>
      <c r="B320" s="36" t="s">
        <v>379</v>
      </c>
      <c r="C320" s="18" t="str">
        <f>IF(G320="","",IF(G320="Umum",G320,VLOOKUP(F320,'Data Induk Pegawai'!B:AE,4,FALSE)))</f>
        <v/>
      </c>
      <c r="D320" s="19" t="str">
        <f>IF('REGISTER SK'!A323="","",IF('REGISTER SK'!B323=0,D319,'REGISTER SK'!B323))</f>
        <v/>
      </c>
      <c r="E320" s="19" t="str">
        <f t="shared" si="116"/>
        <v/>
      </c>
      <c r="F320" s="29"/>
      <c r="G320" s="29"/>
      <c r="H320" s="31" t="str">
        <f>IF(F320="","",VLOOKUP(F320,'Data Induk Pegawai'!B:U,2,FALSE))</f>
        <v/>
      </c>
      <c r="I320" s="19" t="str">
        <f>IF('REGISTER SK'!C323="","",'REGISTER SK'!C323)</f>
        <v/>
      </c>
      <c r="J320" s="125"/>
      <c r="K320" s="125"/>
      <c r="L320" s="26" t="str">
        <f>IF('REGISTER SK'!D323="","",'REGISTER SK'!D323)</f>
        <v/>
      </c>
      <c r="M320" s="26" t="str">
        <f>IF('REGISTER SK'!E323="","",'REGISTER SK'!E323)</f>
        <v/>
      </c>
      <c r="N320" s="31" t="str">
        <f>IF(G320="","",IF(OR(G320="GTT",G320="PTT"),"--",VLOOKUP(F320,'Data Induk Pegawai'!B:AE,4,FALSE)))</f>
        <v/>
      </c>
      <c r="O320" s="18" t="s">
        <v>500</v>
      </c>
      <c r="P320" s="31" t="str">
        <f>IF(G320="","",VLOOKUP(F320,'Data Induk Pegawai'!B:AE,7,FALSE))</f>
        <v/>
      </c>
      <c r="Q320" s="30"/>
      <c r="R320" s="26" t="str">
        <f>IF(G320="","","Nomor "&amp;RIGHT(VLOOKUP(F320,'Data Induk Pegawai'!B:AE,12,FALSE),2)&amp;" Tahun "&amp;MID(VLOOKUP(F320,'Data Induk Pegawai'!B:AE,12,FALSE),5,4))</f>
        <v/>
      </c>
      <c r="S320" s="26" t="str">
        <f>IF(G320="","",VLOOKUP(F320,'Data Induk Pegawai'!B:AE,11,FALSE))</f>
        <v/>
      </c>
      <c r="T320" s="56"/>
      <c r="U320" s="18" t="str">
        <f t="shared" si="96"/>
        <v/>
      </c>
      <c r="V320" s="30"/>
      <c r="W320" s="18" t="str">
        <f t="shared" si="121"/>
        <v/>
      </c>
      <c r="X320" s="16"/>
      <c r="Y320" t="str">
        <f t="shared" si="98"/>
        <v/>
      </c>
      <c r="Z320" t="str">
        <f t="shared" si="99"/>
        <v/>
      </c>
      <c r="AA320" t="str">
        <f t="shared" si="100"/>
        <v/>
      </c>
      <c r="AB320" t="str">
        <f>COUNTIFS(AC320:AC$596,AC320)&amp;AC320</f>
        <v>277</v>
      </c>
      <c r="AC320" t="str">
        <f t="shared" si="117"/>
        <v/>
      </c>
      <c r="AD320" t="str">
        <f>COUNTIFS(AC$2:AC320,AC320)&amp;AC320</f>
        <v>319</v>
      </c>
      <c r="AE320" t="str">
        <f t="shared" si="101"/>
        <v/>
      </c>
      <c r="AF320" t="str">
        <f t="shared" si="118"/>
        <v>..</v>
      </c>
      <c r="AG320" s="28" t="str">
        <f t="shared" si="120"/>
        <v/>
      </c>
      <c r="AH320" s="28" t="str">
        <f t="shared" si="103"/>
        <v/>
      </c>
      <c r="AI320" t="str">
        <f t="shared" si="104"/>
        <v/>
      </c>
      <c r="AJ320" t="str">
        <f t="shared" si="105"/>
        <v/>
      </c>
      <c r="AK320" t="str">
        <f t="shared" si="106"/>
        <v/>
      </c>
      <c r="AL320" t="str">
        <f t="shared" si="107"/>
        <v/>
      </c>
      <c r="AM320" t="str">
        <f t="shared" si="108"/>
        <v/>
      </c>
      <c r="AN320" t="str">
        <f t="shared" si="109"/>
        <v/>
      </c>
      <c r="AO320" t="str">
        <f t="shared" si="110"/>
        <v/>
      </c>
      <c r="AP320" t="str">
        <f t="shared" si="111"/>
        <v/>
      </c>
      <c r="AQ320" t="str">
        <f t="shared" si="112"/>
        <v/>
      </c>
      <c r="AR320" t="str">
        <f t="shared" si="113"/>
        <v/>
      </c>
      <c r="AS320" t="str">
        <f t="shared" si="114"/>
        <v/>
      </c>
      <c r="AT320" t="str">
        <f t="shared" si="115"/>
        <v/>
      </c>
      <c r="AU320" s="25" t="str">
        <f t="shared" si="119"/>
        <v/>
      </c>
      <c r="BA320">
        <f>'REGISTER SK'!F323</f>
        <v>0</v>
      </c>
    </row>
    <row r="321" spans="1:53" x14ac:dyDescent="0.35">
      <c r="A321" s="18">
        <v>320</v>
      </c>
      <c r="B321" s="36" t="s">
        <v>379</v>
      </c>
      <c r="C321" s="18" t="str">
        <f>IF(G321="","",IF(G321="Umum",G321,VLOOKUP(F321,'Data Induk Pegawai'!B:AE,4,FALSE)))</f>
        <v/>
      </c>
      <c r="D321" s="19" t="str">
        <f>IF('REGISTER SK'!A324="","",IF('REGISTER SK'!B324=0,D320,'REGISTER SK'!B324))</f>
        <v/>
      </c>
      <c r="E321" s="19" t="str">
        <f t="shared" si="116"/>
        <v/>
      </c>
      <c r="F321" s="29"/>
      <c r="G321" s="29"/>
      <c r="H321" s="31" t="str">
        <f>IF(F321="","",VLOOKUP(F321,'Data Induk Pegawai'!B:U,2,FALSE))</f>
        <v/>
      </c>
      <c r="I321" s="19" t="str">
        <f>IF('REGISTER SK'!C324="","",'REGISTER SK'!C324)</f>
        <v/>
      </c>
      <c r="J321" s="125"/>
      <c r="K321" s="125"/>
      <c r="L321" s="26" t="str">
        <f>IF('REGISTER SK'!D324="","",'REGISTER SK'!D324)</f>
        <v/>
      </c>
      <c r="M321" s="26" t="str">
        <f>IF('REGISTER SK'!E324="","",'REGISTER SK'!E324)</f>
        <v/>
      </c>
      <c r="N321" s="31" t="str">
        <f>IF(G321="","",IF(OR(G321="GTT",G321="PTT"),"--",VLOOKUP(F321,'Data Induk Pegawai'!B:AE,4,FALSE)))</f>
        <v/>
      </c>
      <c r="O321" s="18" t="s">
        <v>277</v>
      </c>
      <c r="P321" s="31" t="str">
        <f>IF(G321="","",VLOOKUP(F321,'Data Induk Pegawai'!B:AE,7,FALSE))</f>
        <v/>
      </c>
      <c r="Q321" s="30"/>
      <c r="R321" s="26" t="str">
        <f>IF(G321="","","Nomor "&amp;RIGHT(VLOOKUP(F321,'Data Induk Pegawai'!B:AE,12,FALSE),2)&amp;" Tahun "&amp;MID(VLOOKUP(F321,'Data Induk Pegawai'!B:AE,12,FALSE),5,4))</f>
        <v/>
      </c>
      <c r="S321" s="26" t="str">
        <f>IF(G321="","",VLOOKUP(F321,'Data Induk Pegawai'!B:AE,11,FALSE))</f>
        <v/>
      </c>
      <c r="T321" s="56"/>
      <c r="U321" s="18" t="str">
        <f t="shared" si="96"/>
        <v/>
      </c>
      <c r="V321" s="30"/>
      <c r="W321" s="18" t="str">
        <f t="shared" si="121"/>
        <v/>
      </c>
      <c r="X321" s="16"/>
      <c r="Y321" t="str">
        <f t="shared" si="98"/>
        <v/>
      </c>
      <c r="Z321" t="str">
        <f t="shared" si="99"/>
        <v/>
      </c>
      <c r="AA321" t="str">
        <f t="shared" si="100"/>
        <v/>
      </c>
      <c r="AB321" t="str">
        <f>COUNTIFS(AC321:AC$596,AC321)&amp;AC321</f>
        <v>276</v>
      </c>
      <c r="AC321" t="str">
        <f t="shared" si="117"/>
        <v/>
      </c>
      <c r="AD321" t="str">
        <f>COUNTIFS(AC$2:AC321,AC321)&amp;AC321</f>
        <v>320</v>
      </c>
      <c r="AE321" t="str">
        <f t="shared" si="101"/>
        <v/>
      </c>
      <c r="AF321" t="str">
        <f t="shared" si="118"/>
        <v>..</v>
      </c>
      <c r="AG321" s="28" t="str">
        <f t="shared" si="120"/>
        <v/>
      </c>
      <c r="AH321" s="28" t="str">
        <f t="shared" si="103"/>
        <v/>
      </c>
      <c r="AI321" t="str">
        <f t="shared" si="104"/>
        <v/>
      </c>
      <c r="AJ321" t="str">
        <f t="shared" si="105"/>
        <v/>
      </c>
      <c r="AK321" t="str">
        <f t="shared" si="106"/>
        <v/>
      </c>
      <c r="AL321" t="str">
        <f t="shared" si="107"/>
        <v/>
      </c>
      <c r="AM321" t="str">
        <f t="shared" si="108"/>
        <v/>
      </c>
      <c r="AN321" t="str">
        <f t="shared" si="109"/>
        <v/>
      </c>
      <c r="AO321" t="str">
        <f t="shared" si="110"/>
        <v/>
      </c>
      <c r="AP321" t="str">
        <f t="shared" si="111"/>
        <v/>
      </c>
      <c r="AQ321" t="str">
        <f t="shared" si="112"/>
        <v/>
      </c>
      <c r="AR321" t="str">
        <f t="shared" si="113"/>
        <v/>
      </c>
      <c r="AS321" t="str">
        <f t="shared" si="114"/>
        <v/>
      </c>
      <c r="AT321" t="str">
        <f t="shared" si="115"/>
        <v/>
      </c>
      <c r="AU321" s="25" t="str">
        <f t="shared" si="119"/>
        <v/>
      </c>
      <c r="BA321">
        <f>'REGISTER SK'!F324</f>
        <v>0</v>
      </c>
    </row>
    <row r="322" spans="1:53" x14ac:dyDescent="0.35">
      <c r="A322" s="18">
        <v>321</v>
      </c>
      <c r="B322" s="36" t="s">
        <v>379</v>
      </c>
      <c r="C322" s="18" t="str">
        <f>IF(G322="","",IF(G322="Umum",G322,VLOOKUP(F322,'Data Induk Pegawai'!B:AE,4,FALSE)))</f>
        <v/>
      </c>
      <c r="D322" s="19" t="str">
        <f>IF('REGISTER SK'!A325="","",IF('REGISTER SK'!B325=0,D321,'REGISTER SK'!B325))</f>
        <v/>
      </c>
      <c r="E322" s="19" t="str">
        <f t="shared" si="116"/>
        <v/>
      </c>
      <c r="F322" s="29"/>
      <c r="G322" s="29"/>
      <c r="H322" s="31" t="str">
        <f>IF(F322="","",VLOOKUP(F322,'Data Induk Pegawai'!B:U,2,FALSE))</f>
        <v/>
      </c>
      <c r="I322" s="19" t="str">
        <f>IF('REGISTER SK'!C325="","",'REGISTER SK'!C325)</f>
        <v/>
      </c>
      <c r="J322" s="125"/>
      <c r="K322" s="125"/>
      <c r="L322" s="26" t="str">
        <f>IF('REGISTER SK'!D325="","",'REGISTER SK'!D325)</f>
        <v/>
      </c>
      <c r="M322" s="26" t="str">
        <f>IF('REGISTER SK'!E325="","",'REGISTER SK'!E325)</f>
        <v/>
      </c>
      <c r="N322" s="31" t="str">
        <f>IF(G322="","",IF(OR(G322="GTT",G322="PTT"),"--",VLOOKUP(F322,'Data Induk Pegawai'!B:AE,4,FALSE)))</f>
        <v/>
      </c>
      <c r="O322" s="18" t="s">
        <v>284</v>
      </c>
      <c r="P322" s="31" t="str">
        <f>IF(G322="","",VLOOKUP(F322,'Data Induk Pegawai'!B:AE,7,FALSE))</f>
        <v/>
      </c>
      <c r="Q322" s="30"/>
      <c r="R322" s="26" t="str">
        <f>IF(G322="","","Nomor "&amp;RIGHT(VLOOKUP(F322,'Data Induk Pegawai'!B:AE,12,FALSE),2)&amp;" Tahun "&amp;MID(VLOOKUP(F322,'Data Induk Pegawai'!B:AE,12,FALSE),5,4))</f>
        <v/>
      </c>
      <c r="S322" s="26" t="str">
        <f>IF(G322="","",VLOOKUP(F322,'Data Induk Pegawai'!B:AE,11,FALSE))</f>
        <v/>
      </c>
      <c r="T322" s="56"/>
      <c r="U322" s="18" t="str">
        <f t="shared" ref="U322:U385" si="122">IF(Y322="","",IF(Z322&lt;1,AA322&amp;" Bulan",IF(AND(Z322&gt;0,AA322=0),Z322&amp;" Tahun",Z322&amp;" Tahun "&amp;AA322&amp;" Bulan")))</f>
        <v/>
      </c>
      <c r="V322" s="30"/>
      <c r="W322" s="18" t="str">
        <f t="shared" si="121"/>
        <v/>
      </c>
      <c r="X322" s="16"/>
      <c r="Y322" t="str">
        <f t="shared" ref="Y322:Y385" si="123">IFERROR(IF(S322="","",DATEDIF(S322,M322,"M")),"?")</f>
        <v/>
      </c>
      <c r="Z322" t="str">
        <f t="shared" ref="Z322:Z385" si="124">IFERROR(IF(Y322="","",ROUNDDOWN(Y322/12,0)),"-")</f>
        <v/>
      </c>
      <c r="AA322" t="str">
        <f t="shared" ref="AA322:AA385" si="125">IFERROR(IF(Y322="","",Y322-Z322*12),"-")</f>
        <v/>
      </c>
      <c r="AB322" t="str">
        <f>COUNTIFS(AC322:AC$596,AC322)&amp;AC322</f>
        <v>275</v>
      </c>
      <c r="AC322" t="str">
        <f t="shared" si="117"/>
        <v/>
      </c>
      <c r="AD322" t="str">
        <f>COUNTIFS(AC$2:AC322,AC322)&amp;AC322</f>
        <v>321</v>
      </c>
      <c r="AE322" t="str">
        <f t="shared" ref="AE322:AE385" si="126">IF(LEFT(V322,16)="SK Pemberhentian",E322&amp;"OUT"&amp;F322,E322&amp;G322&amp;F322)</f>
        <v/>
      </c>
      <c r="AF322" t="str">
        <f t="shared" si="118"/>
        <v>..</v>
      </c>
      <c r="AG322" s="28" t="str">
        <f t="shared" ref="AG322:AG353" si="127">L322</f>
        <v/>
      </c>
      <c r="AH322" s="28" t="str">
        <f t="shared" ref="AH322:AH385" si="128">M322</f>
        <v/>
      </c>
      <c r="AI322" t="str">
        <f t="shared" ref="AI322:AI385" si="129">IF(AG322="","",AJ322&amp;" "&amp;VLOOKUP(AK322,AX:AY,2,FALSE)&amp;" "&amp;AL322)</f>
        <v/>
      </c>
      <c r="AJ322" t="str">
        <f t="shared" ref="AJ322:AJ385" si="130">TEXT(AG322,"D")</f>
        <v/>
      </c>
      <c r="AK322" t="str">
        <f t="shared" ref="AK322:AK385" si="131">TEXT(AG322,"MMMM")</f>
        <v/>
      </c>
      <c r="AL322" t="str">
        <f t="shared" ref="AL322:AL385" si="132">TEXT(AG322,"YYYY")</f>
        <v/>
      </c>
      <c r="AM322" t="str">
        <f t="shared" ref="AM322:AM385" si="133">IF(AI322="","",AN322&amp;" "&amp;VLOOKUP(AO322,AX:AY,2,FALSE)&amp;" "&amp;AP322)</f>
        <v/>
      </c>
      <c r="AN322" t="str">
        <f t="shared" ref="AN322:AN385" si="134">TEXT(S322,"D")</f>
        <v/>
      </c>
      <c r="AO322" t="str">
        <f t="shared" ref="AO322:AO385" si="135">TEXT(S322,"MMMM")</f>
        <v/>
      </c>
      <c r="AP322" t="str">
        <f t="shared" ref="AP322:AP385" si="136">TEXT(S322,"YYYY")</f>
        <v/>
      </c>
      <c r="AQ322" t="str">
        <f t="shared" ref="AQ322:AQ385" si="137">IF(AM322="","",AR322&amp;" "&amp;VLOOKUP(AS322,AX:AY,2,FALSE)&amp;" "&amp;AT322)</f>
        <v/>
      </c>
      <c r="AR322" t="str">
        <f t="shared" ref="AR322:AR385" si="138">TEXT(M322,"D")</f>
        <v/>
      </c>
      <c r="AS322" t="str">
        <f t="shared" ref="AS322:AS385" si="139">TEXT(M322,"MMMM")</f>
        <v/>
      </c>
      <c r="AT322" t="str">
        <f t="shared" ref="AT322:AT385" si="140">TEXT(M322,"YYYY")</f>
        <v/>
      </c>
      <c r="AU322" s="25" t="str">
        <f t="shared" si="119"/>
        <v/>
      </c>
      <c r="BA322">
        <f>'REGISTER SK'!F325</f>
        <v>0</v>
      </c>
    </row>
    <row r="323" spans="1:53" x14ac:dyDescent="0.35">
      <c r="A323" s="18">
        <v>322</v>
      </c>
      <c r="B323" s="36" t="s">
        <v>379</v>
      </c>
      <c r="C323" s="18" t="str">
        <f>IF(G323="","",IF(G323="Umum",G323,VLOOKUP(F323,'Data Induk Pegawai'!B:AE,4,FALSE)))</f>
        <v/>
      </c>
      <c r="D323" s="19" t="str">
        <f>IF('REGISTER SK'!A326="","",IF('REGISTER SK'!B326=0,D322,'REGISTER SK'!B326))</f>
        <v/>
      </c>
      <c r="E323" s="19" t="str">
        <f t="shared" ref="E323:E386" si="141">IF(D323="","",D323&amp;"/"&amp;D323+1)</f>
        <v/>
      </c>
      <c r="F323" s="29"/>
      <c r="G323" s="29"/>
      <c r="H323" s="31" t="str">
        <f>IF(F323="","",VLOOKUP(F323,'Data Induk Pegawai'!B:U,2,FALSE))</f>
        <v/>
      </c>
      <c r="I323" s="19" t="str">
        <f>IF('REGISTER SK'!C326="","",'REGISTER SK'!C326)</f>
        <v/>
      </c>
      <c r="J323" s="125"/>
      <c r="K323" s="125"/>
      <c r="L323" s="26" t="str">
        <f>IF('REGISTER SK'!D326="","",'REGISTER SK'!D326)</f>
        <v/>
      </c>
      <c r="M323" s="26" t="str">
        <f>IF('REGISTER SK'!E326="","",'REGISTER SK'!E326)</f>
        <v/>
      </c>
      <c r="N323" s="31" t="str">
        <f>IF(G323="","",IF(OR(G323="GTT",G323="PTT"),"--",VLOOKUP(F323,'Data Induk Pegawai'!B:AE,4,FALSE)))</f>
        <v/>
      </c>
      <c r="O323" s="18" t="s">
        <v>285</v>
      </c>
      <c r="P323" s="31" t="str">
        <f>IF(G323="","",VLOOKUP(F323,'Data Induk Pegawai'!B:AE,7,FALSE))</f>
        <v/>
      </c>
      <c r="Q323" s="30"/>
      <c r="R323" s="26" t="str">
        <f>IF(G323="","","Nomor "&amp;RIGHT(VLOOKUP(F323,'Data Induk Pegawai'!B:AE,12,FALSE),2)&amp;" Tahun "&amp;MID(VLOOKUP(F323,'Data Induk Pegawai'!B:AE,12,FALSE),5,4))</f>
        <v/>
      </c>
      <c r="S323" s="26" t="str">
        <f>IF(G323="","",VLOOKUP(F323,'Data Induk Pegawai'!B:AE,11,FALSE))</f>
        <v/>
      </c>
      <c r="T323" s="56"/>
      <c r="U323" s="18" t="str">
        <f t="shared" si="122"/>
        <v/>
      </c>
      <c r="V323" s="30"/>
      <c r="W323" s="18" t="str">
        <f t="shared" si="121"/>
        <v/>
      </c>
      <c r="X323" s="16"/>
      <c r="Y323" t="str">
        <f t="shared" si="123"/>
        <v/>
      </c>
      <c r="Z323" t="str">
        <f t="shared" si="124"/>
        <v/>
      </c>
      <c r="AA323" t="str">
        <f t="shared" si="125"/>
        <v/>
      </c>
      <c r="AB323" t="str">
        <f>COUNTIFS(AC323:AC$596,AC323)&amp;AC323</f>
        <v>274</v>
      </c>
      <c r="AC323" t="str">
        <f t="shared" ref="AC323:AC386" si="142">IF(LEFT(V323,16)="SK Pemberhentian","OUT"&amp;F323,IF(RIGHT(G323,2)="TT","GPTT",IF(RIGHT(G323,2)="TY","GPTY",G323))&amp;F323)</f>
        <v/>
      </c>
      <c r="AD323" t="str">
        <f>COUNTIFS(AC$2:AC323,AC323)&amp;AC323</f>
        <v>322</v>
      </c>
      <c r="AE323" t="str">
        <f t="shared" si="126"/>
        <v/>
      </c>
      <c r="AF323" t="str">
        <f t="shared" ref="AF323:AF386" si="143">G323&amp;"."&amp;D323&amp;"."&amp;I323</f>
        <v>..</v>
      </c>
      <c r="AG323" s="28" t="str">
        <f t="shared" si="127"/>
        <v/>
      </c>
      <c r="AH323" s="28" t="str">
        <f t="shared" si="128"/>
        <v/>
      </c>
      <c r="AI323" t="str">
        <f t="shared" si="129"/>
        <v/>
      </c>
      <c r="AJ323" t="str">
        <f t="shared" si="130"/>
        <v/>
      </c>
      <c r="AK323" t="str">
        <f t="shared" si="131"/>
        <v/>
      </c>
      <c r="AL323" t="str">
        <f t="shared" si="132"/>
        <v/>
      </c>
      <c r="AM323" t="str">
        <f t="shared" si="133"/>
        <v/>
      </c>
      <c r="AN323" t="str">
        <f t="shared" si="134"/>
        <v/>
      </c>
      <c r="AO323" t="str">
        <f t="shared" si="135"/>
        <v/>
      </c>
      <c r="AP323" t="str">
        <f t="shared" si="136"/>
        <v/>
      </c>
      <c r="AQ323" t="str">
        <f t="shared" si="137"/>
        <v/>
      </c>
      <c r="AR323" t="str">
        <f t="shared" si="138"/>
        <v/>
      </c>
      <c r="AS323" t="str">
        <f t="shared" si="139"/>
        <v/>
      </c>
      <c r="AT323" t="str">
        <f t="shared" si="140"/>
        <v/>
      </c>
      <c r="AU323" s="25" t="str">
        <f t="shared" ref="AU323:AU386" si="144">IF(OR(G323="Umum",G323=""),"",VLOOKUP(VALUE(TEXT(M323,"M")-1),AW:AY,3,FALSE))</f>
        <v/>
      </c>
      <c r="BA323">
        <f>'REGISTER SK'!F326</f>
        <v>0</v>
      </c>
    </row>
    <row r="324" spans="1:53" x14ac:dyDescent="0.35">
      <c r="A324" s="18">
        <v>323</v>
      </c>
      <c r="B324" s="36" t="s">
        <v>379</v>
      </c>
      <c r="C324" s="18" t="str">
        <f>IF(G324="","",IF(G324="Umum",G324,VLOOKUP(F324,'Data Induk Pegawai'!B:AE,4,FALSE)))</f>
        <v/>
      </c>
      <c r="D324" s="19" t="str">
        <f>IF('REGISTER SK'!A327="","",IF('REGISTER SK'!B327=0,D323,'REGISTER SK'!B327))</f>
        <v/>
      </c>
      <c r="E324" s="19" t="str">
        <f t="shared" si="141"/>
        <v/>
      </c>
      <c r="F324" s="29"/>
      <c r="G324" s="29"/>
      <c r="H324" s="31" t="str">
        <f>IF(F324="","",VLOOKUP(F324,'Data Induk Pegawai'!B:U,2,FALSE))</f>
        <v/>
      </c>
      <c r="I324" s="19" t="str">
        <f>IF('REGISTER SK'!C327="","",'REGISTER SK'!C327)</f>
        <v/>
      </c>
      <c r="J324" s="125"/>
      <c r="K324" s="125"/>
      <c r="L324" s="26" t="str">
        <f>IF('REGISTER SK'!D327="","",'REGISTER SK'!D327)</f>
        <v/>
      </c>
      <c r="M324" s="26" t="str">
        <f>IF('REGISTER SK'!E327="","",'REGISTER SK'!E327)</f>
        <v/>
      </c>
      <c r="N324" s="31" t="str">
        <f>IF(G324="","",IF(OR(G324="GTT",G324="PTT"),"--",VLOOKUP(F324,'Data Induk Pegawai'!B:AE,4,FALSE)))</f>
        <v/>
      </c>
      <c r="O324" s="18" t="s">
        <v>286</v>
      </c>
      <c r="P324" s="31" t="str">
        <f>IF(G324="","",VLOOKUP(F324,'Data Induk Pegawai'!B:AE,7,FALSE))</f>
        <v/>
      </c>
      <c r="Q324" s="30"/>
      <c r="R324" s="26" t="str">
        <f>IF(G324="","","Nomor "&amp;RIGHT(VLOOKUP(F324,'Data Induk Pegawai'!B:AE,12,FALSE),2)&amp;" Tahun "&amp;MID(VLOOKUP(F324,'Data Induk Pegawai'!B:AE,12,FALSE),5,4))</f>
        <v/>
      </c>
      <c r="S324" s="26" t="str">
        <f>IF(G324="","",VLOOKUP(F324,'Data Induk Pegawai'!B:AE,11,FALSE))</f>
        <v/>
      </c>
      <c r="T324" s="56"/>
      <c r="U324" s="18" t="str">
        <f t="shared" si="122"/>
        <v/>
      </c>
      <c r="V324" s="30"/>
      <c r="W324" s="18" t="str">
        <f t="shared" si="121"/>
        <v/>
      </c>
      <c r="X324" s="16"/>
      <c r="Y324" t="str">
        <f t="shared" si="123"/>
        <v/>
      </c>
      <c r="Z324" t="str">
        <f t="shared" si="124"/>
        <v/>
      </c>
      <c r="AA324" t="str">
        <f t="shared" si="125"/>
        <v/>
      </c>
      <c r="AB324" t="str">
        <f>COUNTIFS(AC324:AC$596,AC324)&amp;AC324</f>
        <v>273</v>
      </c>
      <c r="AC324" t="str">
        <f t="shared" si="142"/>
        <v/>
      </c>
      <c r="AD324" t="str">
        <f>COUNTIFS(AC$2:AC324,AC324)&amp;AC324</f>
        <v>323</v>
      </c>
      <c r="AE324" t="str">
        <f t="shared" si="126"/>
        <v/>
      </c>
      <c r="AF324" t="str">
        <f t="shared" si="143"/>
        <v>..</v>
      </c>
      <c r="AG324" s="28" t="str">
        <f t="shared" si="127"/>
        <v/>
      </c>
      <c r="AH324" s="28" t="str">
        <f t="shared" si="128"/>
        <v/>
      </c>
      <c r="AI324" t="str">
        <f t="shared" si="129"/>
        <v/>
      </c>
      <c r="AJ324" t="str">
        <f t="shared" si="130"/>
        <v/>
      </c>
      <c r="AK324" t="str">
        <f t="shared" si="131"/>
        <v/>
      </c>
      <c r="AL324" t="str">
        <f t="shared" si="132"/>
        <v/>
      </c>
      <c r="AM324" t="str">
        <f t="shared" si="133"/>
        <v/>
      </c>
      <c r="AN324" t="str">
        <f t="shared" si="134"/>
        <v/>
      </c>
      <c r="AO324" t="str">
        <f t="shared" si="135"/>
        <v/>
      </c>
      <c r="AP324" t="str">
        <f t="shared" si="136"/>
        <v/>
      </c>
      <c r="AQ324" t="str">
        <f t="shared" si="137"/>
        <v/>
      </c>
      <c r="AR324" t="str">
        <f t="shared" si="138"/>
        <v/>
      </c>
      <c r="AS324" t="str">
        <f t="shared" si="139"/>
        <v/>
      </c>
      <c r="AT324" t="str">
        <f t="shared" si="140"/>
        <v/>
      </c>
      <c r="AU324" s="25" t="str">
        <f t="shared" si="144"/>
        <v/>
      </c>
      <c r="BA324">
        <f>'REGISTER SK'!F327</f>
        <v>0</v>
      </c>
    </row>
    <row r="325" spans="1:53" x14ac:dyDescent="0.35">
      <c r="A325" s="18">
        <v>324</v>
      </c>
      <c r="B325" s="36" t="s">
        <v>379</v>
      </c>
      <c r="C325" s="18" t="str">
        <f>IF(G325="","",IF(G325="Umum",G325,VLOOKUP(F325,'Data Induk Pegawai'!B:AE,4,FALSE)))</f>
        <v/>
      </c>
      <c r="D325" s="19" t="str">
        <f>IF('REGISTER SK'!A328="","",IF('REGISTER SK'!B328=0,D324,'REGISTER SK'!B328))</f>
        <v/>
      </c>
      <c r="E325" s="19" t="str">
        <f t="shared" si="141"/>
        <v/>
      </c>
      <c r="F325" s="29"/>
      <c r="G325" s="29"/>
      <c r="H325" s="31" t="str">
        <f>IF(F325="","",VLOOKUP(F325,'Data Induk Pegawai'!B:U,2,FALSE))</f>
        <v/>
      </c>
      <c r="I325" s="19" t="str">
        <f>IF('REGISTER SK'!C328="","",'REGISTER SK'!C328)</f>
        <v/>
      </c>
      <c r="J325" s="125"/>
      <c r="K325" s="125"/>
      <c r="L325" s="26" t="str">
        <f>IF('REGISTER SK'!D328="","",'REGISTER SK'!D328)</f>
        <v/>
      </c>
      <c r="M325" s="26" t="str">
        <f>IF('REGISTER SK'!E328="","",'REGISTER SK'!E328)</f>
        <v/>
      </c>
      <c r="N325" s="31" t="str">
        <f>IF(G325="","",IF(OR(G325="GTT",G325="PTT"),"--",VLOOKUP(F325,'Data Induk Pegawai'!B:AE,4,FALSE)))</f>
        <v/>
      </c>
      <c r="O325" s="18" t="s">
        <v>290</v>
      </c>
      <c r="P325" s="31" t="str">
        <f>IF(G325="","",VLOOKUP(F325,'Data Induk Pegawai'!B:AE,7,FALSE))</f>
        <v/>
      </c>
      <c r="Q325" s="30"/>
      <c r="R325" s="26" t="str">
        <f>IF(G325="","","Nomor "&amp;RIGHT(VLOOKUP(F325,'Data Induk Pegawai'!B:AE,12,FALSE),2)&amp;" Tahun "&amp;MID(VLOOKUP(F325,'Data Induk Pegawai'!B:AE,12,FALSE),5,4))</f>
        <v/>
      </c>
      <c r="S325" s="26" t="str">
        <f>IF(G325="","",VLOOKUP(F325,'Data Induk Pegawai'!B:AE,11,FALSE))</f>
        <v/>
      </c>
      <c r="T325" s="56"/>
      <c r="U325" s="18" t="str">
        <f t="shared" si="122"/>
        <v/>
      </c>
      <c r="V325" s="30"/>
      <c r="W325" s="18" t="str">
        <f t="shared" si="121"/>
        <v/>
      </c>
      <c r="X325" s="16"/>
      <c r="Y325" t="str">
        <f t="shared" si="123"/>
        <v/>
      </c>
      <c r="Z325" t="str">
        <f t="shared" si="124"/>
        <v/>
      </c>
      <c r="AA325" t="str">
        <f t="shared" si="125"/>
        <v/>
      </c>
      <c r="AB325" t="str">
        <f>COUNTIFS(AC325:AC$596,AC325)&amp;AC325</f>
        <v>272</v>
      </c>
      <c r="AC325" t="str">
        <f t="shared" si="142"/>
        <v/>
      </c>
      <c r="AD325" t="str">
        <f>COUNTIFS(AC$2:AC325,AC325)&amp;AC325</f>
        <v>324</v>
      </c>
      <c r="AE325" t="str">
        <f t="shared" si="126"/>
        <v/>
      </c>
      <c r="AF325" t="str">
        <f t="shared" si="143"/>
        <v>..</v>
      </c>
      <c r="AG325" s="28" t="str">
        <f t="shared" si="127"/>
        <v/>
      </c>
      <c r="AH325" s="28" t="str">
        <f t="shared" si="128"/>
        <v/>
      </c>
      <c r="AI325" t="str">
        <f t="shared" si="129"/>
        <v/>
      </c>
      <c r="AJ325" t="str">
        <f t="shared" si="130"/>
        <v/>
      </c>
      <c r="AK325" t="str">
        <f t="shared" si="131"/>
        <v/>
      </c>
      <c r="AL325" t="str">
        <f t="shared" si="132"/>
        <v/>
      </c>
      <c r="AM325" t="str">
        <f t="shared" si="133"/>
        <v/>
      </c>
      <c r="AN325" t="str">
        <f t="shared" si="134"/>
        <v/>
      </c>
      <c r="AO325" t="str">
        <f t="shared" si="135"/>
        <v/>
      </c>
      <c r="AP325" t="str">
        <f t="shared" si="136"/>
        <v/>
      </c>
      <c r="AQ325" t="str">
        <f t="shared" si="137"/>
        <v/>
      </c>
      <c r="AR325" t="str">
        <f t="shared" si="138"/>
        <v/>
      </c>
      <c r="AS325" t="str">
        <f t="shared" si="139"/>
        <v/>
      </c>
      <c r="AT325" t="str">
        <f t="shared" si="140"/>
        <v/>
      </c>
      <c r="AU325" s="25" t="str">
        <f t="shared" si="144"/>
        <v/>
      </c>
      <c r="BA325">
        <f>'REGISTER SK'!F328</f>
        <v>0</v>
      </c>
    </row>
    <row r="326" spans="1:53" x14ac:dyDescent="0.35">
      <c r="A326" s="18">
        <v>325</v>
      </c>
      <c r="B326" s="36" t="s">
        <v>379</v>
      </c>
      <c r="C326" s="18" t="str">
        <f>IF(G326="","",IF(G326="Umum",G326,VLOOKUP(F326,'Data Induk Pegawai'!B:AE,4,FALSE)))</f>
        <v/>
      </c>
      <c r="D326" s="19" t="str">
        <f>IF('REGISTER SK'!A329="","",IF('REGISTER SK'!B329=0,D325,'REGISTER SK'!B329))</f>
        <v/>
      </c>
      <c r="E326" s="19" t="str">
        <f t="shared" si="141"/>
        <v/>
      </c>
      <c r="F326" s="29"/>
      <c r="G326" s="29"/>
      <c r="H326" s="31" t="str">
        <f>IF(F326="","",VLOOKUP(F326,'Data Induk Pegawai'!B:U,2,FALSE))</f>
        <v/>
      </c>
      <c r="I326" s="19" t="str">
        <f>IF('REGISTER SK'!C329="","",'REGISTER SK'!C329)</f>
        <v/>
      </c>
      <c r="J326" s="125"/>
      <c r="K326" s="125"/>
      <c r="L326" s="26" t="str">
        <f>IF('REGISTER SK'!D329="","",'REGISTER SK'!D329)</f>
        <v/>
      </c>
      <c r="M326" s="26" t="str">
        <f>IF('REGISTER SK'!E329="","",'REGISTER SK'!E329)</f>
        <v/>
      </c>
      <c r="N326" s="31" t="str">
        <f>IF(G326="","",IF(OR(G326="GTT",G326="PTT"),"--",VLOOKUP(F326,'Data Induk Pegawai'!B:AE,4,FALSE)))</f>
        <v/>
      </c>
      <c r="O326" s="18" t="s">
        <v>293</v>
      </c>
      <c r="P326" s="31" t="str">
        <f>IF(G326="","",VLOOKUP(F326,'Data Induk Pegawai'!B:AE,7,FALSE))</f>
        <v/>
      </c>
      <c r="Q326" s="30"/>
      <c r="R326" s="26" t="str">
        <f>IF(G326="","","Nomor "&amp;RIGHT(VLOOKUP(F326,'Data Induk Pegawai'!B:AE,12,FALSE),2)&amp;" Tahun "&amp;MID(VLOOKUP(F326,'Data Induk Pegawai'!B:AE,12,FALSE),5,4))</f>
        <v/>
      </c>
      <c r="S326" s="26" t="str">
        <f>IF(G326="","",VLOOKUP(F326,'Data Induk Pegawai'!B:AE,11,FALSE))</f>
        <v/>
      </c>
      <c r="T326" s="56"/>
      <c r="U326" s="18" t="str">
        <f t="shared" si="122"/>
        <v/>
      </c>
      <c r="V326" s="30"/>
      <c r="W326" s="18" t="str">
        <f t="shared" si="121"/>
        <v/>
      </c>
      <c r="X326" s="16"/>
      <c r="Y326" t="str">
        <f t="shared" si="123"/>
        <v/>
      </c>
      <c r="Z326" t="str">
        <f t="shared" si="124"/>
        <v/>
      </c>
      <c r="AA326" t="str">
        <f t="shared" si="125"/>
        <v/>
      </c>
      <c r="AB326" t="str">
        <f>COUNTIFS(AC326:AC$596,AC326)&amp;AC326</f>
        <v>271</v>
      </c>
      <c r="AC326" t="str">
        <f t="shared" si="142"/>
        <v/>
      </c>
      <c r="AD326" t="str">
        <f>COUNTIFS(AC$2:AC326,AC326)&amp;AC326</f>
        <v>325</v>
      </c>
      <c r="AE326" t="str">
        <f t="shared" si="126"/>
        <v/>
      </c>
      <c r="AF326" t="str">
        <f t="shared" si="143"/>
        <v>..</v>
      </c>
      <c r="AG326" s="28" t="str">
        <f t="shared" si="127"/>
        <v/>
      </c>
      <c r="AH326" s="28" t="str">
        <f t="shared" si="128"/>
        <v/>
      </c>
      <c r="AI326" t="str">
        <f t="shared" si="129"/>
        <v/>
      </c>
      <c r="AJ326" t="str">
        <f t="shared" si="130"/>
        <v/>
      </c>
      <c r="AK326" t="str">
        <f t="shared" si="131"/>
        <v/>
      </c>
      <c r="AL326" t="str">
        <f t="shared" si="132"/>
        <v/>
      </c>
      <c r="AM326" t="str">
        <f t="shared" si="133"/>
        <v/>
      </c>
      <c r="AN326" t="str">
        <f t="shared" si="134"/>
        <v/>
      </c>
      <c r="AO326" t="str">
        <f t="shared" si="135"/>
        <v/>
      </c>
      <c r="AP326" t="str">
        <f t="shared" si="136"/>
        <v/>
      </c>
      <c r="AQ326" t="str">
        <f t="shared" si="137"/>
        <v/>
      </c>
      <c r="AR326" t="str">
        <f t="shared" si="138"/>
        <v/>
      </c>
      <c r="AS326" t="str">
        <f t="shared" si="139"/>
        <v/>
      </c>
      <c r="AT326" t="str">
        <f t="shared" si="140"/>
        <v/>
      </c>
      <c r="AU326" s="25" t="str">
        <f t="shared" si="144"/>
        <v/>
      </c>
      <c r="BA326">
        <f>'REGISTER SK'!F329</f>
        <v>0</v>
      </c>
    </row>
    <row r="327" spans="1:53" x14ac:dyDescent="0.35">
      <c r="A327" s="18">
        <v>326</v>
      </c>
      <c r="B327" s="36" t="s">
        <v>379</v>
      </c>
      <c r="C327" s="18" t="str">
        <f>IF(G327="","",IF(G327="Umum",G327,VLOOKUP(F327,'Data Induk Pegawai'!B:AE,4,FALSE)))</f>
        <v/>
      </c>
      <c r="D327" s="19" t="str">
        <f>IF('REGISTER SK'!A330="","",IF('REGISTER SK'!B330=0,D326,'REGISTER SK'!B330))</f>
        <v/>
      </c>
      <c r="E327" s="19" t="str">
        <f t="shared" si="141"/>
        <v/>
      </c>
      <c r="F327" s="29"/>
      <c r="G327" s="29"/>
      <c r="H327" s="31" t="str">
        <f>IF(F327="","",VLOOKUP(F327,'Data Induk Pegawai'!B:U,2,FALSE))</f>
        <v/>
      </c>
      <c r="I327" s="19" t="str">
        <f>IF('REGISTER SK'!C330="","",'REGISTER SK'!C330)</f>
        <v/>
      </c>
      <c r="J327" s="125"/>
      <c r="K327" s="125"/>
      <c r="L327" s="26" t="str">
        <f>IF('REGISTER SK'!D330="","",'REGISTER SK'!D330)</f>
        <v/>
      </c>
      <c r="M327" s="26" t="str">
        <f>IF('REGISTER SK'!E330="","",'REGISTER SK'!E330)</f>
        <v/>
      </c>
      <c r="N327" s="31" t="str">
        <f>IF(G327="","",IF(OR(G327="GTT",G327="PTT"),"--",VLOOKUP(F327,'Data Induk Pegawai'!B:AE,4,FALSE)))</f>
        <v/>
      </c>
      <c r="O327" s="18" t="s">
        <v>295</v>
      </c>
      <c r="P327" s="31" t="str">
        <f>IF(G327="","",VLOOKUP(F327,'Data Induk Pegawai'!B:AE,7,FALSE))</f>
        <v/>
      </c>
      <c r="Q327" s="30"/>
      <c r="R327" s="26" t="str">
        <f>IF(G327="","","Nomor "&amp;RIGHT(VLOOKUP(F327,'Data Induk Pegawai'!B:AE,12,FALSE),2)&amp;" Tahun "&amp;MID(VLOOKUP(F327,'Data Induk Pegawai'!B:AE,12,FALSE),5,4))</f>
        <v/>
      </c>
      <c r="S327" s="26" t="str">
        <f>IF(G327="","",VLOOKUP(F327,'Data Induk Pegawai'!B:AE,11,FALSE))</f>
        <v/>
      </c>
      <c r="T327" s="56"/>
      <c r="U327" s="18" t="str">
        <f t="shared" si="122"/>
        <v/>
      </c>
      <c r="V327" s="30"/>
      <c r="W327" s="18" t="str">
        <f t="shared" si="121"/>
        <v/>
      </c>
      <c r="X327" s="16"/>
      <c r="Y327" t="str">
        <f t="shared" si="123"/>
        <v/>
      </c>
      <c r="Z327" t="str">
        <f t="shared" si="124"/>
        <v/>
      </c>
      <c r="AA327" t="str">
        <f t="shared" si="125"/>
        <v/>
      </c>
      <c r="AB327" t="str">
        <f>COUNTIFS(AC327:AC$596,AC327)&amp;AC327</f>
        <v>270</v>
      </c>
      <c r="AC327" t="str">
        <f t="shared" si="142"/>
        <v/>
      </c>
      <c r="AD327" t="str">
        <f>COUNTIFS(AC$2:AC327,AC327)&amp;AC327</f>
        <v>326</v>
      </c>
      <c r="AE327" t="str">
        <f t="shared" si="126"/>
        <v/>
      </c>
      <c r="AF327" t="str">
        <f t="shared" si="143"/>
        <v>..</v>
      </c>
      <c r="AG327" s="28" t="str">
        <f t="shared" si="127"/>
        <v/>
      </c>
      <c r="AH327" s="28" t="str">
        <f t="shared" si="128"/>
        <v/>
      </c>
      <c r="AI327" t="str">
        <f t="shared" si="129"/>
        <v/>
      </c>
      <c r="AJ327" t="str">
        <f t="shared" si="130"/>
        <v/>
      </c>
      <c r="AK327" t="str">
        <f t="shared" si="131"/>
        <v/>
      </c>
      <c r="AL327" t="str">
        <f t="shared" si="132"/>
        <v/>
      </c>
      <c r="AM327" t="str">
        <f t="shared" si="133"/>
        <v/>
      </c>
      <c r="AN327" t="str">
        <f t="shared" si="134"/>
        <v/>
      </c>
      <c r="AO327" t="str">
        <f t="shared" si="135"/>
        <v/>
      </c>
      <c r="AP327" t="str">
        <f t="shared" si="136"/>
        <v/>
      </c>
      <c r="AQ327" t="str">
        <f t="shared" si="137"/>
        <v/>
      </c>
      <c r="AR327" t="str">
        <f t="shared" si="138"/>
        <v/>
      </c>
      <c r="AS327" t="str">
        <f t="shared" si="139"/>
        <v/>
      </c>
      <c r="AT327" t="str">
        <f t="shared" si="140"/>
        <v/>
      </c>
      <c r="AU327" s="25" t="str">
        <f t="shared" si="144"/>
        <v/>
      </c>
      <c r="BA327">
        <f>'REGISTER SK'!F330</f>
        <v>0</v>
      </c>
    </row>
    <row r="328" spans="1:53" x14ac:dyDescent="0.35">
      <c r="A328" s="18">
        <v>327</v>
      </c>
      <c r="B328" s="36" t="s">
        <v>379</v>
      </c>
      <c r="C328" s="18" t="str">
        <f>IF(G328="","",IF(G328="Umum",G328,VLOOKUP(F328,'Data Induk Pegawai'!B:AE,4,FALSE)))</f>
        <v/>
      </c>
      <c r="D328" s="19" t="str">
        <f>IF('REGISTER SK'!A331="","",IF('REGISTER SK'!B331=0,D327,'REGISTER SK'!B331))</f>
        <v/>
      </c>
      <c r="E328" s="19" t="str">
        <f t="shared" si="141"/>
        <v/>
      </c>
      <c r="F328" s="29"/>
      <c r="G328" s="29"/>
      <c r="H328" s="31" t="str">
        <f>IF(F328="","",VLOOKUP(F328,'Data Induk Pegawai'!B:U,2,FALSE))</f>
        <v/>
      </c>
      <c r="I328" s="19" t="str">
        <f>IF('REGISTER SK'!C331="","",'REGISTER SK'!C331)</f>
        <v/>
      </c>
      <c r="J328" s="125"/>
      <c r="K328" s="125"/>
      <c r="L328" s="26" t="str">
        <f>IF('REGISTER SK'!D331="","",'REGISTER SK'!D331)</f>
        <v/>
      </c>
      <c r="M328" s="26" t="str">
        <f>IF('REGISTER SK'!E331="","",'REGISTER SK'!E331)</f>
        <v/>
      </c>
      <c r="N328" s="31" t="str">
        <f>IF(G328="","",IF(OR(G328="GTT",G328="PTT"),"--",VLOOKUP(F328,'Data Induk Pegawai'!B:AE,4,FALSE)))</f>
        <v/>
      </c>
      <c r="O328" s="18" t="s">
        <v>297</v>
      </c>
      <c r="P328" s="31" t="str">
        <f>IF(G328="","",VLOOKUP(F328,'Data Induk Pegawai'!B:AE,7,FALSE))</f>
        <v/>
      </c>
      <c r="Q328" s="30"/>
      <c r="R328" s="26" t="str">
        <f>IF(G328="","","Nomor "&amp;RIGHT(VLOOKUP(F328,'Data Induk Pegawai'!B:AE,12,FALSE),2)&amp;" Tahun "&amp;MID(VLOOKUP(F328,'Data Induk Pegawai'!B:AE,12,FALSE),5,4))</f>
        <v/>
      </c>
      <c r="S328" s="26" t="str">
        <f>IF(G328="","",VLOOKUP(F328,'Data Induk Pegawai'!B:AE,11,FALSE))</f>
        <v/>
      </c>
      <c r="T328" s="56"/>
      <c r="U328" s="18" t="str">
        <f t="shared" si="122"/>
        <v/>
      </c>
      <c r="V328" s="30"/>
      <c r="W328" s="18" t="str">
        <f t="shared" si="121"/>
        <v/>
      </c>
      <c r="X328" s="16"/>
      <c r="Y328" t="str">
        <f t="shared" si="123"/>
        <v/>
      </c>
      <c r="Z328" t="str">
        <f t="shared" si="124"/>
        <v/>
      </c>
      <c r="AA328" t="str">
        <f t="shared" si="125"/>
        <v/>
      </c>
      <c r="AB328" t="str">
        <f>COUNTIFS(AC328:AC$596,AC328)&amp;AC328</f>
        <v>269</v>
      </c>
      <c r="AC328" t="str">
        <f t="shared" si="142"/>
        <v/>
      </c>
      <c r="AD328" t="str">
        <f>COUNTIFS(AC$2:AC328,AC328)&amp;AC328</f>
        <v>327</v>
      </c>
      <c r="AE328" t="str">
        <f t="shared" si="126"/>
        <v/>
      </c>
      <c r="AF328" t="str">
        <f t="shared" si="143"/>
        <v>..</v>
      </c>
      <c r="AG328" s="28" t="str">
        <f t="shared" si="127"/>
        <v/>
      </c>
      <c r="AH328" s="28" t="str">
        <f t="shared" si="128"/>
        <v/>
      </c>
      <c r="AI328" t="str">
        <f t="shared" si="129"/>
        <v/>
      </c>
      <c r="AJ328" t="str">
        <f t="shared" si="130"/>
        <v/>
      </c>
      <c r="AK328" t="str">
        <f t="shared" si="131"/>
        <v/>
      </c>
      <c r="AL328" t="str">
        <f t="shared" si="132"/>
        <v/>
      </c>
      <c r="AM328" t="str">
        <f t="shared" si="133"/>
        <v/>
      </c>
      <c r="AN328" t="str">
        <f t="shared" si="134"/>
        <v/>
      </c>
      <c r="AO328" t="str">
        <f t="shared" si="135"/>
        <v/>
      </c>
      <c r="AP328" t="str">
        <f t="shared" si="136"/>
        <v/>
      </c>
      <c r="AQ328" t="str">
        <f t="shared" si="137"/>
        <v/>
      </c>
      <c r="AR328" t="str">
        <f t="shared" si="138"/>
        <v/>
      </c>
      <c r="AS328" t="str">
        <f t="shared" si="139"/>
        <v/>
      </c>
      <c r="AT328" t="str">
        <f t="shared" si="140"/>
        <v/>
      </c>
      <c r="AU328" s="25" t="str">
        <f t="shared" si="144"/>
        <v/>
      </c>
      <c r="BA328">
        <f>'REGISTER SK'!F331</f>
        <v>0</v>
      </c>
    </row>
    <row r="329" spans="1:53" x14ac:dyDescent="0.35">
      <c r="A329" s="18">
        <v>328</v>
      </c>
      <c r="B329" s="36" t="s">
        <v>379</v>
      </c>
      <c r="C329" s="18" t="str">
        <f>IF(G329="","",IF(G329="Umum",G329,VLOOKUP(F329,'Data Induk Pegawai'!B:AE,4,FALSE)))</f>
        <v/>
      </c>
      <c r="D329" s="19" t="str">
        <f>IF('REGISTER SK'!A332="","",IF('REGISTER SK'!B332=0,D328,'REGISTER SK'!B332))</f>
        <v/>
      </c>
      <c r="E329" s="19" t="str">
        <f t="shared" si="141"/>
        <v/>
      </c>
      <c r="F329" s="29"/>
      <c r="G329" s="29"/>
      <c r="H329" s="31" t="str">
        <f>IF(F329="","",VLOOKUP(F329,'Data Induk Pegawai'!B:U,2,FALSE))</f>
        <v/>
      </c>
      <c r="I329" s="19" t="str">
        <f>IF('REGISTER SK'!C332="","",'REGISTER SK'!C332)</f>
        <v/>
      </c>
      <c r="J329" s="125"/>
      <c r="K329" s="125"/>
      <c r="L329" s="26" t="str">
        <f>IF('REGISTER SK'!D332="","",'REGISTER SK'!D332)</f>
        <v/>
      </c>
      <c r="M329" s="26" t="str">
        <f>IF('REGISTER SK'!E332="","",'REGISTER SK'!E332)</f>
        <v/>
      </c>
      <c r="N329" s="31" t="str">
        <f>IF(G329="","",IF(OR(G329="GTT",G329="PTT"),"--",VLOOKUP(F329,'Data Induk Pegawai'!B:AE,4,FALSE)))</f>
        <v/>
      </c>
      <c r="O329" s="18" t="s">
        <v>298</v>
      </c>
      <c r="P329" s="31" t="str">
        <f>IF(G329="","",VLOOKUP(F329,'Data Induk Pegawai'!B:AE,7,FALSE))</f>
        <v/>
      </c>
      <c r="Q329" s="30"/>
      <c r="R329" s="26" t="str">
        <f>IF(G329="","","Nomor "&amp;RIGHT(VLOOKUP(F329,'Data Induk Pegawai'!B:AE,12,FALSE),2)&amp;" Tahun "&amp;MID(VLOOKUP(F329,'Data Induk Pegawai'!B:AE,12,FALSE),5,4))</f>
        <v/>
      </c>
      <c r="S329" s="26" t="str">
        <f>IF(G329="","",VLOOKUP(F329,'Data Induk Pegawai'!B:AE,11,FALSE))</f>
        <v/>
      </c>
      <c r="T329" s="56"/>
      <c r="U329" s="18" t="str">
        <f t="shared" si="122"/>
        <v/>
      </c>
      <c r="V329" s="30"/>
      <c r="W329" s="18" t="str">
        <f t="shared" si="121"/>
        <v/>
      </c>
      <c r="X329" s="16"/>
      <c r="Y329" t="str">
        <f t="shared" si="123"/>
        <v/>
      </c>
      <c r="Z329" t="str">
        <f t="shared" si="124"/>
        <v/>
      </c>
      <c r="AA329" t="str">
        <f t="shared" si="125"/>
        <v/>
      </c>
      <c r="AB329" t="str">
        <f>COUNTIFS(AC329:AC$596,AC329)&amp;AC329</f>
        <v>268</v>
      </c>
      <c r="AC329" t="str">
        <f t="shared" si="142"/>
        <v/>
      </c>
      <c r="AD329" t="str">
        <f>COUNTIFS(AC$2:AC329,AC329)&amp;AC329</f>
        <v>328</v>
      </c>
      <c r="AE329" t="str">
        <f t="shared" si="126"/>
        <v/>
      </c>
      <c r="AF329" t="str">
        <f t="shared" si="143"/>
        <v>..</v>
      </c>
      <c r="AG329" s="28" t="str">
        <f t="shared" si="127"/>
        <v/>
      </c>
      <c r="AH329" s="28" t="str">
        <f t="shared" si="128"/>
        <v/>
      </c>
      <c r="AI329" t="str">
        <f t="shared" si="129"/>
        <v/>
      </c>
      <c r="AJ329" t="str">
        <f t="shared" si="130"/>
        <v/>
      </c>
      <c r="AK329" t="str">
        <f t="shared" si="131"/>
        <v/>
      </c>
      <c r="AL329" t="str">
        <f t="shared" si="132"/>
        <v/>
      </c>
      <c r="AM329" t="str">
        <f t="shared" si="133"/>
        <v/>
      </c>
      <c r="AN329" t="str">
        <f t="shared" si="134"/>
        <v/>
      </c>
      <c r="AO329" t="str">
        <f t="shared" si="135"/>
        <v/>
      </c>
      <c r="AP329" t="str">
        <f t="shared" si="136"/>
        <v/>
      </c>
      <c r="AQ329" t="str">
        <f t="shared" si="137"/>
        <v/>
      </c>
      <c r="AR329" t="str">
        <f t="shared" si="138"/>
        <v/>
      </c>
      <c r="AS329" t="str">
        <f t="shared" si="139"/>
        <v/>
      </c>
      <c r="AT329" t="str">
        <f t="shared" si="140"/>
        <v/>
      </c>
      <c r="AU329" s="25" t="str">
        <f t="shared" si="144"/>
        <v/>
      </c>
      <c r="BA329">
        <f>'REGISTER SK'!F332</f>
        <v>0</v>
      </c>
    </row>
    <row r="330" spans="1:53" x14ac:dyDescent="0.35">
      <c r="A330" s="18">
        <v>329</v>
      </c>
      <c r="B330" s="36" t="s">
        <v>379</v>
      </c>
      <c r="C330" s="18" t="str">
        <f>IF(G330="","",IF(G330="Umum",G330,VLOOKUP(F330,'Data Induk Pegawai'!B:AE,4,FALSE)))</f>
        <v/>
      </c>
      <c r="D330" s="19" t="str">
        <f>IF('REGISTER SK'!A333="","",IF('REGISTER SK'!B333=0,D329,'REGISTER SK'!B333))</f>
        <v/>
      </c>
      <c r="E330" s="19" t="str">
        <f t="shared" si="141"/>
        <v/>
      </c>
      <c r="F330" s="29"/>
      <c r="G330" s="29"/>
      <c r="H330" s="31" t="str">
        <f>IF(F330="","",VLOOKUP(F330,'Data Induk Pegawai'!B:U,2,FALSE))</f>
        <v/>
      </c>
      <c r="I330" s="19" t="str">
        <f>IF('REGISTER SK'!C333="","",'REGISTER SK'!C333)</f>
        <v/>
      </c>
      <c r="J330" s="125"/>
      <c r="K330" s="125"/>
      <c r="L330" s="26" t="str">
        <f>IF('REGISTER SK'!D333="","",'REGISTER SK'!D333)</f>
        <v/>
      </c>
      <c r="M330" s="26" t="str">
        <f>IF('REGISTER SK'!E333="","",'REGISTER SK'!E333)</f>
        <v/>
      </c>
      <c r="N330" s="31" t="str">
        <f>IF(G330="","",IF(OR(G330="GTT",G330="PTT"),"--",VLOOKUP(F330,'Data Induk Pegawai'!B:AE,4,FALSE)))</f>
        <v/>
      </c>
      <c r="O330" s="18" t="s">
        <v>300</v>
      </c>
      <c r="P330" s="31" t="str">
        <f>IF(G330="","",VLOOKUP(F330,'Data Induk Pegawai'!B:AE,7,FALSE))</f>
        <v/>
      </c>
      <c r="Q330" s="30"/>
      <c r="R330" s="26" t="str">
        <f>IF(G330="","","Nomor "&amp;RIGHT(VLOOKUP(F330,'Data Induk Pegawai'!B:AE,12,FALSE),2)&amp;" Tahun "&amp;MID(VLOOKUP(F330,'Data Induk Pegawai'!B:AE,12,FALSE),5,4))</f>
        <v/>
      </c>
      <c r="S330" s="26" t="str">
        <f>IF(G330="","",VLOOKUP(F330,'Data Induk Pegawai'!B:AE,11,FALSE))</f>
        <v/>
      </c>
      <c r="T330" s="56"/>
      <c r="U330" s="18" t="str">
        <f t="shared" si="122"/>
        <v/>
      </c>
      <c r="V330" s="30"/>
      <c r="W330" s="18" t="str">
        <f t="shared" si="121"/>
        <v/>
      </c>
      <c r="X330" s="16"/>
      <c r="Y330" t="str">
        <f t="shared" si="123"/>
        <v/>
      </c>
      <c r="Z330" t="str">
        <f t="shared" si="124"/>
        <v/>
      </c>
      <c r="AA330" t="str">
        <f t="shared" si="125"/>
        <v/>
      </c>
      <c r="AB330" t="str">
        <f>COUNTIFS(AC330:AC$596,AC330)&amp;AC330</f>
        <v>267</v>
      </c>
      <c r="AC330" t="str">
        <f t="shared" si="142"/>
        <v/>
      </c>
      <c r="AD330" t="str">
        <f>COUNTIFS(AC$2:AC330,AC330)&amp;AC330</f>
        <v>329</v>
      </c>
      <c r="AE330" t="str">
        <f t="shared" si="126"/>
        <v/>
      </c>
      <c r="AF330" t="str">
        <f t="shared" si="143"/>
        <v>..</v>
      </c>
      <c r="AG330" s="28" t="str">
        <f t="shared" si="127"/>
        <v/>
      </c>
      <c r="AH330" s="28" t="str">
        <f t="shared" si="128"/>
        <v/>
      </c>
      <c r="AI330" t="str">
        <f t="shared" si="129"/>
        <v/>
      </c>
      <c r="AJ330" t="str">
        <f t="shared" si="130"/>
        <v/>
      </c>
      <c r="AK330" t="str">
        <f t="shared" si="131"/>
        <v/>
      </c>
      <c r="AL330" t="str">
        <f t="shared" si="132"/>
        <v/>
      </c>
      <c r="AM330" t="str">
        <f t="shared" si="133"/>
        <v/>
      </c>
      <c r="AN330" t="str">
        <f t="shared" si="134"/>
        <v/>
      </c>
      <c r="AO330" t="str">
        <f t="shared" si="135"/>
        <v/>
      </c>
      <c r="AP330" t="str">
        <f t="shared" si="136"/>
        <v/>
      </c>
      <c r="AQ330" t="str">
        <f t="shared" si="137"/>
        <v/>
      </c>
      <c r="AR330" t="str">
        <f t="shared" si="138"/>
        <v/>
      </c>
      <c r="AS330" t="str">
        <f t="shared" si="139"/>
        <v/>
      </c>
      <c r="AT330" t="str">
        <f t="shared" si="140"/>
        <v/>
      </c>
      <c r="AU330" s="25" t="str">
        <f t="shared" si="144"/>
        <v/>
      </c>
      <c r="BA330">
        <f>'REGISTER SK'!F333</f>
        <v>0</v>
      </c>
    </row>
    <row r="331" spans="1:53" x14ac:dyDescent="0.35">
      <c r="A331" s="18">
        <v>330</v>
      </c>
      <c r="B331" s="36" t="s">
        <v>379</v>
      </c>
      <c r="C331" s="18" t="str">
        <f>IF(G331="","",IF(G331="Umum",G331,VLOOKUP(F331,'Data Induk Pegawai'!B:AE,4,FALSE)))</f>
        <v/>
      </c>
      <c r="D331" s="19" t="str">
        <f>IF('REGISTER SK'!A334="","",IF('REGISTER SK'!B334=0,D330,'REGISTER SK'!B334))</f>
        <v/>
      </c>
      <c r="E331" s="19" t="str">
        <f t="shared" si="141"/>
        <v/>
      </c>
      <c r="F331" s="29"/>
      <c r="G331" s="29"/>
      <c r="H331" s="31" t="str">
        <f>IF(F331="","",VLOOKUP(F331,'Data Induk Pegawai'!B:U,2,FALSE))</f>
        <v/>
      </c>
      <c r="I331" s="19" t="str">
        <f>IF('REGISTER SK'!C334="","",'REGISTER SK'!C334)</f>
        <v/>
      </c>
      <c r="J331" s="125"/>
      <c r="K331" s="125"/>
      <c r="L331" s="26" t="str">
        <f>IF('REGISTER SK'!D334="","",'REGISTER SK'!D334)</f>
        <v/>
      </c>
      <c r="M331" s="26" t="str">
        <f>IF('REGISTER SK'!E334="","",'REGISTER SK'!E334)</f>
        <v/>
      </c>
      <c r="N331" s="31" t="str">
        <f>IF(G331="","",IF(OR(G331="GTT",G331="PTT"),"--",VLOOKUP(F331,'Data Induk Pegawai'!B:AE,4,FALSE)))</f>
        <v/>
      </c>
      <c r="O331" s="18" t="s">
        <v>301</v>
      </c>
      <c r="P331" s="31" t="str">
        <f>IF(G331="","",VLOOKUP(F331,'Data Induk Pegawai'!B:AE,7,FALSE))</f>
        <v/>
      </c>
      <c r="Q331" s="30"/>
      <c r="R331" s="26" t="str">
        <f>IF(G331="","","Nomor "&amp;RIGHT(VLOOKUP(F331,'Data Induk Pegawai'!B:AE,12,FALSE),2)&amp;" Tahun "&amp;MID(VLOOKUP(F331,'Data Induk Pegawai'!B:AE,12,FALSE),5,4))</f>
        <v/>
      </c>
      <c r="S331" s="26" t="str">
        <f>IF(G331="","",VLOOKUP(F331,'Data Induk Pegawai'!B:AE,11,FALSE))</f>
        <v/>
      </c>
      <c r="T331" s="56"/>
      <c r="U331" s="18" t="str">
        <f t="shared" si="122"/>
        <v/>
      </c>
      <c r="V331" s="30"/>
      <c r="W331" s="18" t="str">
        <f t="shared" si="121"/>
        <v/>
      </c>
      <c r="X331" s="16"/>
      <c r="Y331" t="str">
        <f t="shared" si="123"/>
        <v/>
      </c>
      <c r="Z331" t="str">
        <f t="shared" si="124"/>
        <v/>
      </c>
      <c r="AA331" t="str">
        <f t="shared" si="125"/>
        <v/>
      </c>
      <c r="AB331" t="str">
        <f>COUNTIFS(AC331:AC$596,AC331)&amp;AC331</f>
        <v>266</v>
      </c>
      <c r="AC331" t="str">
        <f t="shared" si="142"/>
        <v/>
      </c>
      <c r="AD331" t="str">
        <f>COUNTIFS(AC$2:AC331,AC331)&amp;AC331</f>
        <v>330</v>
      </c>
      <c r="AE331" t="str">
        <f t="shared" si="126"/>
        <v/>
      </c>
      <c r="AF331" t="str">
        <f t="shared" si="143"/>
        <v>..</v>
      </c>
      <c r="AG331" s="28" t="str">
        <f t="shared" si="127"/>
        <v/>
      </c>
      <c r="AH331" s="28" t="str">
        <f t="shared" si="128"/>
        <v/>
      </c>
      <c r="AI331" t="str">
        <f t="shared" si="129"/>
        <v/>
      </c>
      <c r="AJ331" t="str">
        <f t="shared" si="130"/>
        <v/>
      </c>
      <c r="AK331" t="str">
        <f t="shared" si="131"/>
        <v/>
      </c>
      <c r="AL331" t="str">
        <f t="shared" si="132"/>
        <v/>
      </c>
      <c r="AM331" t="str">
        <f t="shared" si="133"/>
        <v/>
      </c>
      <c r="AN331" t="str">
        <f t="shared" si="134"/>
        <v/>
      </c>
      <c r="AO331" t="str">
        <f t="shared" si="135"/>
        <v/>
      </c>
      <c r="AP331" t="str">
        <f t="shared" si="136"/>
        <v/>
      </c>
      <c r="AQ331" t="str">
        <f t="shared" si="137"/>
        <v/>
      </c>
      <c r="AR331" t="str">
        <f t="shared" si="138"/>
        <v/>
      </c>
      <c r="AS331" t="str">
        <f t="shared" si="139"/>
        <v/>
      </c>
      <c r="AT331" t="str">
        <f t="shared" si="140"/>
        <v/>
      </c>
      <c r="AU331" s="25" t="str">
        <f t="shared" si="144"/>
        <v/>
      </c>
      <c r="BA331">
        <f>'REGISTER SK'!F334</f>
        <v>0</v>
      </c>
    </row>
    <row r="332" spans="1:53" x14ac:dyDescent="0.35">
      <c r="A332" s="18">
        <v>331</v>
      </c>
      <c r="B332" s="36" t="s">
        <v>379</v>
      </c>
      <c r="C332" s="18" t="str">
        <f>IF(G332="","",IF(G332="Umum",G332,VLOOKUP(F332,'Data Induk Pegawai'!B:AE,4,FALSE)))</f>
        <v/>
      </c>
      <c r="D332" s="19" t="str">
        <f>IF('REGISTER SK'!A335="","",IF('REGISTER SK'!B335=0,D331,'REGISTER SK'!B335))</f>
        <v/>
      </c>
      <c r="E332" s="19" t="str">
        <f t="shared" si="141"/>
        <v/>
      </c>
      <c r="F332" s="29"/>
      <c r="G332" s="29"/>
      <c r="H332" s="31" t="str">
        <f>IF(F332="","",VLOOKUP(F332,'Data Induk Pegawai'!B:U,2,FALSE))</f>
        <v/>
      </c>
      <c r="I332" s="19" t="str">
        <f>IF('REGISTER SK'!C335="","",'REGISTER SK'!C335)</f>
        <v/>
      </c>
      <c r="J332" s="125"/>
      <c r="K332" s="125"/>
      <c r="L332" s="26" t="str">
        <f>IF('REGISTER SK'!D335="","",'REGISTER SK'!D335)</f>
        <v/>
      </c>
      <c r="M332" s="26" t="str">
        <f>IF('REGISTER SK'!E335="","",'REGISTER SK'!E335)</f>
        <v/>
      </c>
      <c r="N332" s="31" t="str">
        <f>IF(G332="","",IF(OR(G332="GTT",G332="PTT"),"--",VLOOKUP(F332,'Data Induk Pegawai'!B:AE,4,FALSE)))</f>
        <v/>
      </c>
      <c r="O332" s="18" t="s">
        <v>282</v>
      </c>
      <c r="P332" s="31" t="str">
        <f>IF(G332="","",VLOOKUP(F332,'Data Induk Pegawai'!B:AE,7,FALSE))</f>
        <v/>
      </c>
      <c r="Q332" s="30"/>
      <c r="R332" s="26" t="str">
        <f>IF(G332="","","Nomor "&amp;RIGHT(VLOOKUP(F332,'Data Induk Pegawai'!B:AE,12,FALSE),2)&amp;" Tahun "&amp;MID(VLOOKUP(F332,'Data Induk Pegawai'!B:AE,12,FALSE),5,4))</f>
        <v/>
      </c>
      <c r="S332" s="26" t="str">
        <f>IF(G332="","",VLOOKUP(F332,'Data Induk Pegawai'!B:AE,11,FALSE))</f>
        <v/>
      </c>
      <c r="T332" s="56"/>
      <c r="U332" s="18" t="str">
        <f t="shared" si="122"/>
        <v/>
      </c>
      <c r="V332" s="30"/>
      <c r="W332" s="18" t="str">
        <f t="shared" si="121"/>
        <v/>
      </c>
      <c r="X332" s="16"/>
      <c r="Y332" t="str">
        <f t="shared" si="123"/>
        <v/>
      </c>
      <c r="Z332" t="str">
        <f t="shared" si="124"/>
        <v/>
      </c>
      <c r="AA332" t="str">
        <f t="shared" si="125"/>
        <v/>
      </c>
      <c r="AB332" t="str">
        <f>COUNTIFS(AC332:AC$596,AC332)&amp;AC332</f>
        <v>265</v>
      </c>
      <c r="AC332" t="str">
        <f t="shared" si="142"/>
        <v/>
      </c>
      <c r="AD332" t="str">
        <f>COUNTIFS(AC$2:AC332,AC332)&amp;AC332</f>
        <v>331</v>
      </c>
      <c r="AE332" t="str">
        <f t="shared" si="126"/>
        <v/>
      </c>
      <c r="AF332" t="str">
        <f t="shared" si="143"/>
        <v>..</v>
      </c>
      <c r="AG332" s="28" t="str">
        <f t="shared" si="127"/>
        <v/>
      </c>
      <c r="AH332" s="28" t="str">
        <f t="shared" si="128"/>
        <v/>
      </c>
      <c r="AI332" t="str">
        <f t="shared" si="129"/>
        <v/>
      </c>
      <c r="AJ332" t="str">
        <f t="shared" si="130"/>
        <v/>
      </c>
      <c r="AK332" t="str">
        <f t="shared" si="131"/>
        <v/>
      </c>
      <c r="AL332" t="str">
        <f t="shared" si="132"/>
        <v/>
      </c>
      <c r="AM332" t="str">
        <f t="shared" si="133"/>
        <v/>
      </c>
      <c r="AN332" t="str">
        <f t="shared" si="134"/>
        <v/>
      </c>
      <c r="AO332" t="str">
        <f t="shared" si="135"/>
        <v/>
      </c>
      <c r="AP332" t="str">
        <f t="shared" si="136"/>
        <v/>
      </c>
      <c r="AQ332" t="str">
        <f t="shared" si="137"/>
        <v/>
      </c>
      <c r="AR332" t="str">
        <f t="shared" si="138"/>
        <v/>
      </c>
      <c r="AS332" t="str">
        <f t="shared" si="139"/>
        <v/>
      </c>
      <c r="AT332" t="str">
        <f t="shared" si="140"/>
        <v/>
      </c>
      <c r="AU332" s="25" t="str">
        <f t="shared" si="144"/>
        <v/>
      </c>
      <c r="BA332">
        <f>'REGISTER SK'!F335</f>
        <v>0</v>
      </c>
    </row>
    <row r="333" spans="1:53" x14ac:dyDescent="0.35">
      <c r="A333" s="18">
        <v>332</v>
      </c>
      <c r="B333" s="36" t="s">
        <v>379</v>
      </c>
      <c r="C333" s="18" t="str">
        <f>IF(G333="","",IF(G333="Umum",G333,VLOOKUP(F333,'Data Induk Pegawai'!B:AE,4,FALSE)))</f>
        <v/>
      </c>
      <c r="D333" s="19" t="str">
        <f>IF('REGISTER SK'!A336="","",IF('REGISTER SK'!B336=0,D332,'REGISTER SK'!B336))</f>
        <v/>
      </c>
      <c r="E333" s="19" t="str">
        <f t="shared" si="141"/>
        <v/>
      </c>
      <c r="F333" s="29"/>
      <c r="G333" s="29"/>
      <c r="H333" s="31" t="str">
        <f>IF(F333="","",VLOOKUP(F333,'Data Induk Pegawai'!B:U,2,FALSE))</f>
        <v/>
      </c>
      <c r="I333" s="19" t="str">
        <f>IF('REGISTER SK'!C336="","",'REGISTER SK'!C336)</f>
        <v/>
      </c>
      <c r="J333" s="125"/>
      <c r="K333" s="125"/>
      <c r="L333" s="26" t="str">
        <f>IF('REGISTER SK'!D336="","",'REGISTER SK'!D336)</f>
        <v/>
      </c>
      <c r="M333" s="26" t="str">
        <f>IF('REGISTER SK'!E336="","",'REGISTER SK'!E336)</f>
        <v/>
      </c>
      <c r="N333" s="31" t="str">
        <f>IF(G333="","",IF(OR(G333="GTT",G333="PTT"),"--",VLOOKUP(F333,'Data Induk Pegawai'!B:AE,4,FALSE)))</f>
        <v/>
      </c>
      <c r="O333" s="18" t="s">
        <v>302</v>
      </c>
      <c r="P333" s="31" t="str">
        <f>IF(G333="","",VLOOKUP(F333,'Data Induk Pegawai'!B:AE,7,FALSE))</f>
        <v/>
      </c>
      <c r="Q333" s="30"/>
      <c r="R333" s="26" t="str">
        <f>IF(G333="","","Nomor "&amp;RIGHT(VLOOKUP(F333,'Data Induk Pegawai'!B:AE,12,FALSE),2)&amp;" Tahun "&amp;MID(VLOOKUP(F333,'Data Induk Pegawai'!B:AE,12,FALSE),5,4))</f>
        <v/>
      </c>
      <c r="S333" s="26" t="str">
        <f>IF(G333="","",VLOOKUP(F333,'Data Induk Pegawai'!B:AE,11,FALSE))</f>
        <v/>
      </c>
      <c r="T333" s="56"/>
      <c r="U333" s="18" t="str">
        <f t="shared" si="122"/>
        <v/>
      </c>
      <c r="V333" s="30"/>
      <c r="W333" s="18" t="str">
        <f t="shared" si="121"/>
        <v/>
      </c>
      <c r="X333" s="16"/>
      <c r="Y333" t="str">
        <f t="shared" si="123"/>
        <v/>
      </c>
      <c r="Z333" t="str">
        <f t="shared" si="124"/>
        <v/>
      </c>
      <c r="AA333" t="str">
        <f t="shared" si="125"/>
        <v/>
      </c>
      <c r="AB333" t="str">
        <f>COUNTIFS(AC333:AC$596,AC333)&amp;AC333</f>
        <v>264</v>
      </c>
      <c r="AC333" t="str">
        <f t="shared" si="142"/>
        <v/>
      </c>
      <c r="AD333" t="str">
        <f>COUNTIFS(AC$2:AC333,AC333)&amp;AC333</f>
        <v>332</v>
      </c>
      <c r="AE333" t="str">
        <f t="shared" si="126"/>
        <v/>
      </c>
      <c r="AF333" t="str">
        <f t="shared" si="143"/>
        <v>..</v>
      </c>
      <c r="AG333" s="28" t="str">
        <f t="shared" si="127"/>
        <v/>
      </c>
      <c r="AH333" s="28" t="str">
        <f t="shared" si="128"/>
        <v/>
      </c>
      <c r="AI333" t="str">
        <f t="shared" si="129"/>
        <v/>
      </c>
      <c r="AJ333" t="str">
        <f t="shared" si="130"/>
        <v/>
      </c>
      <c r="AK333" t="str">
        <f t="shared" si="131"/>
        <v/>
      </c>
      <c r="AL333" t="str">
        <f t="shared" si="132"/>
        <v/>
      </c>
      <c r="AM333" t="str">
        <f t="shared" si="133"/>
        <v/>
      </c>
      <c r="AN333" t="str">
        <f t="shared" si="134"/>
        <v/>
      </c>
      <c r="AO333" t="str">
        <f t="shared" si="135"/>
        <v/>
      </c>
      <c r="AP333" t="str">
        <f t="shared" si="136"/>
        <v/>
      </c>
      <c r="AQ333" t="str">
        <f t="shared" si="137"/>
        <v/>
      </c>
      <c r="AR333" t="str">
        <f t="shared" si="138"/>
        <v/>
      </c>
      <c r="AS333" t="str">
        <f t="shared" si="139"/>
        <v/>
      </c>
      <c r="AT333" t="str">
        <f t="shared" si="140"/>
        <v/>
      </c>
      <c r="AU333" s="25" t="str">
        <f t="shared" si="144"/>
        <v/>
      </c>
      <c r="BA333">
        <f>'REGISTER SK'!F336</f>
        <v>0</v>
      </c>
    </row>
    <row r="334" spans="1:53" x14ac:dyDescent="0.35">
      <c r="A334" s="18">
        <v>333</v>
      </c>
      <c r="B334" s="36" t="s">
        <v>379</v>
      </c>
      <c r="C334" s="18" t="str">
        <f>IF(G334="","",IF(G334="Umum",G334,VLOOKUP(F334,'Data Induk Pegawai'!B:AE,4,FALSE)))</f>
        <v/>
      </c>
      <c r="D334" s="19" t="str">
        <f>IF('REGISTER SK'!A337="","",IF('REGISTER SK'!B337=0,D333,'REGISTER SK'!B337))</f>
        <v/>
      </c>
      <c r="E334" s="19" t="str">
        <f t="shared" si="141"/>
        <v/>
      </c>
      <c r="F334" s="29"/>
      <c r="G334" s="29"/>
      <c r="H334" s="31" t="str">
        <f>IF(F334="","",VLOOKUP(F334,'Data Induk Pegawai'!B:U,2,FALSE))</f>
        <v/>
      </c>
      <c r="I334" s="19" t="str">
        <f>IF('REGISTER SK'!C337="","",'REGISTER SK'!C337)</f>
        <v/>
      </c>
      <c r="J334" s="125"/>
      <c r="K334" s="125"/>
      <c r="L334" s="26" t="str">
        <f>IF('REGISTER SK'!D337="","",'REGISTER SK'!D337)</f>
        <v/>
      </c>
      <c r="M334" s="26" t="str">
        <f>IF('REGISTER SK'!E337="","",'REGISTER SK'!E337)</f>
        <v/>
      </c>
      <c r="N334" s="31" t="str">
        <f>IF(G334="","",IF(OR(G334="GTT",G334="PTT"),"--",VLOOKUP(F334,'Data Induk Pegawai'!B:AE,4,FALSE)))</f>
        <v/>
      </c>
      <c r="O334" s="18" t="s">
        <v>303</v>
      </c>
      <c r="P334" s="31" t="str">
        <f>IF(G334="","",VLOOKUP(F334,'Data Induk Pegawai'!B:AE,7,FALSE))</f>
        <v/>
      </c>
      <c r="Q334" s="30"/>
      <c r="R334" s="26" t="str">
        <f>IF(G334="","","Nomor "&amp;RIGHT(VLOOKUP(F334,'Data Induk Pegawai'!B:AE,12,FALSE),2)&amp;" Tahun "&amp;MID(VLOOKUP(F334,'Data Induk Pegawai'!B:AE,12,FALSE),5,4))</f>
        <v/>
      </c>
      <c r="S334" s="26" t="str">
        <f>IF(G334="","",VLOOKUP(F334,'Data Induk Pegawai'!B:AE,11,FALSE))</f>
        <v/>
      </c>
      <c r="T334" s="56"/>
      <c r="U334" s="18" t="str">
        <f t="shared" si="122"/>
        <v/>
      </c>
      <c r="V334" s="30"/>
      <c r="W334" s="18" t="str">
        <f t="shared" si="121"/>
        <v/>
      </c>
      <c r="X334" s="16"/>
      <c r="Y334" t="str">
        <f t="shared" si="123"/>
        <v/>
      </c>
      <c r="Z334" t="str">
        <f t="shared" si="124"/>
        <v/>
      </c>
      <c r="AA334" t="str">
        <f t="shared" si="125"/>
        <v/>
      </c>
      <c r="AB334" t="str">
        <f>COUNTIFS(AC334:AC$596,AC334)&amp;AC334</f>
        <v>263</v>
      </c>
      <c r="AC334" t="str">
        <f t="shared" si="142"/>
        <v/>
      </c>
      <c r="AD334" t="str">
        <f>COUNTIFS(AC$2:AC334,AC334)&amp;AC334</f>
        <v>333</v>
      </c>
      <c r="AE334" t="str">
        <f t="shared" si="126"/>
        <v/>
      </c>
      <c r="AF334" t="str">
        <f t="shared" si="143"/>
        <v>..</v>
      </c>
      <c r="AG334" s="28" t="str">
        <f t="shared" si="127"/>
        <v/>
      </c>
      <c r="AH334" s="28" t="str">
        <f t="shared" si="128"/>
        <v/>
      </c>
      <c r="AI334" t="str">
        <f t="shared" si="129"/>
        <v/>
      </c>
      <c r="AJ334" t="str">
        <f t="shared" si="130"/>
        <v/>
      </c>
      <c r="AK334" t="str">
        <f t="shared" si="131"/>
        <v/>
      </c>
      <c r="AL334" t="str">
        <f t="shared" si="132"/>
        <v/>
      </c>
      <c r="AM334" t="str">
        <f t="shared" si="133"/>
        <v/>
      </c>
      <c r="AN334" t="str">
        <f t="shared" si="134"/>
        <v/>
      </c>
      <c r="AO334" t="str">
        <f t="shared" si="135"/>
        <v/>
      </c>
      <c r="AP334" t="str">
        <f t="shared" si="136"/>
        <v/>
      </c>
      <c r="AQ334" t="str">
        <f t="shared" si="137"/>
        <v/>
      </c>
      <c r="AR334" t="str">
        <f t="shared" si="138"/>
        <v/>
      </c>
      <c r="AS334" t="str">
        <f t="shared" si="139"/>
        <v/>
      </c>
      <c r="AT334" t="str">
        <f t="shared" si="140"/>
        <v/>
      </c>
      <c r="AU334" s="25" t="str">
        <f t="shared" si="144"/>
        <v/>
      </c>
      <c r="BA334">
        <f>'REGISTER SK'!F337</f>
        <v>0</v>
      </c>
    </row>
    <row r="335" spans="1:53" x14ac:dyDescent="0.35">
      <c r="A335" s="18">
        <v>334</v>
      </c>
      <c r="B335" s="36" t="s">
        <v>379</v>
      </c>
      <c r="C335" s="18" t="str">
        <f>IF(G335="","",IF(G335="Umum",G335,VLOOKUP(F335,'Data Induk Pegawai'!B:AE,4,FALSE)))</f>
        <v/>
      </c>
      <c r="D335" s="19" t="str">
        <f>IF('REGISTER SK'!A338="","",IF('REGISTER SK'!B338=0,D334,'REGISTER SK'!B338))</f>
        <v/>
      </c>
      <c r="E335" s="19" t="str">
        <f t="shared" si="141"/>
        <v/>
      </c>
      <c r="F335" s="29"/>
      <c r="G335" s="29"/>
      <c r="H335" s="31" t="str">
        <f>IF(F335="","",VLOOKUP(F335,'Data Induk Pegawai'!B:U,2,FALSE))</f>
        <v/>
      </c>
      <c r="I335" s="19" t="str">
        <f>IF('REGISTER SK'!C338="","",'REGISTER SK'!C338)</f>
        <v/>
      </c>
      <c r="J335" s="125"/>
      <c r="K335" s="125"/>
      <c r="L335" s="26" t="str">
        <f>IF('REGISTER SK'!D338="","",'REGISTER SK'!D338)</f>
        <v/>
      </c>
      <c r="M335" s="26" t="str">
        <f>IF('REGISTER SK'!E338="","",'REGISTER SK'!E338)</f>
        <v/>
      </c>
      <c r="N335" s="31" t="str">
        <f>IF(G335="","",IF(OR(G335="GTT",G335="PTT"),"--",VLOOKUP(F335,'Data Induk Pegawai'!B:AE,4,FALSE)))</f>
        <v/>
      </c>
      <c r="O335" s="18" t="s">
        <v>304</v>
      </c>
      <c r="P335" s="31" t="str">
        <f>IF(G335="","",VLOOKUP(F335,'Data Induk Pegawai'!B:AE,7,FALSE))</f>
        <v/>
      </c>
      <c r="Q335" s="30"/>
      <c r="R335" s="26" t="str">
        <f>IF(G335="","","Nomor "&amp;RIGHT(VLOOKUP(F335,'Data Induk Pegawai'!B:AE,12,FALSE),2)&amp;" Tahun "&amp;MID(VLOOKUP(F335,'Data Induk Pegawai'!B:AE,12,FALSE),5,4))</f>
        <v/>
      </c>
      <c r="S335" s="26" t="str">
        <f>IF(G335="","",VLOOKUP(F335,'Data Induk Pegawai'!B:AE,11,FALSE))</f>
        <v/>
      </c>
      <c r="T335" s="56"/>
      <c r="U335" s="18" t="str">
        <f t="shared" si="122"/>
        <v/>
      </c>
      <c r="V335" s="30"/>
      <c r="W335" s="18" t="str">
        <f t="shared" si="121"/>
        <v/>
      </c>
      <c r="X335" s="16"/>
      <c r="Y335" t="str">
        <f t="shared" si="123"/>
        <v/>
      </c>
      <c r="Z335" t="str">
        <f t="shared" si="124"/>
        <v/>
      </c>
      <c r="AA335" t="str">
        <f t="shared" si="125"/>
        <v/>
      </c>
      <c r="AB335" t="str">
        <f>COUNTIFS(AC335:AC$596,AC335)&amp;AC335</f>
        <v>262</v>
      </c>
      <c r="AC335" t="str">
        <f t="shared" si="142"/>
        <v/>
      </c>
      <c r="AD335" t="str">
        <f>COUNTIFS(AC$2:AC335,AC335)&amp;AC335</f>
        <v>334</v>
      </c>
      <c r="AE335" t="str">
        <f t="shared" si="126"/>
        <v/>
      </c>
      <c r="AF335" t="str">
        <f t="shared" si="143"/>
        <v>..</v>
      </c>
      <c r="AG335" s="28" t="str">
        <f t="shared" si="127"/>
        <v/>
      </c>
      <c r="AH335" s="28" t="str">
        <f t="shared" si="128"/>
        <v/>
      </c>
      <c r="AI335" t="str">
        <f t="shared" si="129"/>
        <v/>
      </c>
      <c r="AJ335" t="str">
        <f t="shared" si="130"/>
        <v/>
      </c>
      <c r="AK335" t="str">
        <f t="shared" si="131"/>
        <v/>
      </c>
      <c r="AL335" t="str">
        <f t="shared" si="132"/>
        <v/>
      </c>
      <c r="AM335" t="str">
        <f t="shared" si="133"/>
        <v/>
      </c>
      <c r="AN335" t="str">
        <f t="shared" si="134"/>
        <v/>
      </c>
      <c r="AO335" t="str">
        <f t="shared" si="135"/>
        <v/>
      </c>
      <c r="AP335" t="str">
        <f t="shared" si="136"/>
        <v/>
      </c>
      <c r="AQ335" t="str">
        <f t="shared" si="137"/>
        <v/>
      </c>
      <c r="AR335" t="str">
        <f t="shared" si="138"/>
        <v/>
      </c>
      <c r="AS335" t="str">
        <f t="shared" si="139"/>
        <v/>
      </c>
      <c r="AT335" t="str">
        <f t="shared" si="140"/>
        <v/>
      </c>
      <c r="AU335" s="25" t="str">
        <f t="shared" si="144"/>
        <v/>
      </c>
      <c r="BA335">
        <f>'REGISTER SK'!F338</f>
        <v>0</v>
      </c>
    </row>
    <row r="336" spans="1:53" x14ac:dyDescent="0.35">
      <c r="A336" s="18">
        <v>335</v>
      </c>
      <c r="B336" s="36" t="s">
        <v>379</v>
      </c>
      <c r="C336" s="18" t="str">
        <f>IF(G336="","",IF(G336="Umum",G336,VLOOKUP(F336,'Data Induk Pegawai'!B:AE,4,FALSE)))</f>
        <v/>
      </c>
      <c r="D336" s="19" t="str">
        <f>IF('REGISTER SK'!A339="","",IF('REGISTER SK'!B339=0,D335,'REGISTER SK'!B339))</f>
        <v/>
      </c>
      <c r="E336" s="19" t="str">
        <f t="shared" si="141"/>
        <v/>
      </c>
      <c r="F336" s="29"/>
      <c r="G336" s="29"/>
      <c r="H336" s="31" t="str">
        <f>IF(F336="","",VLOOKUP(F336,'Data Induk Pegawai'!B:U,2,FALSE))</f>
        <v/>
      </c>
      <c r="I336" s="19" t="str">
        <f>IF('REGISTER SK'!C339="","",'REGISTER SK'!C339)</f>
        <v/>
      </c>
      <c r="J336" s="125"/>
      <c r="K336" s="125"/>
      <c r="L336" s="26" t="str">
        <f>IF('REGISTER SK'!D339="","",'REGISTER SK'!D339)</f>
        <v/>
      </c>
      <c r="M336" s="26" t="str">
        <f>IF('REGISTER SK'!E339="","",'REGISTER SK'!E339)</f>
        <v/>
      </c>
      <c r="N336" s="31" t="str">
        <f>IF(G336="","",IF(OR(G336="GTT",G336="PTT"),"--",VLOOKUP(F336,'Data Induk Pegawai'!B:AE,4,FALSE)))</f>
        <v/>
      </c>
      <c r="O336" s="18" t="s">
        <v>287</v>
      </c>
      <c r="P336" s="31" t="str">
        <f>IF(G336="","",VLOOKUP(F336,'Data Induk Pegawai'!B:AE,7,FALSE))</f>
        <v/>
      </c>
      <c r="Q336" s="30"/>
      <c r="R336" s="26" t="str">
        <f>IF(G336="","","Nomor "&amp;RIGHT(VLOOKUP(F336,'Data Induk Pegawai'!B:AE,12,FALSE),2)&amp;" Tahun "&amp;MID(VLOOKUP(F336,'Data Induk Pegawai'!B:AE,12,FALSE),5,4))</f>
        <v/>
      </c>
      <c r="S336" s="26" t="str">
        <f>IF(G336="","",VLOOKUP(F336,'Data Induk Pegawai'!B:AE,11,FALSE))</f>
        <v/>
      </c>
      <c r="T336" s="56"/>
      <c r="U336" s="18" t="str">
        <f t="shared" si="122"/>
        <v/>
      </c>
      <c r="V336" s="30"/>
      <c r="W336" s="18" t="str">
        <f t="shared" si="121"/>
        <v/>
      </c>
      <c r="X336" s="16"/>
      <c r="Y336" t="str">
        <f t="shared" si="123"/>
        <v/>
      </c>
      <c r="Z336" t="str">
        <f t="shared" si="124"/>
        <v/>
      </c>
      <c r="AA336" t="str">
        <f t="shared" si="125"/>
        <v/>
      </c>
      <c r="AB336" t="str">
        <f>COUNTIFS(AC336:AC$596,AC336)&amp;AC336</f>
        <v>261</v>
      </c>
      <c r="AC336" t="str">
        <f t="shared" si="142"/>
        <v/>
      </c>
      <c r="AD336" t="str">
        <f>COUNTIFS(AC$2:AC336,AC336)&amp;AC336</f>
        <v>335</v>
      </c>
      <c r="AE336" t="str">
        <f t="shared" si="126"/>
        <v/>
      </c>
      <c r="AF336" t="str">
        <f t="shared" si="143"/>
        <v>..</v>
      </c>
      <c r="AG336" s="28" t="str">
        <f t="shared" si="127"/>
        <v/>
      </c>
      <c r="AH336" s="28" t="str">
        <f t="shared" si="128"/>
        <v/>
      </c>
      <c r="AI336" t="str">
        <f t="shared" si="129"/>
        <v/>
      </c>
      <c r="AJ336" t="str">
        <f t="shared" si="130"/>
        <v/>
      </c>
      <c r="AK336" t="str">
        <f t="shared" si="131"/>
        <v/>
      </c>
      <c r="AL336" t="str">
        <f t="shared" si="132"/>
        <v/>
      </c>
      <c r="AM336" t="str">
        <f t="shared" si="133"/>
        <v/>
      </c>
      <c r="AN336" t="str">
        <f t="shared" si="134"/>
        <v/>
      </c>
      <c r="AO336" t="str">
        <f t="shared" si="135"/>
        <v/>
      </c>
      <c r="AP336" t="str">
        <f t="shared" si="136"/>
        <v/>
      </c>
      <c r="AQ336" t="str">
        <f t="shared" si="137"/>
        <v/>
      </c>
      <c r="AR336" t="str">
        <f t="shared" si="138"/>
        <v/>
      </c>
      <c r="AS336" t="str">
        <f t="shared" si="139"/>
        <v/>
      </c>
      <c r="AT336" t="str">
        <f t="shared" si="140"/>
        <v/>
      </c>
      <c r="AU336" s="25" t="str">
        <f t="shared" si="144"/>
        <v/>
      </c>
      <c r="BA336">
        <f>'REGISTER SK'!F339</f>
        <v>0</v>
      </c>
    </row>
    <row r="337" spans="1:53" x14ac:dyDescent="0.35">
      <c r="A337" s="18">
        <v>336</v>
      </c>
      <c r="B337" s="36" t="s">
        <v>379</v>
      </c>
      <c r="C337" s="18" t="str">
        <f>IF(G337="","",IF(G337="Umum",G337,VLOOKUP(F337,'Data Induk Pegawai'!B:AE,4,FALSE)))</f>
        <v/>
      </c>
      <c r="D337" s="19" t="str">
        <f>IF('REGISTER SK'!A340="","",IF('REGISTER SK'!B340=0,D336,'REGISTER SK'!B340))</f>
        <v/>
      </c>
      <c r="E337" s="19" t="str">
        <f t="shared" si="141"/>
        <v/>
      </c>
      <c r="F337" s="29"/>
      <c r="G337" s="29"/>
      <c r="H337" s="31" t="str">
        <f>IF(F337="","",VLOOKUP(F337,'Data Induk Pegawai'!B:U,2,FALSE))</f>
        <v/>
      </c>
      <c r="I337" s="19" t="str">
        <f>IF('REGISTER SK'!C340="","",'REGISTER SK'!C340)</f>
        <v/>
      </c>
      <c r="J337" s="125"/>
      <c r="K337" s="125"/>
      <c r="L337" s="26" t="str">
        <f>IF('REGISTER SK'!D340="","",'REGISTER SK'!D340)</f>
        <v/>
      </c>
      <c r="M337" s="26" t="str">
        <f>IF('REGISTER SK'!E340="","",'REGISTER SK'!E340)</f>
        <v/>
      </c>
      <c r="N337" s="31" t="str">
        <f>IF(G337="","",IF(OR(G337="GTT",G337="PTT"),"--",VLOOKUP(F337,'Data Induk Pegawai'!B:AE,4,FALSE)))</f>
        <v/>
      </c>
      <c r="O337" s="18" t="s">
        <v>299</v>
      </c>
      <c r="P337" s="31" t="str">
        <f>IF(G337="","",VLOOKUP(F337,'Data Induk Pegawai'!B:AE,7,FALSE))</f>
        <v/>
      </c>
      <c r="Q337" s="30"/>
      <c r="R337" s="26" t="str">
        <f>IF(G337="","","Nomor "&amp;RIGHT(VLOOKUP(F337,'Data Induk Pegawai'!B:AE,12,FALSE),2)&amp;" Tahun "&amp;MID(VLOOKUP(F337,'Data Induk Pegawai'!B:AE,12,FALSE),5,4))</f>
        <v/>
      </c>
      <c r="S337" s="26" t="str">
        <f>IF(G337="","",VLOOKUP(F337,'Data Induk Pegawai'!B:AE,11,FALSE))</f>
        <v/>
      </c>
      <c r="T337" s="56"/>
      <c r="U337" s="18" t="str">
        <f t="shared" si="122"/>
        <v/>
      </c>
      <c r="V337" s="30"/>
      <c r="W337" s="18" t="str">
        <f t="shared" si="121"/>
        <v/>
      </c>
      <c r="X337" s="16"/>
      <c r="Y337" t="str">
        <f t="shared" si="123"/>
        <v/>
      </c>
      <c r="Z337" t="str">
        <f t="shared" si="124"/>
        <v/>
      </c>
      <c r="AA337" t="str">
        <f t="shared" si="125"/>
        <v/>
      </c>
      <c r="AB337" t="str">
        <f>COUNTIFS(AC337:AC$596,AC337)&amp;AC337</f>
        <v>260</v>
      </c>
      <c r="AC337" t="str">
        <f t="shared" si="142"/>
        <v/>
      </c>
      <c r="AD337" t="str">
        <f>COUNTIFS(AC$2:AC337,AC337)&amp;AC337</f>
        <v>336</v>
      </c>
      <c r="AE337" t="str">
        <f t="shared" si="126"/>
        <v/>
      </c>
      <c r="AF337" t="str">
        <f t="shared" si="143"/>
        <v>..</v>
      </c>
      <c r="AG337" s="28" t="str">
        <f t="shared" si="127"/>
        <v/>
      </c>
      <c r="AH337" s="28" t="str">
        <f t="shared" si="128"/>
        <v/>
      </c>
      <c r="AI337" t="str">
        <f t="shared" si="129"/>
        <v/>
      </c>
      <c r="AJ337" t="str">
        <f t="shared" si="130"/>
        <v/>
      </c>
      <c r="AK337" t="str">
        <f t="shared" si="131"/>
        <v/>
      </c>
      <c r="AL337" t="str">
        <f t="shared" si="132"/>
        <v/>
      </c>
      <c r="AM337" t="str">
        <f t="shared" si="133"/>
        <v/>
      </c>
      <c r="AN337" t="str">
        <f t="shared" si="134"/>
        <v/>
      </c>
      <c r="AO337" t="str">
        <f t="shared" si="135"/>
        <v/>
      </c>
      <c r="AP337" t="str">
        <f t="shared" si="136"/>
        <v/>
      </c>
      <c r="AQ337" t="str">
        <f t="shared" si="137"/>
        <v/>
      </c>
      <c r="AR337" t="str">
        <f t="shared" si="138"/>
        <v/>
      </c>
      <c r="AS337" t="str">
        <f t="shared" si="139"/>
        <v/>
      </c>
      <c r="AT337" t="str">
        <f t="shared" si="140"/>
        <v/>
      </c>
      <c r="AU337" s="25" t="str">
        <f t="shared" si="144"/>
        <v/>
      </c>
      <c r="BA337">
        <f>'REGISTER SK'!F340</f>
        <v>0</v>
      </c>
    </row>
    <row r="338" spans="1:53" x14ac:dyDescent="0.35">
      <c r="A338" s="18">
        <v>337</v>
      </c>
      <c r="B338" s="36" t="s">
        <v>379</v>
      </c>
      <c r="C338" s="18" t="str">
        <f>IF(G338="","",IF(G338="Umum",G338,VLOOKUP(F338,'Data Induk Pegawai'!B:AE,4,FALSE)))</f>
        <v/>
      </c>
      <c r="D338" s="19" t="str">
        <f>IF('REGISTER SK'!A341="","",IF('REGISTER SK'!B341=0,D337,'REGISTER SK'!B341))</f>
        <v/>
      </c>
      <c r="E338" s="19" t="str">
        <f t="shared" si="141"/>
        <v/>
      </c>
      <c r="F338" s="29"/>
      <c r="G338" s="29"/>
      <c r="H338" s="31" t="str">
        <f>IF(F338="","",VLOOKUP(F338,'Data Induk Pegawai'!B:U,2,FALSE))</f>
        <v/>
      </c>
      <c r="I338" s="19" t="str">
        <f>IF('REGISTER SK'!C341="","",'REGISTER SK'!C341)</f>
        <v/>
      </c>
      <c r="J338" s="125"/>
      <c r="K338" s="125"/>
      <c r="L338" s="26" t="str">
        <f>IF('REGISTER SK'!D341="","",'REGISTER SK'!D341)</f>
        <v/>
      </c>
      <c r="M338" s="26" t="str">
        <f>IF('REGISTER SK'!E341="","",'REGISTER SK'!E341)</f>
        <v/>
      </c>
      <c r="N338" s="31" t="str">
        <f>IF(G338="","",IF(OR(G338="GTT",G338="PTT"),"--",VLOOKUP(F338,'Data Induk Pegawai'!B:AE,4,FALSE)))</f>
        <v/>
      </c>
      <c r="O338" s="18" t="s">
        <v>310</v>
      </c>
      <c r="P338" s="31" t="str">
        <f>IF(G338="","",VLOOKUP(F338,'Data Induk Pegawai'!B:AE,7,FALSE))</f>
        <v/>
      </c>
      <c r="Q338" s="30"/>
      <c r="R338" s="26" t="str">
        <f>IF(G338="","","Nomor "&amp;RIGHT(VLOOKUP(F338,'Data Induk Pegawai'!B:AE,12,FALSE),2)&amp;" Tahun "&amp;MID(VLOOKUP(F338,'Data Induk Pegawai'!B:AE,12,FALSE),5,4))</f>
        <v/>
      </c>
      <c r="S338" s="26" t="str">
        <f>IF(G338="","",VLOOKUP(F338,'Data Induk Pegawai'!B:AE,11,FALSE))</f>
        <v/>
      </c>
      <c r="T338" s="56"/>
      <c r="U338" s="18" t="str">
        <f t="shared" si="122"/>
        <v/>
      </c>
      <c r="V338" s="30"/>
      <c r="W338" s="18" t="str">
        <f t="shared" si="121"/>
        <v/>
      </c>
      <c r="X338" s="16"/>
      <c r="Y338" t="str">
        <f t="shared" si="123"/>
        <v/>
      </c>
      <c r="Z338" t="str">
        <f t="shared" si="124"/>
        <v/>
      </c>
      <c r="AA338" t="str">
        <f t="shared" si="125"/>
        <v/>
      </c>
      <c r="AB338" t="str">
        <f>COUNTIFS(AC338:AC$596,AC338)&amp;AC338</f>
        <v>259</v>
      </c>
      <c r="AC338" t="str">
        <f t="shared" si="142"/>
        <v/>
      </c>
      <c r="AD338" t="str">
        <f>COUNTIFS(AC$2:AC338,AC338)&amp;AC338</f>
        <v>337</v>
      </c>
      <c r="AE338" t="str">
        <f t="shared" si="126"/>
        <v/>
      </c>
      <c r="AF338" t="str">
        <f t="shared" si="143"/>
        <v>..</v>
      </c>
      <c r="AG338" s="28" t="str">
        <f t="shared" si="127"/>
        <v/>
      </c>
      <c r="AH338" s="28" t="str">
        <f t="shared" si="128"/>
        <v/>
      </c>
      <c r="AI338" t="str">
        <f t="shared" si="129"/>
        <v/>
      </c>
      <c r="AJ338" t="str">
        <f t="shared" si="130"/>
        <v/>
      </c>
      <c r="AK338" t="str">
        <f t="shared" si="131"/>
        <v/>
      </c>
      <c r="AL338" t="str">
        <f t="shared" si="132"/>
        <v/>
      </c>
      <c r="AM338" t="str">
        <f t="shared" si="133"/>
        <v/>
      </c>
      <c r="AN338" t="str">
        <f t="shared" si="134"/>
        <v/>
      </c>
      <c r="AO338" t="str">
        <f t="shared" si="135"/>
        <v/>
      </c>
      <c r="AP338" t="str">
        <f t="shared" si="136"/>
        <v/>
      </c>
      <c r="AQ338" t="str">
        <f t="shared" si="137"/>
        <v/>
      </c>
      <c r="AR338" t="str">
        <f t="shared" si="138"/>
        <v/>
      </c>
      <c r="AS338" t="str">
        <f t="shared" si="139"/>
        <v/>
      </c>
      <c r="AT338" t="str">
        <f t="shared" si="140"/>
        <v/>
      </c>
      <c r="AU338" s="25" t="str">
        <f t="shared" si="144"/>
        <v/>
      </c>
      <c r="BA338">
        <f>'REGISTER SK'!F341</f>
        <v>0</v>
      </c>
    </row>
    <row r="339" spans="1:53" x14ac:dyDescent="0.35">
      <c r="A339" s="18">
        <v>338</v>
      </c>
      <c r="B339" s="36" t="s">
        <v>379</v>
      </c>
      <c r="C339" s="18" t="str">
        <f>IF(G339="","",IF(G339="Umum",G339,VLOOKUP(F339,'Data Induk Pegawai'!B:AE,4,FALSE)))</f>
        <v/>
      </c>
      <c r="D339" s="19" t="str">
        <f>IF('REGISTER SK'!A342="","",IF('REGISTER SK'!B342=0,D338,'REGISTER SK'!B342))</f>
        <v/>
      </c>
      <c r="E339" s="19" t="str">
        <f t="shared" si="141"/>
        <v/>
      </c>
      <c r="F339" s="29"/>
      <c r="G339" s="29"/>
      <c r="H339" s="31" t="str">
        <f>IF(F339="","",VLOOKUP(F339,'Data Induk Pegawai'!B:U,2,FALSE))</f>
        <v/>
      </c>
      <c r="I339" s="19" t="str">
        <f>IF('REGISTER SK'!C342="","",'REGISTER SK'!C342)</f>
        <v/>
      </c>
      <c r="J339" s="125"/>
      <c r="K339" s="125"/>
      <c r="L339" s="26" t="str">
        <f>IF('REGISTER SK'!D342="","",'REGISTER SK'!D342)</f>
        <v/>
      </c>
      <c r="M339" s="26" t="str">
        <f>IF('REGISTER SK'!E342="","",'REGISTER SK'!E342)</f>
        <v/>
      </c>
      <c r="N339" s="31" t="str">
        <f>IF(G339="","",IF(OR(G339="GTT",G339="PTT"),"--",VLOOKUP(F339,'Data Induk Pegawai'!B:AE,4,FALSE)))</f>
        <v/>
      </c>
      <c r="O339" s="18" t="s">
        <v>306</v>
      </c>
      <c r="P339" s="31" t="str">
        <f>IF(G339="","",VLOOKUP(F339,'Data Induk Pegawai'!B:AE,7,FALSE))</f>
        <v/>
      </c>
      <c r="Q339" s="30"/>
      <c r="R339" s="26" t="str">
        <f>IF(G339="","","Nomor "&amp;RIGHT(VLOOKUP(F339,'Data Induk Pegawai'!B:AE,12,FALSE),2)&amp;" Tahun "&amp;MID(VLOOKUP(F339,'Data Induk Pegawai'!B:AE,12,FALSE),5,4))</f>
        <v/>
      </c>
      <c r="S339" s="26" t="str">
        <f>IF(G339="","",VLOOKUP(F339,'Data Induk Pegawai'!B:AE,11,FALSE))</f>
        <v/>
      </c>
      <c r="T339" s="56"/>
      <c r="U339" s="18" t="str">
        <f t="shared" si="122"/>
        <v/>
      </c>
      <c r="V339" s="30"/>
      <c r="W339" s="18" t="str">
        <f t="shared" si="121"/>
        <v/>
      </c>
      <c r="X339" s="16"/>
      <c r="Y339" t="str">
        <f t="shared" si="123"/>
        <v/>
      </c>
      <c r="Z339" t="str">
        <f t="shared" si="124"/>
        <v/>
      </c>
      <c r="AA339" t="str">
        <f t="shared" si="125"/>
        <v/>
      </c>
      <c r="AB339" t="str">
        <f>COUNTIFS(AC339:AC$596,AC339)&amp;AC339</f>
        <v>258</v>
      </c>
      <c r="AC339" t="str">
        <f t="shared" si="142"/>
        <v/>
      </c>
      <c r="AD339" t="str">
        <f>COUNTIFS(AC$2:AC339,AC339)&amp;AC339</f>
        <v>338</v>
      </c>
      <c r="AE339" t="str">
        <f t="shared" si="126"/>
        <v/>
      </c>
      <c r="AF339" t="str">
        <f t="shared" si="143"/>
        <v>..</v>
      </c>
      <c r="AG339" s="28" t="str">
        <f t="shared" si="127"/>
        <v/>
      </c>
      <c r="AH339" s="28" t="str">
        <f t="shared" si="128"/>
        <v/>
      </c>
      <c r="AI339" t="str">
        <f t="shared" si="129"/>
        <v/>
      </c>
      <c r="AJ339" t="str">
        <f t="shared" si="130"/>
        <v/>
      </c>
      <c r="AK339" t="str">
        <f t="shared" si="131"/>
        <v/>
      </c>
      <c r="AL339" t="str">
        <f t="shared" si="132"/>
        <v/>
      </c>
      <c r="AM339" t="str">
        <f t="shared" si="133"/>
        <v/>
      </c>
      <c r="AN339" t="str">
        <f t="shared" si="134"/>
        <v/>
      </c>
      <c r="AO339" t="str">
        <f t="shared" si="135"/>
        <v/>
      </c>
      <c r="AP339" t="str">
        <f t="shared" si="136"/>
        <v/>
      </c>
      <c r="AQ339" t="str">
        <f t="shared" si="137"/>
        <v/>
      </c>
      <c r="AR339" t="str">
        <f t="shared" si="138"/>
        <v/>
      </c>
      <c r="AS339" t="str">
        <f t="shared" si="139"/>
        <v/>
      </c>
      <c r="AT339" t="str">
        <f t="shared" si="140"/>
        <v/>
      </c>
      <c r="AU339" s="25" t="str">
        <f t="shared" si="144"/>
        <v/>
      </c>
      <c r="BA339">
        <f>'REGISTER SK'!F342</f>
        <v>0</v>
      </c>
    </row>
    <row r="340" spans="1:53" x14ac:dyDescent="0.35">
      <c r="A340" s="18">
        <v>339</v>
      </c>
      <c r="B340" s="36" t="s">
        <v>379</v>
      </c>
      <c r="C340" s="18" t="str">
        <f>IF(G340="","",IF(G340="Umum",G340,VLOOKUP(F340,'Data Induk Pegawai'!B:AE,4,FALSE)))</f>
        <v/>
      </c>
      <c r="D340" s="19" t="str">
        <f>IF('REGISTER SK'!A343="","",IF('REGISTER SK'!B343=0,D339,'REGISTER SK'!B343))</f>
        <v/>
      </c>
      <c r="E340" s="19" t="str">
        <f t="shared" si="141"/>
        <v/>
      </c>
      <c r="F340" s="29"/>
      <c r="G340" s="29"/>
      <c r="H340" s="31" t="str">
        <f>IF(F340="","",VLOOKUP(F340,'Data Induk Pegawai'!B:U,2,FALSE))</f>
        <v/>
      </c>
      <c r="I340" s="19" t="str">
        <f>IF('REGISTER SK'!C343="","",'REGISTER SK'!C343)</f>
        <v/>
      </c>
      <c r="J340" s="125"/>
      <c r="K340" s="125"/>
      <c r="L340" s="26" t="str">
        <f>IF('REGISTER SK'!D343="","",'REGISTER SK'!D343)</f>
        <v/>
      </c>
      <c r="M340" s="26" t="str">
        <f>IF('REGISTER SK'!E343="","",'REGISTER SK'!E343)</f>
        <v/>
      </c>
      <c r="N340" s="31" t="str">
        <f>IF(G340="","",IF(OR(G340="GTT",G340="PTT"),"--",VLOOKUP(F340,'Data Induk Pegawai'!B:AE,4,FALSE)))</f>
        <v/>
      </c>
      <c r="O340" s="18" t="s">
        <v>307</v>
      </c>
      <c r="P340" s="31" t="str">
        <f>IF(G340="","",VLOOKUP(F340,'Data Induk Pegawai'!B:AE,7,FALSE))</f>
        <v/>
      </c>
      <c r="Q340" s="30"/>
      <c r="R340" s="26" t="str">
        <f>IF(G340="","","Nomor "&amp;RIGHT(VLOOKUP(F340,'Data Induk Pegawai'!B:AE,12,FALSE),2)&amp;" Tahun "&amp;MID(VLOOKUP(F340,'Data Induk Pegawai'!B:AE,12,FALSE),5,4))</f>
        <v/>
      </c>
      <c r="S340" s="26" t="str">
        <f>IF(G340="","",VLOOKUP(F340,'Data Induk Pegawai'!B:AE,11,FALSE))</f>
        <v/>
      </c>
      <c r="T340" s="56"/>
      <c r="U340" s="18" t="str">
        <f t="shared" si="122"/>
        <v/>
      </c>
      <c r="V340" s="30"/>
      <c r="W340" s="18" t="str">
        <f t="shared" si="121"/>
        <v/>
      </c>
      <c r="X340" s="16"/>
      <c r="Y340" t="str">
        <f t="shared" si="123"/>
        <v/>
      </c>
      <c r="Z340" t="str">
        <f t="shared" si="124"/>
        <v/>
      </c>
      <c r="AA340" t="str">
        <f t="shared" si="125"/>
        <v/>
      </c>
      <c r="AB340" t="str">
        <f>COUNTIFS(AC340:AC$596,AC340)&amp;AC340</f>
        <v>257</v>
      </c>
      <c r="AC340" t="str">
        <f t="shared" si="142"/>
        <v/>
      </c>
      <c r="AD340" t="str">
        <f>COUNTIFS(AC$2:AC340,AC340)&amp;AC340</f>
        <v>339</v>
      </c>
      <c r="AE340" t="str">
        <f t="shared" si="126"/>
        <v/>
      </c>
      <c r="AF340" t="str">
        <f t="shared" si="143"/>
        <v>..</v>
      </c>
      <c r="AG340" s="28" t="str">
        <f t="shared" si="127"/>
        <v/>
      </c>
      <c r="AH340" s="28" t="str">
        <f t="shared" si="128"/>
        <v/>
      </c>
      <c r="AI340" t="str">
        <f t="shared" si="129"/>
        <v/>
      </c>
      <c r="AJ340" t="str">
        <f t="shared" si="130"/>
        <v/>
      </c>
      <c r="AK340" t="str">
        <f t="shared" si="131"/>
        <v/>
      </c>
      <c r="AL340" t="str">
        <f t="shared" si="132"/>
        <v/>
      </c>
      <c r="AM340" t="str">
        <f t="shared" si="133"/>
        <v/>
      </c>
      <c r="AN340" t="str">
        <f t="shared" si="134"/>
        <v/>
      </c>
      <c r="AO340" t="str">
        <f t="shared" si="135"/>
        <v/>
      </c>
      <c r="AP340" t="str">
        <f t="shared" si="136"/>
        <v/>
      </c>
      <c r="AQ340" t="str">
        <f t="shared" si="137"/>
        <v/>
      </c>
      <c r="AR340" t="str">
        <f t="shared" si="138"/>
        <v/>
      </c>
      <c r="AS340" t="str">
        <f t="shared" si="139"/>
        <v/>
      </c>
      <c r="AT340" t="str">
        <f t="shared" si="140"/>
        <v/>
      </c>
      <c r="AU340" s="25" t="str">
        <f t="shared" si="144"/>
        <v/>
      </c>
      <c r="BA340">
        <f>'REGISTER SK'!F343</f>
        <v>0</v>
      </c>
    </row>
    <row r="341" spans="1:53" x14ac:dyDescent="0.35">
      <c r="A341" s="18">
        <v>340</v>
      </c>
      <c r="B341" s="36" t="s">
        <v>379</v>
      </c>
      <c r="C341" s="18" t="str">
        <f>IF(G341="","",IF(G341="Umum",G341,VLOOKUP(F341,'Data Induk Pegawai'!B:AE,4,FALSE)))</f>
        <v/>
      </c>
      <c r="D341" s="19" t="str">
        <f>IF('REGISTER SK'!A344="","",IF('REGISTER SK'!B344=0,D340,'REGISTER SK'!B344))</f>
        <v/>
      </c>
      <c r="E341" s="19" t="str">
        <f t="shared" si="141"/>
        <v/>
      </c>
      <c r="F341" s="29"/>
      <c r="G341" s="29"/>
      <c r="H341" s="31" t="str">
        <f>IF(F341="","",VLOOKUP(F341,'Data Induk Pegawai'!B:U,2,FALSE))</f>
        <v/>
      </c>
      <c r="I341" s="19" t="str">
        <f>IF('REGISTER SK'!C344="","",'REGISTER SK'!C344)</f>
        <v/>
      </c>
      <c r="J341" s="125"/>
      <c r="K341" s="125"/>
      <c r="L341" s="26" t="str">
        <f>IF('REGISTER SK'!D344="","",'REGISTER SK'!D344)</f>
        <v/>
      </c>
      <c r="M341" s="26" t="str">
        <f>IF('REGISTER SK'!E344="","",'REGISTER SK'!E344)</f>
        <v/>
      </c>
      <c r="N341" s="31" t="str">
        <f>IF(G341="","",IF(OR(G341="GTT",G341="PTT"),"--",VLOOKUP(F341,'Data Induk Pegawai'!B:AE,4,FALSE)))</f>
        <v/>
      </c>
      <c r="O341" s="18" t="s">
        <v>308</v>
      </c>
      <c r="P341" s="31" t="str">
        <f>IF(G341="","",VLOOKUP(F341,'Data Induk Pegawai'!B:AE,7,FALSE))</f>
        <v/>
      </c>
      <c r="Q341" s="30"/>
      <c r="R341" s="26" t="str">
        <f>IF(G341="","","Nomor "&amp;RIGHT(VLOOKUP(F341,'Data Induk Pegawai'!B:AE,12,FALSE),2)&amp;" Tahun "&amp;MID(VLOOKUP(F341,'Data Induk Pegawai'!B:AE,12,FALSE),5,4))</f>
        <v/>
      </c>
      <c r="S341" s="26" t="str">
        <f>IF(G341="","",VLOOKUP(F341,'Data Induk Pegawai'!B:AE,11,FALSE))</f>
        <v/>
      </c>
      <c r="T341" s="56"/>
      <c r="U341" s="18" t="str">
        <f t="shared" si="122"/>
        <v/>
      </c>
      <c r="V341" s="30"/>
      <c r="W341" s="18" t="str">
        <f t="shared" si="121"/>
        <v/>
      </c>
      <c r="X341" s="16"/>
      <c r="Y341" t="str">
        <f t="shared" si="123"/>
        <v/>
      </c>
      <c r="Z341" t="str">
        <f t="shared" si="124"/>
        <v/>
      </c>
      <c r="AA341" t="str">
        <f t="shared" si="125"/>
        <v/>
      </c>
      <c r="AB341" t="str">
        <f>COUNTIFS(AC341:AC$596,AC341)&amp;AC341</f>
        <v>256</v>
      </c>
      <c r="AC341" t="str">
        <f t="shared" si="142"/>
        <v/>
      </c>
      <c r="AD341" t="str">
        <f>COUNTIFS(AC$2:AC341,AC341)&amp;AC341</f>
        <v>340</v>
      </c>
      <c r="AE341" t="str">
        <f t="shared" si="126"/>
        <v/>
      </c>
      <c r="AF341" t="str">
        <f t="shared" si="143"/>
        <v>..</v>
      </c>
      <c r="AG341" s="28" t="str">
        <f t="shared" si="127"/>
        <v/>
      </c>
      <c r="AH341" s="28" t="str">
        <f t="shared" si="128"/>
        <v/>
      </c>
      <c r="AI341" t="str">
        <f t="shared" si="129"/>
        <v/>
      </c>
      <c r="AJ341" t="str">
        <f t="shared" si="130"/>
        <v/>
      </c>
      <c r="AK341" t="str">
        <f t="shared" si="131"/>
        <v/>
      </c>
      <c r="AL341" t="str">
        <f t="shared" si="132"/>
        <v/>
      </c>
      <c r="AM341" t="str">
        <f t="shared" si="133"/>
        <v/>
      </c>
      <c r="AN341" t="str">
        <f t="shared" si="134"/>
        <v/>
      </c>
      <c r="AO341" t="str">
        <f t="shared" si="135"/>
        <v/>
      </c>
      <c r="AP341" t="str">
        <f t="shared" si="136"/>
        <v/>
      </c>
      <c r="AQ341" t="str">
        <f t="shared" si="137"/>
        <v/>
      </c>
      <c r="AR341" t="str">
        <f t="shared" si="138"/>
        <v/>
      </c>
      <c r="AS341" t="str">
        <f t="shared" si="139"/>
        <v/>
      </c>
      <c r="AT341" t="str">
        <f t="shared" si="140"/>
        <v/>
      </c>
      <c r="AU341" s="25" t="str">
        <f t="shared" si="144"/>
        <v/>
      </c>
      <c r="BA341">
        <f>'REGISTER SK'!F344</f>
        <v>0</v>
      </c>
    </row>
    <row r="342" spans="1:53" x14ac:dyDescent="0.35">
      <c r="A342" s="18">
        <v>341</v>
      </c>
      <c r="B342" s="36" t="s">
        <v>379</v>
      </c>
      <c r="C342" s="18" t="str">
        <f>IF(G342="","",IF(G342="Umum",G342,VLOOKUP(F342,'Data Induk Pegawai'!B:AE,4,FALSE)))</f>
        <v/>
      </c>
      <c r="D342" s="19" t="str">
        <f>IF('REGISTER SK'!A345="","",IF('REGISTER SK'!B345=0,D341,'REGISTER SK'!B345))</f>
        <v/>
      </c>
      <c r="E342" s="19" t="str">
        <f t="shared" si="141"/>
        <v/>
      </c>
      <c r="F342" s="29"/>
      <c r="G342" s="29"/>
      <c r="H342" s="31" t="str">
        <f>IF(F342="","",VLOOKUP(F342,'Data Induk Pegawai'!B:U,2,FALSE))</f>
        <v/>
      </c>
      <c r="I342" s="19" t="str">
        <f>IF('REGISTER SK'!C345="","",'REGISTER SK'!C345)</f>
        <v/>
      </c>
      <c r="J342" s="125"/>
      <c r="K342" s="125"/>
      <c r="L342" s="26" t="str">
        <f>IF('REGISTER SK'!D345="","",'REGISTER SK'!D345)</f>
        <v/>
      </c>
      <c r="M342" s="26" t="str">
        <f>IF('REGISTER SK'!E345="","",'REGISTER SK'!E345)</f>
        <v/>
      </c>
      <c r="N342" s="31" t="str">
        <f>IF(G342="","",IF(OR(G342="GTT",G342="PTT"),"--",VLOOKUP(F342,'Data Induk Pegawai'!B:AE,4,FALSE)))</f>
        <v/>
      </c>
      <c r="O342" s="18" t="s">
        <v>309</v>
      </c>
      <c r="P342" s="31" t="str">
        <f>IF(G342="","",VLOOKUP(F342,'Data Induk Pegawai'!B:AE,7,FALSE))</f>
        <v/>
      </c>
      <c r="Q342" s="30"/>
      <c r="R342" s="26" t="str">
        <f>IF(G342="","","Nomor "&amp;RIGHT(VLOOKUP(F342,'Data Induk Pegawai'!B:AE,12,FALSE),2)&amp;" Tahun "&amp;MID(VLOOKUP(F342,'Data Induk Pegawai'!B:AE,12,FALSE),5,4))</f>
        <v/>
      </c>
      <c r="S342" s="26" t="str">
        <f>IF(G342="","",VLOOKUP(F342,'Data Induk Pegawai'!B:AE,11,FALSE))</f>
        <v/>
      </c>
      <c r="T342" s="56"/>
      <c r="U342" s="18" t="str">
        <f t="shared" si="122"/>
        <v/>
      </c>
      <c r="V342" s="30"/>
      <c r="W342" s="18" t="str">
        <f t="shared" si="121"/>
        <v/>
      </c>
      <c r="X342" s="16"/>
      <c r="Y342" t="str">
        <f t="shared" si="123"/>
        <v/>
      </c>
      <c r="Z342" t="str">
        <f t="shared" si="124"/>
        <v/>
      </c>
      <c r="AA342" t="str">
        <f t="shared" si="125"/>
        <v/>
      </c>
      <c r="AB342" t="str">
        <f>COUNTIFS(AC342:AC$596,AC342)&amp;AC342</f>
        <v>255</v>
      </c>
      <c r="AC342" t="str">
        <f t="shared" si="142"/>
        <v/>
      </c>
      <c r="AD342" t="str">
        <f>COUNTIFS(AC$2:AC342,AC342)&amp;AC342</f>
        <v>341</v>
      </c>
      <c r="AE342" t="str">
        <f t="shared" si="126"/>
        <v/>
      </c>
      <c r="AF342" t="str">
        <f t="shared" si="143"/>
        <v>..</v>
      </c>
      <c r="AG342" s="28" t="str">
        <f t="shared" si="127"/>
        <v/>
      </c>
      <c r="AH342" s="28" t="str">
        <f t="shared" si="128"/>
        <v/>
      </c>
      <c r="AI342" t="str">
        <f t="shared" si="129"/>
        <v/>
      </c>
      <c r="AJ342" t="str">
        <f t="shared" si="130"/>
        <v/>
      </c>
      <c r="AK342" t="str">
        <f t="shared" si="131"/>
        <v/>
      </c>
      <c r="AL342" t="str">
        <f t="shared" si="132"/>
        <v/>
      </c>
      <c r="AM342" t="str">
        <f t="shared" si="133"/>
        <v/>
      </c>
      <c r="AN342" t="str">
        <f t="shared" si="134"/>
        <v/>
      </c>
      <c r="AO342" t="str">
        <f t="shared" si="135"/>
        <v/>
      </c>
      <c r="AP342" t="str">
        <f t="shared" si="136"/>
        <v/>
      </c>
      <c r="AQ342" t="str">
        <f t="shared" si="137"/>
        <v/>
      </c>
      <c r="AR342" t="str">
        <f t="shared" si="138"/>
        <v/>
      </c>
      <c r="AS342" t="str">
        <f t="shared" si="139"/>
        <v/>
      </c>
      <c r="AT342" t="str">
        <f t="shared" si="140"/>
        <v/>
      </c>
      <c r="AU342" s="25" t="str">
        <f t="shared" si="144"/>
        <v/>
      </c>
      <c r="BA342">
        <f>'REGISTER SK'!F345</f>
        <v>0</v>
      </c>
    </row>
    <row r="343" spans="1:53" x14ac:dyDescent="0.35">
      <c r="A343" s="18">
        <v>342</v>
      </c>
      <c r="B343" s="36" t="s">
        <v>379</v>
      </c>
      <c r="C343" s="18" t="str">
        <f>IF(G343="","",IF(G343="Umum",G343,VLOOKUP(F343,'Data Induk Pegawai'!B:AE,4,FALSE)))</f>
        <v/>
      </c>
      <c r="D343" s="19" t="str">
        <f>IF('REGISTER SK'!A346="","",IF('REGISTER SK'!B346=0,D342,'REGISTER SK'!B346))</f>
        <v/>
      </c>
      <c r="E343" s="19" t="str">
        <f t="shared" si="141"/>
        <v/>
      </c>
      <c r="F343" s="29"/>
      <c r="G343" s="29"/>
      <c r="H343" s="31" t="str">
        <f>IF(F343="","",VLOOKUP(F343,'Data Induk Pegawai'!B:U,2,FALSE))</f>
        <v/>
      </c>
      <c r="I343" s="19" t="str">
        <f>IF('REGISTER SK'!C346="","",'REGISTER SK'!C346)</f>
        <v/>
      </c>
      <c r="J343" s="125"/>
      <c r="K343" s="125"/>
      <c r="L343" s="26" t="str">
        <f>IF('REGISTER SK'!D346="","",'REGISTER SK'!D346)</f>
        <v/>
      </c>
      <c r="M343" s="26" t="str">
        <f>IF('REGISTER SK'!E346="","",'REGISTER SK'!E346)</f>
        <v/>
      </c>
      <c r="N343" s="31" t="str">
        <f>IF(G343="","",IF(OR(G343="GTT",G343="PTT"),"--",VLOOKUP(F343,'Data Induk Pegawai'!B:AE,4,FALSE)))</f>
        <v/>
      </c>
      <c r="O343" s="18" t="s">
        <v>313</v>
      </c>
      <c r="P343" s="31" t="str">
        <f>IF(G343="","",VLOOKUP(F343,'Data Induk Pegawai'!B:AE,7,FALSE))</f>
        <v/>
      </c>
      <c r="Q343" s="30"/>
      <c r="R343" s="26" t="str">
        <f>IF(G343="","","Nomor "&amp;RIGHT(VLOOKUP(F343,'Data Induk Pegawai'!B:AE,12,FALSE),2)&amp;" Tahun "&amp;MID(VLOOKUP(F343,'Data Induk Pegawai'!B:AE,12,FALSE),5,4))</f>
        <v/>
      </c>
      <c r="S343" s="26" t="str">
        <f>IF(G343="","",VLOOKUP(F343,'Data Induk Pegawai'!B:AE,11,FALSE))</f>
        <v/>
      </c>
      <c r="T343" s="56"/>
      <c r="U343" s="18" t="str">
        <f t="shared" si="122"/>
        <v/>
      </c>
      <c r="V343" s="30"/>
      <c r="W343" s="18" t="str">
        <f t="shared" ref="W343:W365" si="145">V343&amp;H343</f>
        <v/>
      </c>
      <c r="X343" s="16"/>
      <c r="Y343" t="str">
        <f t="shared" si="123"/>
        <v/>
      </c>
      <c r="Z343" t="str">
        <f t="shared" si="124"/>
        <v/>
      </c>
      <c r="AA343" t="str">
        <f t="shared" si="125"/>
        <v/>
      </c>
      <c r="AB343" t="str">
        <f>COUNTIFS(AC343:AC$596,AC343)&amp;AC343</f>
        <v>254</v>
      </c>
      <c r="AC343" t="str">
        <f t="shared" si="142"/>
        <v/>
      </c>
      <c r="AD343" t="str">
        <f>COUNTIFS(AC$2:AC343,AC343)&amp;AC343</f>
        <v>342</v>
      </c>
      <c r="AE343" t="str">
        <f t="shared" si="126"/>
        <v/>
      </c>
      <c r="AF343" t="str">
        <f t="shared" si="143"/>
        <v>..</v>
      </c>
      <c r="AG343" s="28" t="str">
        <f t="shared" si="127"/>
        <v/>
      </c>
      <c r="AH343" s="28" t="str">
        <f t="shared" si="128"/>
        <v/>
      </c>
      <c r="AI343" t="str">
        <f t="shared" si="129"/>
        <v/>
      </c>
      <c r="AJ343" t="str">
        <f t="shared" si="130"/>
        <v/>
      </c>
      <c r="AK343" t="str">
        <f t="shared" si="131"/>
        <v/>
      </c>
      <c r="AL343" t="str">
        <f t="shared" si="132"/>
        <v/>
      </c>
      <c r="AM343" t="str">
        <f t="shared" si="133"/>
        <v/>
      </c>
      <c r="AN343" t="str">
        <f t="shared" si="134"/>
        <v/>
      </c>
      <c r="AO343" t="str">
        <f t="shared" si="135"/>
        <v/>
      </c>
      <c r="AP343" t="str">
        <f t="shared" si="136"/>
        <v/>
      </c>
      <c r="AQ343" t="str">
        <f t="shared" si="137"/>
        <v/>
      </c>
      <c r="AR343" t="str">
        <f t="shared" si="138"/>
        <v/>
      </c>
      <c r="AS343" t="str">
        <f t="shared" si="139"/>
        <v/>
      </c>
      <c r="AT343" t="str">
        <f t="shared" si="140"/>
        <v/>
      </c>
      <c r="AU343" s="25" t="str">
        <f t="shared" si="144"/>
        <v/>
      </c>
      <c r="BA343">
        <f>'REGISTER SK'!F346</f>
        <v>0</v>
      </c>
    </row>
    <row r="344" spans="1:53" x14ac:dyDescent="0.35">
      <c r="A344" s="18">
        <v>343</v>
      </c>
      <c r="B344" s="36" t="s">
        <v>379</v>
      </c>
      <c r="C344" s="18" t="str">
        <f>IF(G344="","",IF(G344="Umum",G344,VLOOKUP(F344,'Data Induk Pegawai'!B:AE,4,FALSE)))</f>
        <v/>
      </c>
      <c r="D344" s="19" t="str">
        <f>IF('REGISTER SK'!A347="","",IF('REGISTER SK'!B347=0,D343,'REGISTER SK'!B347))</f>
        <v/>
      </c>
      <c r="E344" s="19" t="str">
        <f t="shared" si="141"/>
        <v/>
      </c>
      <c r="F344" s="29"/>
      <c r="G344" s="29"/>
      <c r="H344" s="31" t="str">
        <f>IF(F344="","",VLOOKUP(F344,'Data Induk Pegawai'!B:U,2,FALSE))</f>
        <v/>
      </c>
      <c r="I344" s="19" t="str">
        <f>IF('REGISTER SK'!C347="","",'REGISTER SK'!C347)</f>
        <v/>
      </c>
      <c r="J344" s="125"/>
      <c r="K344" s="125"/>
      <c r="L344" s="26" t="str">
        <f>IF('REGISTER SK'!D347="","",'REGISTER SK'!D347)</f>
        <v/>
      </c>
      <c r="M344" s="26" t="str">
        <f>IF('REGISTER SK'!E347="","",'REGISTER SK'!E347)</f>
        <v/>
      </c>
      <c r="N344" s="31" t="str">
        <f>IF(G344="","",IF(OR(G344="GTT",G344="PTT"),"--",VLOOKUP(F344,'Data Induk Pegawai'!B:AE,4,FALSE)))</f>
        <v/>
      </c>
      <c r="O344" s="18" t="s">
        <v>316</v>
      </c>
      <c r="P344" s="31" t="str">
        <f>IF(G344="","",VLOOKUP(F344,'Data Induk Pegawai'!B:AE,7,FALSE))</f>
        <v/>
      </c>
      <c r="Q344" s="30"/>
      <c r="R344" s="26" t="str">
        <f>IF(G344="","","Nomor "&amp;RIGHT(VLOOKUP(F344,'Data Induk Pegawai'!B:AE,12,FALSE),2)&amp;" Tahun "&amp;MID(VLOOKUP(F344,'Data Induk Pegawai'!B:AE,12,FALSE),5,4))</f>
        <v/>
      </c>
      <c r="S344" s="26" t="str">
        <f>IF(G344="","",VLOOKUP(F344,'Data Induk Pegawai'!B:AE,11,FALSE))</f>
        <v/>
      </c>
      <c r="T344" s="56"/>
      <c r="U344" s="18" t="str">
        <f t="shared" si="122"/>
        <v/>
      </c>
      <c r="V344" s="30"/>
      <c r="W344" s="18" t="str">
        <f t="shared" si="145"/>
        <v/>
      </c>
      <c r="X344" s="16"/>
      <c r="Y344" t="str">
        <f t="shared" si="123"/>
        <v/>
      </c>
      <c r="Z344" t="str">
        <f t="shared" si="124"/>
        <v/>
      </c>
      <c r="AA344" t="str">
        <f t="shared" si="125"/>
        <v/>
      </c>
      <c r="AB344" t="str">
        <f>COUNTIFS(AC344:AC$596,AC344)&amp;AC344</f>
        <v>253</v>
      </c>
      <c r="AC344" t="str">
        <f t="shared" si="142"/>
        <v/>
      </c>
      <c r="AD344" t="str">
        <f>COUNTIFS(AC$2:AC344,AC344)&amp;AC344</f>
        <v>343</v>
      </c>
      <c r="AE344" t="str">
        <f t="shared" si="126"/>
        <v/>
      </c>
      <c r="AF344" t="str">
        <f t="shared" si="143"/>
        <v>..</v>
      </c>
      <c r="AG344" s="28" t="str">
        <f t="shared" si="127"/>
        <v/>
      </c>
      <c r="AH344" s="28" t="str">
        <f t="shared" si="128"/>
        <v/>
      </c>
      <c r="AI344" t="str">
        <f t="shared" si="129"/>
        <v/>
      </c>
      <c r="AJ344" t="str">
        <f t="shared" si="130"/>
        <v/>
      </c>
      <c r="AK344" t="str">
        <f t="shared" si="131"/>
        <v/>
      </c>
      <c r="AL344" t="str">
        <f t="shared" si="132"/>
        <v/>
      </c>
      <c r="AM344" t="str">
        <f t="shared" si="133"/>
        <v/>
      </c>
      <c r="AN344" t="str">
        <f t="shared" si="134"/>
        <v/>
      </c>
      <c r="AO344" t="str">
        <f t="shared" si="135"/>
        <v/>
      </c>
      <c r="AP344" t="str">
        <f t="shared" si="136"/>
        <v/>
      </c>
      <c r="AQ344" t="str">
        <f t="shared" si="137"/>
        <v/>
      </c>
      <c r="AR344" t="str">
        <f t="shared" si="138"/>
        <v/>
      </c>
      <c r="AS344" t="str">
        <f t="shared" si="139"/>
        <v/>
      </c>
      <c r="AT344" t="str">
        <f t="shared" si="140"/>
        <v/>
      </c>
      <c r="AU344" s="25" t="str">
        <f t="shared" si="144"/>
        <v/>
      </c>
      <c r="BA344">
        <f>'REGISTER SK'!F347</f>
        <v>0</v>
      </c>
    </row>
    <row r="345" spans="1:53" x14ac:dyDescent="0.35">
      <c r="A345" s="18">
        <v>344</v>
      </c>
      <c r="B345" s="36" t="s">
        <v>379</v>
      </c>
      <c r="C345" s="18" t="str">
        <f>IF(G345="","",IF(G345="Umum",G345,VLOOKUP(F345,'Data Induk Pegawai'!B:AE,4,FALSE)))</f>
        <v/>
      </c>
      <c r="D345" s="19" t="str">
        <f>IF('REGISTER SK'!A348="","",IF('REGISTER SK'!B348=0,D344,'REGISTER SK'!B348))</f>
        <v/>
      </c>
      <c r="E345" s="19" t="str">
        <f t="shared" si="141"/>
        <v/>
      </c>
      <c r="F345" s="29"/>
      <c r="G345" s="29"/>
      <c r="H345" s="31" t="str">
        <f>IF(F345="","",VLOOKUP(F345,'Data Induk Pegawai'!B:U,2,FALSE))</f>
        <v/>
      </c>
      <c r="I345" s="19" t="str">
        <f>IF('REGISTER SK'!C348="","",'REGISTER SK'!C348)</f>
        <v/>
      </c>
      <c r="J345" s="125"/>
      <c r="K345" s="125"/>
      <c r="L345" s="26" t="str">
        <f>IF('REGISTER SK'!D348="","",'REGISTER SK'!D348)</f>
        <v/>
      </c>
      <c r="M345" s="26" t="str">
        <f>IF('REGISTER SK'!E348="","",'REGISTER SK'!E348)</f>
        <v/>
      </c>
      <c r="N345" s="31" t="str">
        <f>IF(G345="","",IF(OR(G345="GTT",G345="PTT"),"--",VLOOKUP(F345,'Data Induk Pegawai'!B:AE,4,FALSE)))</f>
        <v/>
      </c>
      <c r="O345" s="18" t="s">
        <v>322</v>
      </c>
      <c r="P345" s="31" t="str">
        <f>IF(G345="","",VLOOKUP(F345,'Data Induk Pegawai'!B:AE,7,FALSE))</f>
        <v/>
      </c>
      <c r="Q345" s="30"/>
      <c r="R345" s="26" t="str">
        <f>IF(G345="","","Nomor "&amp;RIGHT(VLOOKUP(F345,'Data Induk Pegawai'!B:AE,12,FALSE),2)&amp;" Tahun "&amp;MID(VLOOKUP(F345,'Data Induk Pegawai'!B:AE,12,FALSE),5,4))</f>
        <v/>
      </c>
      <c r="S345" s="26" t="str">
        <f>IF(G345="","",VLOOKUP(F345,'Data Induk Pegawai'!B:AE,11,FALSE))</f>
        <v/>
      </c>
      <c r="T345" s="56"/>
      <c r="U345" s="18" t="str">
        <f t="shared" si="122"/>
        <v/>
      </c>
      <c r="V345" s="30"/>
      <c r="W345" s="18" t="str">
        <f t="shared" ref="W345:W354" si="146">V345&amp;H345</f>
        <v/>
      </c>
      <c r="X345" s="16"/>
      <c r="Y345" t="str">
        <f t="shared" si="123"/>
        <v/>
      </c>
      <c r="Z345" t="str">
        <f t="shared" si="124"/>
        <v/>
      </c>
      <c r="AA345" t="str">
        <f t="shared" si="125"/>
        <v/>
      </c>
      <c r="AB345" t="str">
        <f>COUNTIFS(AC345:AC$596,AC345)&amp;AC345</f>
        <v>252</v>
      </c>
      <c r="AC345" t="str">
        <f t="shared" si="142"/>
        <v/>
      </c>
      <c r="AD345" t="str">
        <f>COUNTIFS(AC$2:AC345,AC345)&amp;AC345</f>
        <v>344</v>
      </c>
      <c r="AE345" t="str">
        <f t="shared" si="126"/>
        <v/>
      </c>
      <c r="AF345" t="str">
        <f t="shared" si="143"/>
        <v>..</v>
      </c>
      <c r="AG345" s="28" t="str">
        <f t="shared" si="127"/>
        <v/>
      </c>
      <c r="AH345" s="28" t="str">
        <f t="shared" si="128"/>
        <v/>
      </c>
      <c r="AI345" t="str">
        <f t="shared" si="129"/>
        <v/>
      </c>
      <c r="AJ345" t="str">
        <f t="shared" si="130"/>
        <v/>
      </c>
      <c r="AK345" t="str">
        <f t="shared" si="131"/>
        <v/>
      </c>
      <c r="AL345" t="str">
        <f t="shared" si="132"/>
        <v/>
      </c>
      <c r="AM345" t="str">
        <f t="shared" si="133"/>
        <v/>
      </c>
      <c r="AN345" t="str">
        <f t="shared" si="134"/>
        <v/>
      </c>
      <c r="AO345" t="str">
        <f t="shared" si="135"/>
        <v/>
      </c>
      <c r="AP345" t="str">
        <f t="shared" si="136"/>
        <v/>
      </c>
      <c r="AQ345" t="str">
        <f t="shared" si="137"/>
        <v/>
      </c>
      <c r="AR345" t="str">
        <f t="shared" si="138"/>
        <v/>
      </c>
      <c r="AS345" t="str">
        <f t="shared" si="139"/>
        <v/>
      </c>
      <c r="AT345" t="str">
        <f t="shared" si="140"/>
        <v/>
      </c>
      <c r="AU345" s="25" t="str">
        <f t="shared" si="144"/>
        <v/>
      </c>
      <c r="BA345">
        <f>'REGISTER SK'!F348</f>
        <v>0</v>
      </c>
    </row>
    <row r="346" spans="1:53" x14ac:dyDescent="0.35">
      <c r="A346" s="18">
        <v>345</v>
      </c>
      <c r="B346" s="36" t="s">
        <v>379</v>
      </c>
      <c r="C346" s="18" t="str">
        <f>IF(G346="","",IF(G346="Umum",G346,VLOOKUP(F346,'Data Induk Pegawai'!B:AE,4,FALSE)))</f>
        <v/>
      </c>
      <c r="D346" s="19" t="str">
        <f>IF('REGISTER SK'!A349="","",IF('REGISTER SK'!B349=0,D345,'REGISTER SK'!B349))</f>
        <v/>
      </c>
      <c r="E346" s="19" t="str">
        <f t="shared" si="141"/>
        <v/>
      </c>
      <c r="F346" s="29"/>
      <c r="G346" s="29"/>
      <c r="H346" s="31" t="str">
        <f>IF(F346="","",VLOOKUP(F346,'Data Induk Pegawai'!B:U,2,FALSE))</f>
        <v/>
      </c>
      <c r="I346" s="19" t="str">
        <f>IF('REGISTER SK'!C349="","",'REGISTER SK'!C349)</f>
        <v/>
      </c>
      <c r="J346" s="125"/>
      <c r="K346" s="125"/>
      <c r="L346" s="26" t="str">
        <f>IF('REGISTER SK'!D349="","",'REGISTER SK'!D349)</f>
        <v/>
      </c>
      <c r="M346" s="26" t="str">
        <f>IF('REGISTER SK'!E349="","",'REGISTER SK'!E349)</f>
        <v/>
      </c>
      <c r="N346" s="31" t="str">
        <f>IF(G346="","",IF(OR(G346="GTT",G346="PTT"),"--",VLOOKUP(F346,'Data Induk Pegawai'!B:AE,4,FALSE)))</f>
        <v/>
      </c>
      <c r="O346" s="18" t="s">
        <v>426</v>
      </c>
      <c r="P346" s="31" t="str">
        <f>IF(G346="","",VLOOKUP(F346,'Data Induk Pegawai'!B:AE,7,FALSE))</f>
        <v/>
      </c>
      <c r="Q346" s="30"/>
      <c r="R346" s="26" t="str">
        <f>IF(G346="","","Nomor "&amp;RIGHT(VLOOKUP(F346,'Data Induk Pegawai'!B:AE,12,FALSE),2)&amp;" Tahun "&amp;MID(VLOOKUP(F346,'Data Induk Pegawai'!B:AE,12,FALSE),5,4))</f>
        <v/>
      </c>
      <c r="S346" s="26" t="str">
        <f>IF(G346="","",VLOOKUP(F346,'Data Induk Pegawai'!B:AE,11,FALSE))</f>
        <v/>
      </c>
      <c r="T346" s="56"/>
      <c r="U346" s="18" t="str">
        <f t="shared" si="122"/>
        <v/>
      </c>
      <c r="V346" s="30"/>
      <c r="W346" s="18" t="str">
        <f t="shared" si="146"/>
        <v/>
      </c>
      <c r="X346" s="16"/>
      <c r="Y346" t="str">
        <f t="shared" si="123"/>
        <v/>
      </c>
      <c r="Z346" t="str">
        <f t="shared" si="124"/>
        <v/>
      </c>
      <c r="AA346" t="str">
        <f t="shared" si="125"/>
        <v/>
      </c>
      <c r="AB346" t="str">
        <f>COUNTIFS(AC346:AC$596,AC346)&amp;AC346</f>
        <v>251</v>
      </c>
      <c r="AC346" t="str">
        <f t="shared" si="142"/>
        <v/>
      </c>
      <c r="AD346" t="str">
        <f>COUNTIFS(AC$2:AC346,AC346)&amp;AC346</f>
        <v>345</v>
      </c>
      <c r="AE346" t="str">
        <f t="shared" si="126"/>
        <v/>
      </c>
      <c r="AF346" t="str">
        <f t="shared" si="143"/>
        <v>..</v>
      </c>
      <c r="AG346" s="28" t="str">
        <f t="shared" si="127"/>
        <v/>
      </c>
      <c r="AH346" s="28" t="str">
        <f t="shared" si="128"/>
        <v/>
      </c>
      <c r="AI346" t="str">
        <f t="shared" si="129"/>
        <v/>
      </c>
      <c r="AJ346" t="str">
        <f t="shared" si="130"/>
        <v/>
      </c>
      <c r="AK346" t="str">
        <f t="shared" si="131"/>
        <v/>
      </c>
      <c r="AL346" t="str">
        <f t="shared" si="132"/>
        <v/>
      </c>
      <c r="AM346" t="str">
        <f t="shared" si="133"/>
        <v/>
      </c>
      <c r="AN346" t="str">
        <f t="shared" si="134"/>
        <v/>
      </c>
      <c r="AO346" t="str">
        <f t="shared" si="135"/>
        <v/>
      </c>
      <c r="AP346" t="str">
        <f t="shared" si="136"/>
        <v/>
      </c>
      <c r="AQ346" t="str">
        <f t="shared" si="137"/>
        <v/>
      </c>
      <c r="AR346" t="str">
        <f t="shared" si="138"/>
        <v/>
      </c>
      <c r="AS346" t="str">
        <f t="shared" si="139"/>
        <v/>
      </c>
      <c r="AT346" t="str">
        <f t="shared" si="140"/>
        <v/>
      </c>
      <c r="AU346" s="25" t="str">
        <f t="shared" si="144"/>
        <v/>
      </c>
      <c r="BA346">
        <f>'REGISTER SK'!F349</f>
        <v>0</v>
      </c>
    </row>
    <row r="347" spans="1:53" x14ac:dyDescent="0.35">
      <c r="A347" s="18">
        <v>346</v>
      </c>
      <c r="B347" s="36" t="s">
        <v>379</v>
      </c>
      <c r="C347" s="18" t="str">
        <f>IF(G347="","",IF(G347="Umum",G347,VLOOKUP(F347,'Data Induk Pegawai'!B:AE,4,FALSE)))</f>
        <v/>
      </c>
      <c r="D347" s="19" t="str">
        <f>IF('REGISTER SK'!A350="","",IF('REGISTER SK'!B350=0,D346,'REGISTER SK'!B350))</f>
        <v/>
      </c>
      <c r="E347" s="19" t="str">
        <f t="shared" si="141"/>
        <v/>
      </c>
      <c r="F347" s="29"/>
      <c r="G347" s="29"/>
      <c r="H347" s="31" t="str">
        <f>IF(F347="","",VLOOKUP(F347,'Data Induk Pegawai'!B:U,2,FALSE))</f>
        <v/>
      </c>
      <c r="I347" s="19" t="str">
        <f>IF('REGISTER SK'!C350="","",'REGISTER SK'!C350)</f>
        <v/>
      </c>
      <c r="J347" s="125"/>
      <c r="K347" s="125"/>
      <c r="L347" s="26" t="str">
        <f>IF('REGISTER SK'!D350="","",'REGISTER SK'!D350)</f>
        <v/>
      </c>
      <c r="M347" s="26" t="str">
        <f>IF('REGISTER SK'!E350="","",'REGISTER SK'!E350)</f>
        <v/>
      </c>
      <c r="N347" s="31" t="str">
        <f>IF(G347="","",IF(OR(G347="GTT",G347="PTT"),"--",VLOOKUP(F347,'Data Induk Pegawai'!B:AE,4,FALSE)))</f>
        <v/>
      </c>
      <c r="O347" s="18" t="s">
        <v>434</v>
      </c>
      <c r="P347" s="31" t="str">
        <f>IF(G347="","",VLOOKUP(F347,'Data Induk Pegawai'!B:AE,7,FALSE))</f>
        <v/>
      </c>
      <c r="Q347" s="30"/>
      <c r="R347" s="26" t="str">
        <f>IF(G347="","","Nomor "&amp;RIGHT(VLOOKUP(F347,'Data Induk Pegawai'!B:AE,12,FALSE),2)&amp;" Tahun "&amp;MID(VLOOKUP(F347,'Data Induk Pegawai'!B:AE,12,FALSE),5,4))</f>
        <v/>
      </c>
      <c r="S347" s="26" t="str">
        <f>IF(G347="","",VLOOKUP(F347,'Data Induk Pegawai'!B:AE,11,FALSE))</f>
        <v/>
      </c>
      <c r="T347" s="56"/>
      <c r="U347" s="18" t="str">
        <f t="shared" si="122"/>
        <v/>
      </c>
      <c r="V347" s="30"/>
      <c r="W347" s="18" t="str">
        <f t="shared" si="146"/>
        <v/>
      </c>
      <c r="X347" s="16"/>
      <c r="Y347" t="str">
        <f t="shared" si="123"/>
        <v/>
      </c>
      <c r="Z347" t="str">
        <f t="shared" si="124"/>
        <v/>
      </c>
      <c r="AA347" t="str">
        <f t="shared" si="125"/>
        <v/>
      </c>
      <c r="AB347" t="str">
        <f>COUNTIFS(AC347:AC$596,AC347)&amp;AC347</f>
        <v>250</v>
      </c>
      <c r="AC347" t="str">
        <f t="shared" si="142"/>
        <v/>
      </c>
      <c r="AD347" t="str">
        <f>COUNTIFS(AC$2:AC347,AC347)&amp;AC347</f>
        <v>346</v>
      </c>
      <c r="AE347" t="str">
        <f t="shared" si="126"/>
        <v/>
      </c>
      <c r="AF347" t="str">
        <f t="shared" si="143"/>
        <v>..</v>
      </c>
      <c r="AG347" s="28" t="str">
        <f t="shared" si="127"/>
        <v/>
      </c>
      <c r="AH347" s="28" t="str">
        <f t="shared" si="128"/>
        <v/>
      </c>
      <c r="AI347" t="str">
        <f t="shared" si="129"/>
        <v/>
      </c>
      <c r="AJ347" t="str">
        <f t="shared" si="130"/>
        <v/>
      </c>
      <c r="AK347" t="str">
        <f t="shared" si="131"/>
        <v/>
      </c>
      <c r="AL347" t="str">
        <f t="shared" si="132"/>
        <v/>
      </c>
      <c r="AM347" t="str">
        <f t="shared" si="133"/>
        <v/>
      </c>
      <c r="AN347" t="str">
        <f t="shared" si="134"/>
        <v/>
      </c>
      <c r="AO347" t="str">
        <f t="shared" si="135"/>
        <v/>
      </c>
      <c r="AP347" t="str">
        <f t="shared" si="136"/>
        <v/>
      </c>
      <c r="AQ347" t="str">
        <f t="shared" si="137"/>
        <v/>
      </c>
      <c r="AR347" t="str">
        <f t="shared" si="138"/>
        <v/>
      </c>
      <c r="AS347" t="str">
        <f t="shared" si="139"/>
        <v/>
      </c>
      <c r="AT347" t="str">
        <f t="shared" si="140"/>
        <v/>
      </c>
      <c r="AU347" s="25" t="str">
        <f t="shared" si="144"/>
        <v/>
      </c>
      <c r="BA347">
        <f>'REGISTER SK'!F350</f>
        <v>0</v>
      </c>
    </row>
    <row r="348" spans="1:53" x14ac:dyDescent="0.35">
      <c r="A348" s="18">
        <v>347</v>
      </c>
      <c r="B348" s="36" t="s">
        <v>379</v>
      </c>
      <c r="C348" s="18" t="str">
        <f>IF(G348="","",IF(G348="Umum",G348,VLOOKUP(F348,'Data Induk Pegawai'!B:AE,4,FALSE)))</f>
        <v/>
      </c>
      <c r="D348" s="19" t="str">
        <f>IF('REGISTER SK'!A351="","",IF('REGISTER SK'!B351=0,D347,'REGISTER SK'!B351))</f>
        <v/>
      </c>
      <c r="E348" s="19" t="str">
        <f t="shared" si="141"/>
        <v/>
      </c>
      <c r="F348" s="29"/>
      <c r="G348" s="29"/>
      <c r="H348" s="31" t="str">
        <f>IF(F348="","",VLOOKUP(F348,'Data Induk Pegawai'!B:U,2,FALSE))</f>
        <v/>
      </c>
      <c r="I348" s="19" t="str">
        <f>IF('REGISTER SK'!C351="","",'REGISTER SK'!C351)</f>
        <v/>
      </c>
      <c r="J348" s="125"/>
      <c r="K348" s="125"/>
      <c r="L348" s="26" t="str">
        <f>IF('REGISTER SK'!D351="","",'REGISTER SK'!D351)</f>
        <v/>
      </c>
      <c r="M348" s="26" t="str">
        <f>IF('REGISTER SK'!E351="","",'REGISTER SK'!E351)</f>
        <v/>
      </c>
      <c r="N348" s="31" t="str">
        <f>IF(G348="","",IF(OR(G348="GTT",G348="PTT"),"--",VLOOKUP(F348,'Data Induk Pegawai'!B:AE,4,FALSE)))</f>
        <v/>
      </c>
      <c r="O348" s="18" t="s">
        <v>427</v>
      </c>
      <c r="P348" s="31" t="str">
        <f>IF(G348="","",VLOOKUP(F348,'Data Induk Pegawai'!B:AE,7,FALSE))</f>
        <v/>
      </c>
      <c r="Q348" s="30"/>
      <c r="R348" s="26" t="str">
        <f>IF(G348="","","Nomor "&amp;RIGHT(VLOOKUP(F348,'Data Induk Pegawai'!B:AE,12,FALSE),2)&amp;" Tahun "&amp;MID(VLOOKUP(F348,'Data Induk Pegawai'!B:AE,12,FALSE),5,4))</f>
        <v/>
      </c>
      <c r="S348" s="26" t="str">
        <f>IF(G348="","",VLOOKUP(F348,'Data Induk Pegawai'!B:AE,11,FALSE))</f>
        <v/>
      </c>
      <c r="T348" s="56"/>
      <c r="U348" s="18" t="str">
        <f t="shared" si="122"/>
        <v/>
      </c>
      <c r="V348" s="30"/>
      <c r="W348" s="18" t="str">
        <f t="shared" si="146"/>
        <v/>
      </c>
      <c r="X348" s="16"/>
      <c r="Y348" t="str">
        <f t="shared" si="123"/>
        <v/>
      </c>
      <c r="Z348" t="str">
        <f t="shared" si="124"/>
        <v/>
      </c>
      <c r="AA348" t="str">
        <f t="shared" si="125"/>
        <v/>
      </c>
      <c r="AB348" t="str">
        <f>COUNTIFS(AC348:AC$596,AC348)&amp;AC348</f>
        <v>249</v>
      </c>
      <c r="AC348" t="str">
        <f t="shared" si="142"/>
        <v/>
      </c>
      <c r="AD348" t="str">
        <f>COUNTIFS(AC$2:AC348,AC348)&amp;AC348</f>
        <v>347</v>
      </c>
      <c r="AE348" t="str">
        <f t="shared" si="126"/>
        <v/>
      </c>
      <c r="AF348" t="str">
        <f t="shared" si="143"/>
        <v>..</v>
      </c>
      <c r="AG348" s="28" t="str">
        <f t="shared" si="127"/>
        <v/>
      </c>
      <c r="AH348" s="28" t="str">
        <f t="shared" si="128"/>
        <v/>
      </c>
      <c r="AI348" t="str">
        <f t="shared" si="129"/>
        <v/>
      </c>
      <c r="AJ348" t="str">
        <f t="shared" si="130"/>
        <v/>
      </c>
      <c r="AK348" t="str">
        <f t="shared" si="131"/>
        <v/>
      </c>
      <c r="AL348" t="str">
        <f t="shared" si="132"/>
        <v/>
      </c>
      <c r="AM348" t="str">
        <f t="shared" si="133"/>
        <v/>
      </c>
      <c r="AN348" t="str">
        <f t="shared" si="134"/>
        <v/>
      </c>
      <c r="AO348" t="str">
        <f t="shared" si="135"/>
        <v/>
      </c>
      <c r="AP348" t="str">
        <f t="shared" si="136"/>
        <v/>
      </c>
      <c r="AQ348" t="str">
        <f t="shared" si="137"/>
        <v/>
      </c>
      <c r="AR348" t="str">
        <f t="shared" si="138"/>
        <v/>
      </c>
      <c r="AS348" t="str">
        <f t="shared" si="139"/>
        <v/>
      </c>
      <c r="AT348" t="str">
        <f t="shared" si="140"/>
        <v/>
      </c>
      <c r="AU348" s="25" t="str">
        <f t="shared" si="144"/>
        <v/>
      </c>
      <c r="BA348">
        <f>'REGISTER SK'!F351</f>
        <v>0</v>
      </c>
    </row>
    <row r="349" spans="1:53" x14ac:dyDescent="0.35">
      <c r="A349" s="18">
        <v>348</v>
      </c>
      <c r="B349" s="36" t="s">
        <v>379</v>
      </c>
      <c r="C349" s="18" t="str">
        <f>IF(G349="","",IF(G349="Umum",G349,VLOOKUP(F349,'Data Induk Pegawai'!B:AE,4,FALSE)))</f>
        <v/>
      </c>
      <c r="D349" s="19" t="str">
        <f>IF('REGISTER SK'!A352="","",IF('REGISTER SK'!B352=0,D348,'REGISTER SK'!B352))</f>
        <v/>
      </c>
      <c r="E349" s="19" t="str">
        <f t="shared" si="141"/>
        <v/>
      </c>
      <c r="F349" s="29"/>
      <c r="G349" s="29"/>
      <c r="H349" s="31" t="str">
        <f>IF(F349="","",VLOOKUP(F349,'Data Induk Pegawai'!B:U,2,FALSE))</f>
        <v/>
      </c>
      <c r="I349" s="19" t="str">
        <f>IF('REGISTER SK'!C352="","",'REGISTER SK'!C352)</f>
        <v/>
      </c>
      <c r="J349" s="125"/>
      <c r="K349" s="125"/>
      <c r="L349" s="26" t="str">
        <f>IF('REGISTER SK'!D352="","",'REGISTER SK'!D352)</f>
        <v/>
      </c>
      <c r="M349" s="26" t="str">
        <f>IF('REGISTER SK'!E352="","",'REGISTER SK'!E352)</f>
        <v/>
      </c>
      <c r="N349" s="31" t="str">
        <f>IF(G349="","",IF(OR(G349="GTT",G349="PTT"),"--",VLOOKUP(F349,'Data Induk Pegawai'!B:AE,4,FALSE)))</f>
        <v/>
      </c>
      <c r="O349" s="18" t="s">
        <v>397</v>
      </c>
      <c r="P349" s="31" t="str">
        <f>IF(G349="","",VLOOKUP(F349,'Data Induk Pegawai'!B:AE,7,FALSE))</f>
        <v/>
      </c>
      <c r="Q349" s="30"/>
      <c r="R349" s="26" t="str">
        <f>IF(G349="","","Nomor "&amp;RIGHT(VLOOKUP(F349,'Data Induk Pegawai'!B:AE,12,FALSE),2)&amp;" Tahun "&amp;MID(VLOOKUP(F349,'Data Induk Pegawai'!B:AE,12,FALSE),5,4))</f>
        <v/>
      </c>
      <c r="S349" s="26" t="str">
        <f>IF(G349="","",VLOOKUP(F349,'Data Induk Pegawai'!B:AE,11,FALSE))</f>
        <v/>
      </c>
      <c r="T349" s="56"/>
      <c r="U349" s="18" t="str">
        <f t="shared" si="122"/>
        <v/>
      </c>
      <c r="V349" s="30"/>
      <c r="W349" s="18" t="str">
        <f t="shared" si="146"/>
        <v/>
      </c>
      <c r="X349" s="16"/>
      <c r="Y349" t="str">
        <f t="shared" si="123"/>
        <v/>
      </c>
      <c r="Z349" t="str">
        <f t="shared" si="124"/>
        <v/>
      </c>
      <c r="AA349" t="str">
        <f t="shared" si="125"/>
        <v/>
      </c>
      <c r="AB349" t="str">
        <f>COUNTIFS(AC349:AC$596,AC349)&amp;AC349</f>
        <v>248</v>
      </c>
      <c r="AC349" t="str">
        <f t="shared" si="142"/>
        <v/>
      </c>
      <c r="AD349" t="str">
        <f>COUNTIFS(AC$2:AC349,AC349)&amp;AC349</f>
        <v>348</v>
      </c>
      <c r="AE349" t="str">
        <f t="shared" si="126"/>
        <v/>
      </c>
      <c r="AF349" t="str">
        <f t="shared" si="143"/>
        <v>..</v>
      </c>
      <c r="AG349" s="28" t="str">
        <f t="shared" si="127"/>
        <v/>
      </c>
      <c r="AH349" s="28" t="str">
        <f t="shared" si="128"/>
        <v/>
      </c>
      <c r="AI349" t="str">
        <f t="shared" si="129"/>
        <v/>
      </c>
      <c r="AJ349" t="str">
        <f t="shared" si="130"/>
        <v/>
      </c>
      <c r="AK349" t="str">
        <f t="shared" si="131"/>
        <v/>
      </c>
      <c r="AL349" t="str">
        <f t="shared" si="132"/>
        <v/>
      </c>
      <c r="AM349" t="str">
        <f t="shared" si="133"/>
        <v/>
      </c>
      <c r="AN349" t="str">
        <f t="shared" si="134"/>
        <v/>
      </c>
      <c r="AO349" t="str">
        <f t="shared" si="135"/>
        <v/>
      </c>
      <c r="AP349" t="str">
        <f t="shared" si="136"/>
        <v/>
      </c>
      <c r="AQ349" t="str">
        <f t="shared" si="137"/>
        <v/>
      </c>
      <c r="AR349" t="str">
        <f t="shared" si="138"/>
        <v/>
      </c>
      <c r="AS349" t="str">
        <f t="shared" si="139"/>
        <v/>
      </c>
      <c r="AT349" t="str">
        <f t="shared" si="140"/>
        <v/>
      </c>
      <c r="AU349" s="25" t="str">
        <f t="shared" si="144"/>
        <v/>
      </c>
      <c r="BA349">
        <f>'REGISTER SK'!F352</f>
        <v>0</v>
      </c>
    </row>
    <row r="350" spans="1:53" x14ac:dyDescent="0.35">
      <c r="A350" s="18">
        <v>349</v>
      </c>
      <c r="B350" s="36" t="s">
        <v>379</v>
      </c>
      <c r="C350" s="18" t="str">
        <f>IF(G350="","",IF(G350="Umum",G350,VLOOKUP(F350,'Data Induk Pegawai'!B:AE,4,FALSE)))</f>
        <v/>
      </c>
      <c r="D350" s="19" t="str">
        <f>IF('REGISTER SK'!A353="","",IF('REGISTER SK'!B353=0,D349,'REGISTER SK'!B353))</f>
        <v/>
      </c>
      <c r="E350" s="19" t="str">
        <f t="shared" si="141"/>
        <v/>
      </c>
      <c r="F350" s="29"/>
      <c r="G350" s="29"/>
      <c r="H350" s="31" t="str">
        <f>IF(F350="","",VLOOKUP(F350,'Data Induk Pegawai'!B:U,2,FALSE))</f>
        <v/>
      </c>
      <c r="I350" s="19" t="str">
        <f>IF('REGISTER SK'!C353="","",'REGISTER SK'!C353)</f>
        <v/>
      </c>
      <c r="J350" s="125"/>
      <c r="K350" s="125"/>
      <c r="L350" s="26" t="str">
        <f>IF('REGISTER SK'!D353="","",'REGISTER SK'!D353)</f>
        <v/>
      </c>
      <c r="M350" s="26" t="str">
        <f>IF('REGISTER SK'!E353="","",'REGISTER SK'!E353)</f>
        <v/>
      </c>
      <c r="N350" s="31" t="str">
        <f>IF(G350="","",IF(OR(G350="GTT",G350="PTT"),"--",VLOOKUP(F350,'Data Induk Pegawai'!B:AE,4,FALSE)))</f>
        <v/>
      </c>
      <c r="O350" s="18" t="s">
        <v>323</v>
      </c>
      <c r="P350" s="31" t="str">
        <f>IF(G350="","",VLOOKUP(F350,'Data Induk Pegawai'!B:AE,7,FALSE))</f>
        <v/>
      </c>
      <c r="Q350" s="30"/>
      <c r="R350" s="26" t="str">
        <f>IF(G350="","","Nomor "&amp;RIGHT(VLOOKUP(F350,'Data Induk Pegawai'!B:AE,12,FALSE),2)&amp;" Tahun "&amp;MID(VLOOKUP(F350,'Data Induk Pegawai'!B:AE,12,FALSE),5,4))</f>
        <v/>
      </c>
      <c r="S350" s="26" t="str">
        <f>IF(G350="","",VLOOKUP(F350,'Data Induk Pegawai'!B:AE,11,FALSE))</f>
        <v/>
      </c>
      <c r="T350" s="56"/>
      <c r="U350" s="18" t="str">
        <f t="shared" si="122"/>
        <v/>
      </c>
      <c r="V350" s="30"/>
      <c r="W350" s="18" t="str">
        <f t="shared" si="146"/>
        <v/>
      </c>
      <c r="X350" s="16"/>
      <c r="Y350" t="str">
        <f t="shared" si="123"/>
        <v/>
      </c>
      <c r="Z350" t="str">
        <f t="shared" si="124"/>
        <v/>
      </c>
      <c r="AA350" t="str">
        <f t="shared" si="125"/>
        <v/>
      </c>
      <c r="AB350" t="str">
        <f>COUNTIFS(AC350:AC$596,AC350)&amp;AC350</f>
        <v>247</v>
      </c>
      <c r="AC350" t="str">
        <f t="shared" si="142"/>
        <v/>
      </c>
      <c r="AD350" t="str">
        <f>COUNTIFS(AC$2:AC350,AC350)&amp;AC350</f>
        <v>349</v>
      </c>
      <c r="AE350" t="str">
        <f t="shared" si="126"/>
        <v/>
      </c>
      <c r="AF350" t="str">
        <f t="shared" si="143"/>
        <v>..</v>
      </c>
      <c r="AG350" s="28" t="str">
        <f t="shared" si="127"/>
        <v/>
      </c>
      <c r="AH350" s="28" t="str">
        <f t="shared" si="128"/>
        <v/>
      </c>
      <c r="AI350" t="str">
        <f t="shared" si="129"/>
        <v/>
      </c>
      <c r="AJ350" t="str">
        <f t="shared" si="130"/>
        <v/>
      </c>
      <c r="AK350" t="str">
        <f t="shared" si="131"/>
        <v/>
      </c>
      <c r="AL350" t="str">
        <f t="shared" si="132"/>
        <v/>
      </c>
      <c r="AM350" t="str">
        <f t="shared" si="133"/>
        <v/>
      </c>
      <c r="AN350" t="str">
        <f t="shared" si="134"/>
        <v/>
      </c>
      <c r="AO350" t="str">
        <f t="shared" si="135"/>
        <v/>
      </c>
      <c r="AP350" t="str">
        <f t="shared" si="136"/>
        <v/>
      </c>
      <c r="AQ350" t="str">
        <f t="shared" si="137"/>
        <v/>
      </c>
      <c r="AR350" t="str">
        <f t="shared" si="138"/>
        <v/>
      </c>
      <c r="AS350" t="str">
        <f t="shared" si="139"/>
        <v/>
      </c>
      <c r="AT350" t="str">
        <f t="shared" si="140"/>
        <v/>
      </c>
      <c r="AU350" s="25" t="str">
        <f t="shared" si="144"/>
        <v/>
      </c>
      <c r="BA350">
        <f>'REGISTER SK'!F353</f>
        <v>0</v>
      </c>
    </row>
    <row r="351" spans="1:53" x14ac:dyDescent="0.35">
      <c r="A351" s="18">
        <v>350</v>
      </c>
      <c r="B351" s="36" t="s">
        <v>379</v>
      </c>
      <c r="C351" s="18" t="str">
        <f>IF(G351="","",IF(G351="Umum",G351,VLOOKUP(F351,'Data Induk Pegawai'!B:AE,4,FALSE)))</f>
        <v/>
      </c>
      <c r="D351" s="19" t="str">
        <f>IF('REGISTER SK'!A354="","",IF('REGISTER SK'!B354=0,D350,'REGISTER SK'!B354))</f>
        <v/>
      </c>
      <c r="E351" s="19" t="str">
        <f t="shared" si="141"/>
        <v/>
      </c>
      <c r="F351" s="29"/>
      <c r="G351" s="29"/>
      <c r="H351" s="31" t="str">
        <f>IF(F351="","",VLOOKUP(F351,'Data Induk Pegawai'!B:U,2,FALSE))</f>
        <v/>
      </c>
      <c r="I351" s="19" t="str">
        <f>IF('REGISTER SK'!C354="","",'REGISTER SK'!C354)</f>
        <v/>
      </c>
      <c r="J351" s="125"/>
      <c r="K351" s="125"/>
      <c r="L351" s="26" t="str">
        <f>IF('REGISTER SK'!D354="","",'REGISTER SK'!D354)</f>
        <v/>
      </c>
      <c r="M351" s="26" t="str">
        <f>IF('REGISTER SK'!E354="","",'REGISTER SK'!E354)</f>
        <v/>
      </c>
      <c r="N351" s="31" t="str">
        <f>IF(G351="","",IF(OR(G351="GTT",G351="PTT"),"--",VLOOKUP(F351,'Data Induk Pegawai'!B:AE,4,FALSE)))</f>
        <v/>
      </c>
      <c r="O351" s="18" t="s">
        <v>319</v>
      </c>
      <c r="P351" s="31" t="str">
        <f>IF(G351="","",VLOOKUP(F351,'Data Induk Pegawai'!B:AE,7,FALSE))</f>
        <v/>
      </c>
      <c r="Q351" s="30"/>
      <c r="R351" s="26" t="str">
        <f>IF(G351="","","Nomor "&amp;RIGHT(VLOOKUP(F351,'Data Induk Pegawai'!B:AE,12,FALSE),2)&amp;" Tahun "&amp;MID(VLOOKUP(F351,'Data Induk Pegawai'!B:AE,12,FALSE),5,4))</f>
        <v/>
      </c>
      <c r="S351" s="26" t="str">
        <f>IF(G351="","",VLOOKUP(F351,'Data Induk Pegawai'!B:AE,11,FALSE))</f>
        <v/>
      </c>
      <c r="T351" s="56"/>
      <c r="U351" s="18" t="str">
        <f t="shared" si="122"/>
        <v/>
      </c>
      <c r="V351" s="30"/>
      <c r="W351" s="18" t="str">
        <f t="shared" si="146"/>
        <v/>
      </c>
      <c r="X351" s="16"/>
      <c r="Y351" t="str">
        <f t="shared" si="123"/>
        <v/>
      </c>
      <c r="Z351" t="str">
        <f t="shared" si="124"/>
        <v/>
      </c>
      <c r="AA351" t="str">
        <f t="shared" si="125"/>
        <v/>
      </c>
      <c r="AB351" t="str">
        <f>COUNTIFS(AC351:AC$596,AC351)&amp;AC351</f>
        <v>246</v>
      </c>
      <c r="AC351" t="str">
        <f t="shared" si="142"/>
        <v/>
      </c>
      <c r="AD351" t="str">
        <f>COUNTIFS(AC$2:AC351,AC351)&amp;AC351</f>
        <v>350</v>
      </c>
      <c r="AE351" t="str">
        <f t="shared" si="126"/>
        <v/>
      </c>
      <c r="AF351" t="str">
        <f t="shared" si="143"/>
        <v>..</v>
      </c>
      <c r="AG351" s="28" t="str">
        <f t="shared" si="127"/>
        <v/>
      </c>
      <c r="AH351" s="28" t="str">
        <f t="shared" si="128"/>
        <v/>
      </c>
      <c r="AI351" t="str">
        <f t="shared" si="129"/>
        <v/>
      </c>
      <c r="AJ351" t="str">
        <f t="shared" si="130"/>
        <v/>
      </c>
      <c r="AK351" t="str">
        <f t="shared" si="131"/>
        <v/>
      </c>
      <c r="AL351" t="str">
        <f t="shared" si="132"/>
        <v/>
      </c>
      <c r="AM351" t="str">
        <f t="shared" si="133"/>
        <v/>
      </c>
      <c r="AN351" t="str">
        <f t="shared" si="134"/>
        <v/>
      </c>
      <c r="AO351" t="str">
        <f t="shared" si="135"/>
        <v/>
      </c>
      <c r="AP351" t="str">
        <f t="shared" si="136"/>
        <v/>
      </c>
      <c r="AQ351" t="str">
        <f t="shared" si="137"/>
        <v/>
      </c>
      <c r="AR351" t="str">
        <f t="shared" si="138"/>
        <v/>
      </c>
      <c r="AS351" t="str">
        <f t="shared" si="139"/>
        <v/>
      </c>
      <c r="AT351" t="str">
        <f t="shared" si="140"/>
        <v/>
      </c>
      <c r="AU351" s="25" t="str">
        <f t="shared" si="144"/>
        <v/>
      </c>
      <c r="BA351">
        <f>'REGISTER SK'!F354</f>
        <v>0</v>
      </c>
    </row>
    <row r="352" spans="1:53" x14ac:dyDescent="0.35">
      <c r="A352" s="18">
        <v>351</v>
      </c>
      <c r="B352" s="36" t="s">
        <v>379</v>
      </c>
      <c r="C352" s="18" t="str">
        <f>IF(G352="","",IF(G352="Umum",G352,VLOOKUP(F352,'Data Induk Pegawai'!B:AE,4,FALSE)))</f>
        <v/>
      </c>
      <c r="D352" s="19" t="str">
        <f>IF('REGISTER SK'!A355="","",IF('REGISTER SK'!B355=0,D351,'REGISTER SK'!B355))</f>
        <v/>
      </c>
      <c r="E352" s="19" t="str">
        <f t="shared" si="141"/>
        <v/>
      </c>
      <c r="F352" s="29"/>
      <c r="G352" s="29"/>
      <c r="H352" s="31" t="str">
        <f>IF(F352="","",VLOOKUP(F352,'Data Induk Pegawai'!B:U,2,FALSE))</f>
        <v/>
      </c>
      <c r="I352" s="19" t="str">
        <f>IF('REGISTER SK'!C355="","",'REGISTER SK'!C355)</f>
        <v/>
      </c>
      <c r="J352" s="125"/>
      <c r="K352" s="125"/>
      <c r="L352" s="26" t="str">
        <f>IF('REGISTER SK'!D355="","",'REGISTER SK'!D355)</f>
        <v/>
      </c>
      <c r="M352" s="26" t="str">
        <f>IF('REGISTER SK'!E355="","",'REGISTER SK'!E355)</f>
        <v/>
      </c>
      <c r="N352" s="31" t="str">
        <f>IF(G352="","",IF(OR(G352="GTT",G352="PTT"),"--",VLOOKUP(F352,'Data Induk Pegawai'!B:AE,4,FALSE)))</f>
        <v/>
      </c>
      <c r="O352" s="18" t="s">
        <v>321</v>
      </c>
      <c r="P352" s="31" t="str">
        <f>IF(G352="","",VLOOKUP(F352,'Data Induk Pegawai'!B:AE,7,FALSE))</f>
        <v/>
      </c>
      <c r="Q352" s="30"/>
      <c r="R352" s="26" t="str">
        <f>IF(G352="","","Nomor "&amp;RIGHT(VLOOKUP(F352,'Data Induk Pegawai'!B:AE,12,FALSE),2)&amp;" Tahun "&amp;MID(VLOOKUP(F352,'Data Induk Pegawai'!B:AE,12,FALSE),5,4))</f>
        <v/>
      </c>
      <c r="S352" s="26" t="str">
        <f>IF(G352="","",VLOOKUP(F352,'Data Induk Pegawai'!B:AE,11,FALSE))</f>
        <v/>
      </c>
      <c r="T352" s="56"/>
      <c r="U352" s="18" t="str">
        <f t="shared" si="122"/>
        <v/>
      </c>
      <c r="V352" s="30"/>
      <c r="W352" s="18" t="str">
        <f t="shared" si="146"/>
        <v/>
      </c>
      <c r="X352" s="16"/>
      <c r="Y352" t="str">
        <f t="shared" si="123"/>
        <v/>
      </c>
      <c r="Z352" t="str">
        <f t="shared" si="124"/>
        <v/>
      </c>
      <c r="AA352" t="str">
        <f t="shared" si="125"/>
        <v/>
      </c>
      <c r="AB352" t="str">
        <f>COUNTIFS(AC352:AC$596,AC352)&amp;AC352</f>
        <v>245</v>
      </c>
      <c r="AC352" t="str">
        <f t="shared" si="142"/>
        <v/>
      </c>
      <c r="AD352" t="str">
        <f>COUNTIFS(AC$2:AC352,AC352)&amp;AC352</f>
        <v>351</v>
      </c>
      <c r="AE352" t="str">
        <f t="shared" si="126"/>
        <v/>
      </c>
      <c r="AF352" t="str">
        <f t="shared" si="143"/>
        <v>..</v>
      </c>
      <c r="AG352" s="28" t="str">
        <f t="shared" si="127"/>
        <v/>
      </c>
      <c r="AH352" s="28" t="str">
        <f t="shared" si="128"/>
        <v/>
      </c>
      <c r="AI352" t="str">
        <f t="shared" si="129"/>
        <v/>
      </c>
      <c r="AJ352" t="str">
        <f t="shared" si="130"/>
        <v/>
      </c>
      <c r="AK352" t="str">
        <f t="shared" si="131"/>
        <v/>
      </c>
      <c r="AL352" t="str">
        <f t="shared" si="132"/>
        <v/>
      </c>
      <c r="AM352" t="str">
        <f t="shared" si="133"/>
        <v/>
      </c>
      <c r="AN352" t="str">
        <f t="shared" si="134"/>
        <v/>
      </c>
      <c r="AO352" t="str">
        <f t="shared" si="135"/>
        <v/>
      </c>
      <c r="AP352" t="str">
        <f t="shared" si="136"/>
        <v/>
      </c>
      <c r="AQ352" t="str">
        <f t="shared" si="137"/>
        <v/>
      </c>
      <c r="AR352" t="str">
        <f t="shared" si="138"/>
        <v/>
      </c>
      <c r="AS352" t="str">
        <f t="shared" si="139"/>
        <v/>
      </c>
      <c r="AT352" t="str">
        <f t="shared" si="140"/>
        <v/>
      </c>
      <c r="AU352" s="25" t="str">
        <f t="shared" si="144"/>
        <v/>
      </c>
      <c r="BA352">
        <f>'REGISTER SK'!F355</f>
        <v>0</v>
      </c>
    </row>
    <row r="353" spans="1:53" x14ac:dyDescent="0.35">
      <c r="A353" s="18">
        <v>352</v>
      </c>
      <c r="B353" s="36" t="s">
        <v>379</v>
      </c>
      <c r="C353" s="18" t="str">
        <f>IF(G353="","",IF(G353="Umum",G353,VLOOKUP(F353,'Data Induk Pegawai'!B:AE,4,FALSE)))</f>
        <v/>
      </c>
      <c r="D353" s="19" t="str">
        <f>IF('REGISTER SK'!A356="","",IF('REGISTER SK'!B356=0,D352,'REGISTER SK'!B356))</f>
        <v/>
      </c>
      <c r="E353" s="19" t="str">
        <f t="shared" si="141"/>
        <v/>
      </c>
      <c r="F353" s="29"/>
      <c r="G353" s="29"/>
      <c r="H353" s="31" t="str">
        <f>IF(F353="","",VLOOKUP(F353,'Data Induk Pegawai'!B:U,2,FALSE))</f>
        <v/>
      </c>
      <c r="I353" s="19" t="str">
        <f>IF('REGISTER SK'!C356="","",'REGISTER SK'!C356)</f>
        <v/>
      </c>
      <c r="J353" s="125"/>
      <c r="K353" s="125"/>
      <c r="L353" s="26" t="str">
        <f>IF('REGISTER SK'!D356="","",'REGISTER SK'!D356)</f>
        <v/>
      </c>
      <c r="M353" s="26" t="str">
        <f>IF('REGISTER SK'!E356="","",'REGISTER SK'!E356)</f>
        <v/>
      </c>
      <c r="N353" s="31" t="str">
        <f>IF(G353="","",IF(OR(G353="GTT",G353="PTT"),"--",VLOOKUP(F353,'Data Induk Pegawai'!B:AE,4,FALSE)))</f>
        <v/>
      </c>
      <c r="O353" s="18" t="s">
        <v>288</v>
      </c>
      <c r="P353" s="31" t="str">
        <f>IF(G353="","",VLOOKUP(F353,'Data Induk Pegawai'!B:AE,7,FALSE))</f>
        <v/>
      </c>
      <c r="Q353" s="30"/>
      <c r="R353" s="26" t="str">
        <f>IF(G353="","","Nomor "&amp;RIGHT(VLOOKUP(F353,'Data Induk Pegawai'!B:AE,12,FALSE),2)&amp;" Tahun "&amp;MID(VLOOKUP(F353,'Data Induk Pegawai'!B:AE,12,FALSE),5,4))</f>
        <v/>
      </c>
      <c r="S353" s="26" t="str">
        <f>IF(G353="","",VLOOKUP(F353,'Data Induk Pegawai'!B:AE,11,FALSE))</f>
        <v/>
      </c>
      <c r="T353" s="56"/>
      <c r="U353" s="18" t="str">
        <f t="shared" si="122"/>
        <v/>
      </c>
      <c r="V353" s="30"/>
      <c r="W353" s="18" t="str">
        <f t="shared" si="146"/>
        <v/>
      </c>
      <c r="X353" s="16"/>
      <c r="Y353" t="str">
        <f t="shared" si="123"/>
        <v/>
      </c>
      <c r="Z353" t="str">
        <f t="shared" si="124"/>
        <v/>
      </c>
      <c r="AA353" t="str">
        <f t="shared" si="125"/>
        <v/>
      </c>
      <c r="AB353" t="str">
        <f>COUNTIFS(AC353:AC$596,AC353)&amp;AC353</f>
        <v>244</v>
      </c>
      <c r="AC353" t="str">
        <f t="shared" si="142"/>
        <v/>
      </c>
      <c r="AD353" t="str">
        <f>COUNTIFS(AC$2:AC353,AC353)&amp;AC353</f>
        <v>352</v>
      </c>
      <c r="AE353" t="str">
        <f t="shared" si="126"/>
        <v/>
      </c>
      <c r="AF353" t="str">
        <f t="shared" si="143"/>
        <v>..</v>
      </c>
      <c r="AG353" s="28" t="str">
        <f t="shared" si="127"/>
        <v/>
      </c>
      <c r="AH353" s="28" t="str">
        <f t="shared" si="128"/>
        <v/>
      </c>
      <c r="AI353" t="str">
        <f t="shared" si="129"/>
        <v/>
      </c>
      <c r="AJ353" t="str">
        <f t="shared" si="130"/>
        <v/>
      </c>
      <c r="AK353" t="str">
        <f t="shared" si="131"/>
        <v/>
      </c>
      <c r="AL353" t="str">
        <f t="shared" si="132"/>
        <v/>
      </c>
      <c r="AM353" t="str">
        <f t="shared" si="133"/>
        <v/>
      </c>
      <c r="AN353" t="str">
        <f t="shared" si="134"/>
        <v/>
      </c>
      <c r="AO353" t="str">
        <f t="shared" si="135"/>
        <v/>
      </c>
      <c r="AP353" t="str">
        <f t="shared" si="136"/>
        <v/>
      </c>
      <c r="AQ353" t="str">
        <f t="shared" si="137"/>
        <v/>
      </c>
      <c r="AR353" t="str">
        <f t="shared" si="138"/>
        <v/>
      </c>
      <c r="AS353" t="str">
        <f t="shared" si="139"/>
        <v/>
      </c>
      <c r="AT353" t="str">
        <f t="shared" si="140"/>
        <v/>
      </c>
      <c r="AU353" s="25" t="str">
        <f t="shared" si="144"/>
        <v/>
      </c>
      <c r="BA353">
        <f>'REGISTER SK'!F356</f>
        <v>0</v>
      </c>
    </row>
    <row r="354" spans="1:53" x14ac:dyDescent="0.35">
      <c r="A354" s="18">
        <v>353</v>
      </c>
      <c r="B354" s="36" t="s">
        <v>379</v>
      </c>
      <c r="C354" s="18" t="str">
        <f>IF(G354="","",IF(G354="Umum",G354,VLOOKUP(F354,'Data Induk Pegawai'!B:AE,4,FALSE)))</f>
        <v/>
      </c>
      <c r="D354" s="19" t="str">
        <f>IF('REGISTER SK'!A357="","",IF('REGISTER SK'!B357=0,D353,'REGISTER SK'!B357))</f>
        <v/>
      </c>
      <c r="E354" s="19" t="str">
        <f t="shared" si="141"/>
        <v/>
      </c>
      <c r="F354" s="29"/>
      <c r="G354" s="29"/>
      <c r="H354" s="31" t="str">
        <f>IF(F354="","",VLOOKUP(F354,'Data Induk Pegawai'!B:U,2,FALSE))</f>
        <v/>
      </c>
      <c r="I354" s="19" t="str">
        <f>IF('REGISTER SK'!C357="","",'REGISTER SK'!C357)</f>
        <v/>
      </c>
      <c r="J354" s="125"/>
      <c r="K354" s="125"/>
      <c r="L354" s="26" t="str">
        <f>IF('REGISTER SK'!D357="","",'REGISTER SK'!D357)</f>
        <v/>
      </c>
      <c r="M354" s="26" t="str">
        <f>IF('REGISTER SK'!E357="","",'REGISTER SK'!E357)</f>
        <v/>
      </c>
      <c r="N354" s="31" t="str">
        <f>IF(G354="","",IF(OR(G354="GTT",G354="PTT"),"--",VLOOKUP(F354,'Data Induk Pegawai'!B:AE,4,FALSE)))</f>
        <v/>
      </c>
      <c r="O354" s="18" t="s">
        <v>294</v>
      </c>
      <c r="P354" s="31" t="str">
        <f>IF(G354="","",VLOOKUP(F354,'Data Induk Pegawai'!B:AE,7,FALSE))</f>
        <v/>
      </c>
      <c r="Q354" s="30"/>
      <c r="R354" s="26" t="str">
        <f>IF(G354="","","Nomor "&amp;RIGHT(VLOOKUP(F354,'Data Induk Pegawai'!B:AE,12,FALSE),2)&amp;" Tahun "&amp;MID(VLOOKUP(F354,'Data Induk Pegawai'!B:AE,12,FALSE),5,4))</f>
        <v/>
      </c>
      <c r="S354" s="26" t="str">
        <f>IF(G354="","",VLOOKUP(F354,'Data Induk Pegawai'!B:AE,11,FALSE))</f>
        <v/>
      </c>
      <c r="T354" s="56"/>
      <c r="U354" s="18" t="str">
        <f t="shared" si="122"/>
        <v/>
      </c>
      <c r="V354" s="30"/>
      <c r="W354" s="18" t="str">
        <f t="shared" si="146"/>
        <v/>
      </c>
      <c r="X354" s="16"/>
      <c r="Y354" t="str">
        <f t="shared" si="123"/>
        <v/>
      </c>
      <c r="Z354" t="str">
        <f t="shared" si="124"/>
        <v/>
      </c>
      <c r="AA354" t="str">
        <f t="shared" si="125"/>
        <v/>
      </c>
      <c r="AB354" t="str">
        <f>COUNTIFS(AC354:AC$596,AC354)&amp;AC354</f>
        <v>243</v>
      </c>
      <c r="AC354" t="str">
        <f t="shared" si="142"/>
        <v/>
      </c>
      <c r="AD354" t="str">
        <f>COUNTIFS(AC$2:AC354,AC354)&amp;AC354</f>
        <v>353</v>
      </c>
      <c r="AE354" t="str">
        <f t="shared" si="126"/>
        <v/>
      </c>
      <c r="AF354" t="str">
        <f t="shared" si="143"/>
        <v>..</v>
      </c>
      <c r="AG354" s="28" t="str">
        <f t="shared" ref="AG354:AG365" si="147">L354</f>
        <v/>
      </c>
      <c r="AH354" s="28" t="str">
        <f t="shared" si="128"/>
        <v/>
      </c>
      <c r="AI354" t="str">
        <f t="shared" si="129"/>
        <v/>
      </c>
      <c r="AJ354" t="str">
        <f t="shared" si="130"/>
        <v/>
      </c>
      <c r="AK354" t="str">
        <f t="shared" si="131"/>
        <v/>
      </c>
      <c r="AL354" t="str">
        <f t="shared" si="132"/>
        <v/>
      </c>
      <c r="AM354" t="str">
        <f t="shared" si="133"/>
        <v/>
      </c>
      <c r="AN354" t="str">
        <f t="shared" si="134"/>
        <v/>
      </c>
      <c r="AO354" t="str">
        <f t="shared" si="135"/>
        <v/>
      </c>
      <c r="AP354" t="str">
        <f t="shared" si="136"/>
        <v/>
      </c>
      <c r="AQ354" t="str">
        <f t="shared" si="137"/>
        <v/>
      </c>
      <c r="AR354" t="str">
        <f t="shared" si="138"/>
        <v/>
      </c>
      <c r="AS354" t="str">
        <f t="shared" si="139"/>
        <v/>
      </c>
      <c r="AT354" t="str">
        <f t="shared" si="140"/>
        <v/>
      </c>
      <c r="AU354" s="25" t="str">
        <f t="shared" si="144"/>
        <v/>
      </c>
      <c r="BA354">
        <f>'REGISTER SK'!F357</f>
        <v>0</v>
      </c>
    </row>
    <row r="355" spans="1:53" x14ac:dyDescent="0.35">
      <c r="A355" s="18">
        <v>354</v>
      </c>
      <c r="B355" s="36" t="s">
        <v>379</v>
      </c>
      <c r="C355" s="18" t="str">
        <f>IF(G355="","",IF(G355="Umum",G355,VLOOKUP(F355,'Data Induk Pegawai'!B:AE,4,FALSE)))</f>
        <v/>
      </c>
      <c r="D355" s="19" t="str">
        <f>IF('REGISTER SK'!A358="","",IF('REGISTER SK'!B358=0,D354,'REGISTER SK'!B358))</f>
        <v/>
      </c>
      <c r="E355" s="19" t="str">
        <f t="shared" si="141"/>
        <v/>
      </c>
      <c r="F355" s="29"/>
      <c r="G355" s="29"/>
      <c r="H355" s="31" t="str">
        <f>IF(F355="","",VLOOKUP(F355,'Data Induk Pegawai'!B:U,2,FALSE))</f>
        <v/>
      </c>
      <c r="I355" s="19" t="str">
        <f>IF('REGISTER SK'!C358="","",'REGISTER SK'!C358)</f>
        <v/>
      </c>
      <c r="J355" s="125"/>
      <c r="K355" s="125"/>
      <c r="L355" s="26" t="str">
        <f>IF('REGISTER SK'!D358="","",'REGISTER SK'!D358)</f>
        <v/>
      </c>
      <c r="M355" s="26" t="str">
        <f>IF('REGISTER SK'!E358="","",'REGISTER SK'!E358)</f>
        <v/>
      </c>
      <c r="N355" s="31" t="str">
        <f>IF(G355="","",IF(OR(G355="GTT",G355="PTT"),"--",VLOOKUP(F355,'Data Induk Pegawai'!B:AE,4,FALSE)))</f>
        <v/>
      </c>
      <c r="O355" s="18" t="s">
        <v>326</v>
      </c>
      <c r="P355" s="31" t="str">
        <f>IF(G355="","",VLOOKUP(F355,'Data Induk Pegawai'!B:AE,7,FALSE))</f>
        <v/>
      </c>
      <c r="Q355" s="30"/>
      <c r="R355" s="26" t="str">
        <f>IF(G355="","","Nomor "&amp;RIGHT(VLOOKUP(F355,'Data Induk Pegawai'!B:AE,12,FALSE),2)&amp;" Tahun "&amp;MID(VLOOKUP(F355,'Data Induk Pegawai'!B:AE,12,FALSE),5,4))</f>
        <v/>
      </c>
      <c r="S355" s="26" t="str">
        <f>IF(G355="","",VLOOKUP(F355,'Data Induk Pegawai'!B:AE,11,FALSE))</f>
        <v/>
      </c>
      <c r="T355" s="56"/>
      <c r="U355" s="18" t="str">
        <f t="shared" si="122"/>
        <v/>
      </c>
      <c r="V355" s="30"/>
      <c r="W355" s="18" t="str">
        <f t="shared" ref="W355:W363" si="148">V355&amp;H355</f>
        <v/>
      </c>
      <c r="X355" s="16"/>
      <c r="Y355" t="str">
        <f t="shared" si="123"/>
        <v/>
      </c>
      <c r="Z355" t="str">
        <f t="shared" si="124"/>
        <v/>
      </c>
      <c r="AA355" t="str">
        <f t="shared" si="125"/>
        <v/>
      </c>
      <c r="AB355" t="str">
        <f>COUNTIFS(AC355:AC$596,AC355)&amp;AC355</f>
        <v>242</v>
      </c>
      <c r="AC355" t="str">
        <f t="shared" si="142"/>
        <v/>
      </c>
      <c r="AD355" t="str">
        <f>COUNTIFS(AC$2:AC355,AC355)&amp;AC355</f>
        <v>354</v>
      </c>
      <c r="AE355" t="str">
        <f t="shared" si="126"/>
        <v/>
      </c>
      <c r="AF355" t="str">
        <f t="shared" si="143"/>
        <v>..</v>
      </c>
      <c r="AG355" s="28" t="str">
        <f t="shared" si="147"/>
        <v/>
      </c>
      <c r="AH355" s="28" t="str">
        <f t="shared" si="128"/>
        <v/>
      </c>
      <c r="AI355" t="str">
        <f t="shared" si="129"/>
        <v/>
      </c>
      <c r="AJ355" t="str">
        <f t="shared" si="130"/>
        <v/>
      </c>
      <c r="AK355" t="str">
        <f t="shared" si="131"/>
        <v/>
      </c>
      <c r="AL355" t="str">
        <f t="shared" si="132"/>
        <v/>
      </c>
      <c r="AM355" t="str">
        <f t="shared" si="133"/>
        <v/>
      </c>
      <c r="AN355" t="str">
        <f t="shared" si="134"/>
        <v/>
      </c>
      <c r="AO355" t="str">
        <f t="shared" si="135"/>
        <v/>
      </c>
      <c r="AP355" t="str">
        <f t="shared" si="136"/>
        <v/>
      </c>
      <c r="AQ355" t="str">
        <f t="shared" si="137"/>
        <v/>
      </c>
      <c r="AR355" t="str">
        <f t="shared" si="138"/>
        <v/>
      </c>
      <c r="AS355" t="str">
        <f t="shared" si="139"/>
        <v/>
      </c>
      <c r="AT355" t="str">
        <f t="shared" si="140"/>
        <v/>
      </c>
      <c r="AU355" s="25" t="str">
        <f t="shared" si="144"/>
        <v/>
      </c>
      <c r="BA355">
        <f>'REGISTER SK'!F358</f>
        <v>0</v>
      </c>
    </row>
    <row r="356" spans="1:53" x14ac:dyDescent="0.35">
      <c r="A356" s="18">
        <v>355</v>
      </c>
      <c r="B356" s="36" t="s">
        <v>379</v>
      </c>
      <c r="C356" s="18" t="str">
        <f>IF(G356="","",IF(G356="Umum",G356,VLOOKUP(F356,'Data Induk Pegawai'!B:AE,4,FALSE)))</f>
        <v/>
      </c>
      <c r="D356" s="19" t="str">
        <f>IF('REGISTER SK'!A359="","",IF('REGISTER SK'!B359=0,D355,'REGISTER SK'!B359))</f>
        <v/>
      </c>
      <c r="E356" s="19" t="str">
        <f t="shared" si="141"/>
        <v/>
      </c>
      <c r="F356" s="29"/>
      <c r="G356" s="29"/>
      <c r="H356" s="31" t="str">
        <f>IF(F356="","",VLOOKUP(F356,'Data Induk Pegawai'!B:U,2,FALSE))</f>
        <v/>
      </c>
      <c r="I356" s="19" t="str">
        <f>IF('REGISTER SK'!C359="","",'REGISTER SK'!C359)</f>
        <v/>
      </c>
      <c r="J356" s="125"/>
      <c r="K356" s="125"/>
      <c r="L356" s="26" t="str">
        <f>IF('REGISTER SK'!D359="","",'REGISTER SK'!D359)</f>
        <v/>
      </c>
      <c r="M356" s="26" t="str">
        <f>IF('REGISTER SK'!E359="","",'REGISTER SK'!E359)</f>
        <v/>
      </c>
      <c r="N356" s="31" t="str">
        <f>IF(G356="","",IF(OR(G356="GTT",G356="PTT"),"--",VLOOKUP(F356,'Data Induk Pegawai'!B:AE,4,FALSE)))</f>
        <v/>
      </c>
      <c r="O356" s="18" t="s">
        <v>325</v>
      </c>
      <c r="P356" s="31" t="str">
        <f>IF(G356="","",VLOOKUP(F356,'Data Induk Pegawai'!B:AE,7,FALSE))</f>
        <v/>
      </c>
      <c r="Q356" s="30"/>
      <c r="R356" s="26" t="str">
        <f>IF(G356="","","Nomor "&amp;RIGHT(VLOOKUP(F356,'Data Induk Pegawai'!B:AE,12,FALSE),2)&amp;" Tahun "&amp;MID(VLOOKUP(F356,'Data Induk Pegawai'!B:AE,12,FALSE),5,4))</f>
        <v/>
      </c>
      <c r="S356" s="26" t="str">
        <f>IF(G356="","",VLOOKUP(F356,'Data Induk Pegawai'!B:AE,11,FALSE))</f>
        <v/>
      </c>
      <c r="T356" s="56"/>
      <c r="U356" s="18" t="str">
        <f t="shared" si="122"/>
        <v/>
      </c>
      <c r="V356" s="30"/>
      <c r="W356" s="18" t="str">
        <f t="shared" si="148"/>
        <v/>
      </c>
      <c r="X356" s="16"/>
      <c r="Y356" t="str">
        <f t="shared" si="123"/>
        <v/>
      </c>
      <c r="Z356" t="str">
        <f t="shared" si="124"/>
        <v/>
      </c>
      <c r="AA356" t="str">
        <f t="shared" si="125"/>
        <v/>
      </c>
      <c r="AB356" t="str">
        <f>COUNTIFS(AC356:AC$596,AC356)&amp;AC356</f>
        <v>241</v>
      </c>
      <c r="AC356" t="str">
        <f t="shared" si="142"/>
        <v/>
      </c>
      <c r="AD356" t="str">
        <f>COUNTIFS(AC$2:AC356,AC356)&amp;AC356</f>
        <v>355</v>
      </c>
      <c r="AE356" t="str">
        <f t="shared" si="126"/>
        <v/>
      </c>
      <c r="AF356" t="str">
        <f t="shared" si="143"/>
        <v>..</v>
      </c>
      <c r="AG356" s="28" t="str">
        <f t="shared" si="147"/>
        <v/>
      </c>
      <c r="AH356" s="28" t="str">
        <f t="shared" si="128"/>
        <v/>
      </c>
      <c r="AI356" t="str">
        <f t="shared" si="129"/>
        <v/>
      </c>
      <c r="AJ356" t="str">
        <f t="shared" si="130"/>
        <v/>
      </c>
      <c r="AK356" t="str">
        <f t="shared" si="131"/>
        <v/>
      </c>
      <c r="AL356" t="str">
        <f t="shared" si="132"/>
        <v/>
      </c>
      <c r="AM356" t="str">
        <f t="shared" si="133"/>
        <v/>
      </c>
      <c r="AN356" t="str">
        <f t="shared" si="134"/>
        <v/>
      </c>
      <c r="AO356" t="str">
        <f t="shared" si="135"/>
        <v/>
      </c>
      <c r="AP356" t="str">
        <f t="shared" si="136"/>
        <v/>
      </c>
      <c r="AQ356" t="str">
        <f t="shared" si="137"/>
        <v/>
      </c>
      <c r="AR356" t="str">
        <f t="shared" si="138"/>
        <v/>
      </c>
      <c r="AS356" t="str">
        <f t="shared" si="139"/>
        <v/>
      </c>
      <c r="AT356" t="str">
        <f t="shared" si="140"/>
        <v/>
      </c>
      <c r="AU356" s="25" t="str">
        <f t="shared" si="144"/>
        <v/>
      </c>
      <c r="BA356">
        <f>'REGISTER SK'!F359</f>
        <v>0</v>
      </c>
    </row>
    <row r="357" spans="1:53" x14ac:dyDescent="0.35">
      <c r="A357" s="18">
        <v>356</v>
      </c>
      <c r="B357" s="36" t="s">
        <v>379</v>
      </c>
      <c r="C357" s="18" t="str">
        <f>IF(G357="","",IF(G357="Umum",G357,VLOOKUP(F357,'Data Induk Pegawai'!B:AE,4,FALSE)))</f>
        <v/>
      </c>
      <c r="D357" s="19" t="str">
        <f>IF('REGISTER SK'!A360="","",IF('REGISTER SK'!B360=0,D356,'REGISTER SK'!B360))</f>
        <v/>
      </c>
      <c r="E357" s="19" t="str">
        <f t="shared" si="141"/>
        <v/>
      </c>
      <c r="F357" s="29"/>
      <c r="G357" s="29"/>
      <c r="H357" s="31" t="str">
        <f>IF(F357="","",VLOOKUP(F357,'Data Induk Pegawai'!B:U,2,FALSE))</f>
        <v/>
      </c>
      <c r="I357" s="19" t="str">
        <f>IF('REGISTER SK'!C360="","",'REGISTER SK'!C360)</f>
        <v/>
      </c>
      <c r="J357" s="125"/>
      <c r="K357" s="125"/>
      <c r="L357" s="26" t="str">
        <f>IF('REGISTER SK'!D360="","",'REGISTER SK'!D360)</f>
        <v/>
      </c>
      <c r="M357" s="26" t="str">
        <f>IF('REGISTER SK'!E360="","",'REGISTER SK'!E360)</f>
        <v/>
      </c>
      <c r="N357" s="31" t="str">
        <f>IF(G357="","",IF(OR(G357="GTT",G357="PTT"),"--",VLOOKUP(F357,'Data Induk Pegawai'!B:AE,4,FALSE)))</f>
        <v/>
      </c>
      <c r="O357" s="18" t="s">
        <v>429</v>
      </c>
      <c r="P357" s="31" t="str">
        <f>IF(G357="","",VLOOKUP(F357,'Data Induk Pegawai'!B:AE,7,FALSE))</f>
        <v/>
      </c>
      <c r="Q357" s="30"/>
      <c r="R357" s="26" t="str">
        <f>IF(G357="","","Nomor "&amp;RIGHT(VLOOKUP(F357,'Data Induk Pegawai'!B:AE,12,FALSE),2)&amp;" Tahun "&amp;MID(VLOOKUP(F357,'Data Induk Pegawai'!B:AE,12,FALSE),5,4))</f>
        <v/>
      </c>
      <c r="S357" s="26" t="str">
        <f>IF(G357="","",VLOOKUP(F357,'Data Induk Pegawai'!B:AE,11,FALSE))</f>
        <v/>
      </c>
      <c r="T357" s="56"/>
      <c r="U357" s="18" t="str">
        <f t="shared" si="122"/>
        <v/>
      </c>
      <c r="V357" s="30"/>
      <c r="W357" s="18" t="str">
        <f t="shared" si="148"/>
        <v/>
      </c>
      <c r="X357" s="16"/>
      <c r="Y357" t="str">
        <f t="shared" si="123"/>
        <v/>
      </c>
      <c r="Z357" t="str">
        <f t="shared" si="124"/>
        <v/>
      </c>
      <c r="AA357" t="str">
        <f t="shared" si="125"/>
        <v/>
      </c>
      <c r="AB357" t="str">
        <f>COUNTIFS(AC357:AC$596,AC357)&amp;AC357</f>
        <v>240</v>
      </c>
      <c r="AC357" t="str">
        <f t="shared" si="142"/>
        <v/>
      </c>
      <c r="AD357" t="str">
        <f>COUNTIFS(AC$2:AC357,AC357)&amp;AC357</f>
        <v>356</v>
      </c>
      <c r="AE357" t="str">
        <f t="shared" si="126"/>
        <v/>
      </c>
      <c r="AF357" t="str">
        <f t="shared" si="143"/>
        <v>..</v>
      </c>
      <c r="AG357" s="28" t="str">
        <f t="shared" si="147"/>
        <v/>
      </c>
      <c r="AH357" s="28" t="str">
        <f t="shared" si="128"/>
        <v/>
      </c>
      <c r="AI357" t="str">
        <f t="shared" si="129"/>
        <v/>
      </c>
      <c r="AJ357" t="str">
        <f t="shared" si="130"/>
        <v/>
      </c>
      <c r="AK357" t="str">
        <f t="shared" si="131"/>
        <v/>
      </c>
      <c r="AL357" t="str">
        <f t="shared" si="132"/>
        <v/>
      </c>
      <c r="AM357" t="str">
        <f t="shared" si="133"/>
        <v/>
      </c>
      <c r="AN357" t="str">
        <f t="shared" si="134"/>
        <v/>
      </c>
      <c r="AO357" t="str">
        <f t="shared" si="135"/>
        <v/>
      </c>
      <c r="AP357" t="str">
        <f t="shared" si="136"/>
        <v/>
      </c>
      <c r="AQ357" t="str">
        <f t="shared" si="137"/>
        <v/>
      </c>
      <c r="AR357" t="str">
        <f t="shared" si="138"/>
        <v/>
      </c>
      <c r="AS357" t="str">
        <f t="shared" si="139"/>
        <v/>
      </c>
      <c r="AT357" t="str">
        <f t="shared" si="140"/>
        <v/>
      </c>
      <c r="AU357" s="25" t="str">
        <f t="shared" si="144"/>
        <v/>
      </c>
      <c r="BA357">
        <f>'REGISTER SK'!F360</f>
        <v>0</v>
      </c>
    </row>
    <row r="358" spans="1:53" x14ac:dyDescent="0.35">
      <c r="A358" s="18">
        <v>357</v>
      </c>
      <c r="B358" s="36" t="s">
        <v>379</v>
      </c>
      <c r="C358" s="18" t="str">
        <f>IF(G358="","",IF(G358="Umum",G358,VLOOKUP(F358,'Data Induk Pegawai'!B:AE,4,FALSE)))</f>
        <v/>
      </c>
      <c r="D358" s="19" t="str">
        <f>IF('REGISTER SK'!A361="","",IF('REGISTER SK'!B361=0,D357,'REGISTER SK'!B361))</f>
        <v/>
      </c>
      <c r="E358" s="19" t="str">
        <f t="shared" si="141"/>
        <v/>
      </c>
      <c r="F358" s="29"/>
      <c r="G358" s="29"/>
      <c r="H358" s="31" t="str">
        <f>IF(F358="","",VLOOKUP(F358,'Data Induk Pegawai'!B:U,2,FALSE))</f>
        <v/>
      </c>
      <c r="I358" s="19" t="str">
        <f>IF('REGISTER SK'!C361="","",'REGISTER SK'!C361)</f>
        <v/>
      </c>
      <c r="J358" s="125"/>
      <c r="K358" s="125"/>
      <c r="L358" s="26" t="str">
        <f>IF('REGISTER SK'!D361="","",'REGISTER SK'!D361)</f>
        <v/>
      </c>
      <c r="M358" s="26" t="str">
        <f>IF('REGISTER SK'!E361="","",'REGISTER SK'!E361)</f>
        <v/>
      </c>
      <c r="N358" s="31" t="str">
        <f>IF(G358="","",IF(OR(G358="GTT",G358="PTT"),"--",VLOOKUP(F358,'Data Induk Pegawai'!B:AE,4,FALSE)))</f>
        <v/>
      </c>
      <c r="O358" s="18" t="s">
        <v>432</v>
      </c>
      <c r="P358" s="31" t="str">
        <f>IF(G358="","",VLOOKUP(F358,'Data Induk Pegawai'!B:AE,7,FALSE))</f>
        <v/>
      </c>
      <c r="Q358" s="30"/>
      <c r="R358" s="26" t="str">
        <f>IF(G358="","","Nomor "&amp;RIGHT(VLOOKUP(F358,'Data Induk Pegawai'!B:AE,12,FALSE),2)&amp;" Tahun "&amp;MID(VLOOKUP(F358,'Data Induk Pegawai'!B:AE,12,FALSE),5,4))</f>
        <v/>
      </c>
      <c r="S358" s="26" t="str">
        <f>IF(G358="","",VLOOKUP(F358,'Data Induk Pegawai'!B:AE,11,FALSE))</f>
        <v/>
      </c>
      <c r="T358" s="56"/>
      <c r="U358" s="18" t="str">
        <f t="shared" si="122"/>
        <v/>
      </c>
      <c r="V358" s="30"/>
      <c r="W358" s="18" t="str">
        <f t="shared" si="148"/>
        <v/>
      </c>
      <c r="X358" s="16"/>
      <c r="Y358" t="str">
        <f t="shared" si="123"/>
        <v/>
      </c>
      <c r="Z358" t="str">
        <f t="shared" si="124"/>
        <v/>
      </c>
      <c r="AA358" t="str">
        <f t="shared" si="125"/>
        <v/>
      </c>
      <c r="AB358" t="str">
        <f>COUNTIFS(AC358:AC$596,AC358)&amp;AC358</f>
        <v>239</v>
      </c>
      <c r="AC358" t="str">
        <f t="shared" si="142"/>
        <v/>
      </c>
      <c r="AD358" t="str">
        <f>COUNTIFS(AC$2:AC358,AC358)&amp;AC358</f>
        <v>357</v>
      </c>
      <c r="AE358" t="str">
        <f t="shared" si="126"/>
        <v/>
      </c>
      <c r="AF358" t="str">
        <f t="shared" si="143"/>
        <v>..</v>
      </c>
      <c r="AG358" s="28" t="str">
        <f t="shared" si="147"/>
        <v/>
      </c>
      <c r="AH358" s="28" t="str">
        <f t="shared" si="128"/>
        <v/>
      </c>
      <c r="AI358" t="str">
        <f t="shared" si="129"/>
        <v/>
      </c>
      <c r="AJ358" t="str">
        <f t="shared" si="130"/>
        <v/>
      </c>
      <c r="AK358" t="str">
        <f t="shared" si="131"/>
        <v/>
      </c>
      <c r="AL358" t="str">
        <f t="shared" si="132"/>
        <v/>
      </c>
      <c r="AM358" t="str">
        <f t="shared" si="133"/>
        <v/>
      </c>
      <c r="AN358" t="str">
        <f t="shared" si="134"/>
        <v/>
      </c>
      <c r="AO358" t="str">
        <f t="shared" si="135"/>
        <v/>
      </c>
      <c r="AP358" t="str">
        <f t="shared" si="136"/>
        <v/>
      </c>
      <c r="AQ358" t="str">
        <f t="shared" si="137"/>
        <v/>
      </c>
      <c r="AR358" t="str">
        <f t="shared" si="138"/>
        <v/>
      </c>
      <c r="AS358" t="str">
        <f t="shared" si="139"/>
        <v/>
      </c>
      <c r="AT358" t="str">
        <f t="shared" si="140"/>
        <v/>
      </c>
      <c r="AU358" s="25" t="str">
        <f t="shared" si="144"/>
        <v/>
      </c>
      <c r="BA358">
        <f>'REGISTER SK'!F361</f>
        <v>0</v>
      </c>
    </row>
    <row r="359" spans="1:53" x14ac:dyDescent="0.35">
      <c r="A359" s="18">
        <v>358</v>
      </c>
      <c r="B359" s="36" t="s">
        <v>379</v>
      </c>
      <c r="C359" s="18" t="str">
        <f>IF(G359="","",IF(G359="Umum",G359,VLOOKUP(F359,'Data Induk Pegawai'!B:AE,4,FALSE)))</f>
        <v/>
      </c>
      <c r="D359" s="19" t="str">
        <f>IF('REGISTER SK'!A362="","",IF('REGISTER SK'!B362=0,D358,'REGISTER SK'!B362))</f>
        <v/>
      </c>
      <c r="E359" s="19" t="str">
        <f t="shared" si="141"/>
        <v/>
      </c>
      <c r="F359" s="29"/>
      <c r="G359" s="29"/>
      <c r="H359" s="31" t="str">
        <f>IF(F359="","",VLOOKUP(F359,'Data Induk Pegawai'!B:U,2,FALSE))</f>
        <v/>
      </c>
      <c r="I359" s="19" t="str">
        <f>IF('REGISTER SK'!C362="","",'REGISTER SK'!C362)</f>
        <v/>
      </c>
      <c r="J359" s="125"/>
      <c r="K359" s="125"/>
      <c r="L359" s="26" t="str">
        <f>IF('REGISTER SK'!D362="","",'REGISTER SK'!D362)</f>
        <v/>
      </c>
      <c r="M359" s="26" t="str">
        <f>IF('REGISTER SK'!E362="","",'REGISTER SK'!E362)</f>
        <v/>
      </c>
      <c r="N359" s="31" t="str">
        <f>IF(G359="","",IF(OR(G359="GTT",G359="PTT"),"--",VLOOKUP(F359,'Data Induk Pegawai'!B:AE,4,FALSE)))</f>
        <v/>
      </c>
      <c r="O359" s="18" t="s">
        <v>428</v>
      </c>
      <c r="P359" s="31" t="str">
        <f>IF(G359="","",VLOOKUP(F359,'Data Induk Pegawai'!B:AE,7,FALSE))</f>
        <v/>
      </c>
      <c r="Q359" s="30"/>
      <c r="R359" s="26" t="str">
        <f>IF(G359="","","Nomor "&amp;RIGHT(VLOOKUP(F359,'Data Induk Pegawai'!B:AE,12,FALSE),2)&amp;" Tahun "&amp;MID(VLOOKUP(F359,'Data Induk Pegawai'!B:AE,12,FALSE),5,4))</f>
        <v/>
      </c>
      <c r="S359" s="26" t="str">
        <f>IF(G359="","",VLOOKUP(F359,'Data Induk Pegawai'!B:AE,11,FALSE))</f>
        <v/>
      </c>
      <c r="T359" s="56"/>
      <c r="U359" s="18" t="str">
        <f t="shared" si="122"/>
        <v/>
      </c>
      <c r="V359" s="30"/>
      <c r="W359" s="18" t="str">
        <f t="shared" si="148"/>
        <v/>
      </c>
      <c r="X359" s="16"/>
      <c r="Y359" t="str">
        <f t="shared" si="123"/>
        <v/>
      </c>
      <c r="Z359" t="str">
        <f t="shared" si="124"/>
        <v/>
      </c>
      <c r="AA359" t="str">
        <f t="shared" si="125"/>
        <v/>
      </c>
      <c r="AB359" t="str">
        <f>COUNTIFS(AC359:AC$596,AC359)&amp;AC359</f>
        <v>238</v>
      </c>
      <c r="AC359" t="str">
        <f t="shared" si="142"/>
        <v/>
      </c>
      <c r="AD359" t="str">
        <f>COUNTIFS(AC$2:AC359,AC359)&amp;AC359</f>
        <v>358</v>
      </c>
      <c r="AE359" t="str">
        <f t="shared" si="126"/>
        <v/>
      </c>
      <c r="AF359" t="str">
        <f t="shared" si="143"/>
        <v>..</v>
      </c>
      <c r="AG359" s="28" t="str">
        <f t="shared" si="147"/>
        <v/>
      </c>
      <c r="AH359" s="28" t="str">
        <f t="shared" si="128"/>
        <v/>
      </c>
      <c r="AI359" t="str">
        <f t="shared" si="129"/>
        <v/>
      </c>
      <c r="AJ359" t="str">
        <f t="shared" si="130"/>
        <v/>
      </c>
      <c r="AK359" t="str">
        <f t="shared" si="131"/>
        <v/>
      </c>
      <c r="AL359" t="str">
        <f t="shared" si="132"/>
        <v/>
      </c>
      <c r="AM359" t="str">
        <f t="shared" si="133"/>
        <v/>
      </c>
      <c r="AN359" t="str">
        <f t="shared" si="134"/>
        <v/>
      </c>
      <c r="AO359" t="str">
        <f t="shared" si="135"/>
        <v/>
      </c>
      <c r="AP359" t="str">
        <f t="shared" si="136"/>
        <v/>
      </c>
      <c r="AQ359" t="str">
        <f t="shared" si="137"/>
        <v/>
      </c>
      <c r="AR359" t="str">
        <f t="shared" si="138"/>
        <v/>
      </c>
      <c r="AS359" t="str">
        <f t="shared" si="139"/>
        <v/>
      </c>
      <c r="AT359" t="str">
        <f t="shared" si="140"/>
        <v/>
      </c>
      <c r="AU359" s="25" t="str">
        <f t="shared" si="144"/>
        <v/>
      </c>
      <c r="BA359">
        <f>'REGISTER SK'!F362</f>
        <v>0</v>
      </c>
    </row>
    <row r="360" spans="1:53" x14ac:dyDescent="0.35">
      <c r="A360" s="18">
        <v>359</v>
      </c>
      <c r="B360" s="36" t="s">
        <v>379</v>
      </c>
      <c r="C360" s="18" t="str">
        <f>IF(G360="","",IF(G360="Umum",G360,VLOOKUP(F360,'Data Induk Pegawai'!B:AE,4,FALSE)))</f>
        <v/>
      </c>
      <c r="D360" s="19" t="str">
        <f>IF('REGISTER SK'!A363="","",IF('REGISTER SK'!B363=0,D359,'REGISTER SK'!B363))</f>
        <v/>
      </c>
      <c r="E360" s="19" t="str">
        <f t="shared" si="141"/>
        <v/>
      </c>
      <c r="F360" s="29"/>
      <c r="G360" s="29"/>
      <c r="H360" s="31" t="str">
        <f>IF(F360="","",VLOOKUP(F360,'Data Induk Pegawai'!B:U,2,FALSE))</f>
        <v/>
      </c>
      <c r="I360" s="19" t="str">
        <f>IF('REGISTER SK'!C363="","",'REGISTER SK'!C363)</f>
        <v/>
      </c>
      <c r="J360" s="125"/>
      <c r="K360" s="125"/>
      <c r="L360" s="26" t="str">
        <f>IF('REGISTER SK'!D363="","",'REGISTER SK'!D363)</f>
        <v/>
      </c>
      <c r="M360" s="26" t="str">
        <f>IF('REGISTER SK'!E363="","",'REGISTER SK'!E363)</f>
        <v/>
      </c>
      <c r="N360" s="31" t="str">
        <f>IF(G360="","",IF(OR(G360="GTT",G360="PTT"),"--",VLOOKUP(F360,'Data Induk Pegawai'!B:AE,4,FALSE)))</f>
        <v/>
      </c>
      <c r="O360" s="18" t="s">
        <v>428</v>
      </c>
      <c r="P360" s="31" t="str">
        <f>IF(G360="","",VLOOKUP(F360,'Data Induk Pegawai'!B:AE,7,FALSE))</f>
        <v/>
      </c>
      <c r="Q360" s="30"/>
      <c r="R360" s="26" t="str">
        <f>IF(G360="","","Nomor "&amp;RIGHT(VLOOKUP(F360,'Data Induk Pegawai'!B:AE,12,FALSE),2)&amp;" Tahun "&amp;MID(VLOOKUP(F360,'Data Induk Pegawai'!B:AE,12,FALSE),5,4))</f>
        <v/>
      </c>
      <c r="S360" s="26" t="str">
        <f>IF(G360="","",VLOOKUP(F360,'Data Induk Pegawai'!B:AE,11,FALSE))</f>
        <v/>
      </c>
      <c r="T360" s="56"/>
      <c r="U360" s="18" t="str">
        <f t="shared" si="122"/>
        <v/>
      </c>
      <c r="V360" s="30"/>
      <c r="W360" s="18" t="str">
        <f t="shared" si="148"/>
        <v/>
      </c>
      <c r="Y360" t="str">
        <f t="shared" si="123"/>
        <v/>
      </c>
      <c r="Z360" t="str">
        <f t="shared" si="124"/>
        <v/>
      </c>
      <c r="AA360" t="str">
        <f t="shared" si="125"/>
        <v/>
      </c>
      <c r="AB360" t="str">
        <f>COUNTIFS(AC360:AC$596,AC360)&amp;AC360</f>
        <v>237</v>
      </c>
      <c r="AC360" t="str">
        <f t="shared" si="142"/>
        <v/>
      </c>
      <c r="AD360" t="str">
        <f>COUNTIFS(AC$2:AC360,AC360)&amp;AC360</f>
        <v>359</v>
      </c>
      <c r="AE360" t="str">
        <f t="shared" si="126"/>
        <v/>
      </c>
      <c r="AF360" t="str">
        <f t="shared" si="143"/>
        <v>..</v>
      </c>
      <c r="AG360" s="28" t="str">
        <f t="shared" si="147"/>
        <v/>
      </c>
      <c r="AH360" s="28" t="str">
        <f t="shared" si="128"/>
        <v/>
      </c>
      <c r="AI360" t="str">
        <f t="shared" si="129"/>
        <v/>
      </c>
      <c r="AJ360" t="str">
        <f t="shared" si="130"/>
        <v/>
      </c>
      <c r="AK360" t="str">
        <f t="shared" si="131"/>
        <v/>
      </c>
      <c r="AL360" t="str">
        <f t="shared" si="132"/>
        <v/>
      </c>
      <c r="AM360" t="str">
        <f t="shared" si="133"/>
        <v/>
      </c>
      <c r="AN360" t="str">
        <f t="shared" si="134"/>
        <v/>
      </c>
      <c r="AO360" t="str">
        <f t="shared" si="135"/>
        <v/>
      </c>
      <c r="AP360" t="str">
        <f t="shared" si="136"/>
        <v/>
      </c>
      <c r="AQ360" t="str">
        <f t="shared" si="137"/>
        <v/>
      </c>
      <c r="AR360" t="str">
        <f t="shared" si="138"/>
        <v/>
      </c>
      <c r="AS360" t="str">
        <f t="shared" si="139"/>
        <v/>
      </c>
      <c r="AT360" t="str">
        <f t="shared" si="140"/>
        <v/>
      </c>
      <c r="AU360" s="25" t="str">
        <f t="shared" si="144"/>
        <v/>
      </c>
      <c r="BA360">
        <f>'REGISTER SK'!F363</f>
        <v>0</v>
      </c>
    </row>
    <row r="361" spans="1:53" x14ac:dyDescent="0.35">
      <c r="A361" s="18">
        <v>360</v>
      </c>
      <c r="B361" s="36" t="s">
        <v>379</v>
      </c>
      <c r="C361" s="18" t="str">
        <f>IF(G361="","",IF(G361="Umum",G361,VLOOKUP(F361,'Data Induk Pegawai'!B:AE,4,FALSE)))</f>
        <v/>
      </c>
      <c r="D361" s="19" t="str">
        <f>IF('REGISTER SK'!A364="","",IF('REGISTER SK'!B364=0,D360,'REGISTER SK'!B364))</f>
        <v/>
      </c>
      <c r="E361" s="19" t="str">
        <f t="shared" si="141"/>
        <v/>
      </c>
      <c r="F361" s="29"/>
      <c r="G361" s="29"/>
      <c r="H361" s="31" t="str">
        <f>IF(F361="","",VLOOKUP(F361,'Data Induk Pegawai'!B:U,2,FALSE))</f>
        <v/>
      </c>
      <c r="I361" s="19" t="str">
        <f>IF('REGISTER SK'!C364="","",'REGISTER SK'!C364)</f>
        <v/>
      </c>
      <c r="J361" s="125"/>
      <c r="K361" s="125"/>
      <c r="L361" s="26" t="str">
        <f>IF('REGISTER SK'!D364="","",'REGISTER SK'!D364)</f>
        <v/>
      </c>
      <c r="M361" s="26" t="str">
        <f>IF('REGISTER SK'!E364="","",'REGISTER SK'!E364)</f>
        <v/>
      </c>
      <c r="N361" s="31" t="str">
        <f>IF(G361="","",IF(OR(G361="GTT",G361="PTT"),"--",VLOOKUP(F361,'Data Induk Pegawai'!B:AE,4,FALSE)))</f>
        <v/>
      </c>
      <c r="O361" s="18" t="s">
        <v>397</v>
      </c>
      <c r="P361" s="31" t="str">
        <f>IF(G361="","",VLOOKUP(F361,'Data Induk Pegawai'!B:AE,7,FALSE))</f>
        <v/>
      </c>
      <c r="Q361" s="30"/>
      <c r="R361" s="26" t="str">
        <f>IF(G361="","","Nomor "&amp;RIGHT(VLOOKUP(F361,'Data Induk Pegawai'!B:AE,12,FALSE),2)&amp;" Tahun "&amp;MID(VLOOKUP(F361,'Data Induk Pegawai'!B:AE,12,FALSE),5,4))</f>
        <v/>
      </c>
      <c r="S361" s="26" t="str">
        <f>IF(G361="","",VLOOKUP(F361,'Data Induk Pegawai'!B:AE,11,FALSE))</f>
        <v/>
      </c>
      <c r="T361" s="56"/>
      <c r="U361" s="18" t="str">
        <f t="shared" si="122"/>
        <v/>
      </c>
      <c r="V361" s="30"/>
      <c r="W361" s="18" t="str">
        <f t="shared" si="148"/>
        <v/>
      </c>
      <c r="Y361" t="str">
        <f t="shared" si="123"/>
        <v/>
      </c>
      <c r="Z361" t="str">
        <f t="shared" si="124"/>
        <v/>
      </c>
      <c r="AA361" t="str">
        <f t="shared" si="125"/>
        <v/>
      </c>
      <c r="AB361" t="str">
        <f>COUNTIFS(AC361:AC$596,AC361)&amp;AC361</f>
        <v>236</v>
      </c>
      <c r="AC361" t="str">
        <f t="shared" si="142"/>
        <v/>
      </c>
      <c r="AD361" t="str">
        <f>COUNTIFS(AC$2:AC361,AC361)&amp;AC361</f>
        <v>360</v>
      </c>
      <c r="AE361" t="str">
        <f t="shared" si="126"/>
        <v/>
      </c>
      <c r="AF361" t="str">
        <f t="shared" si="143"/>
        <v>..</v>
      </c>
      <c r="AG361" s="28" t="str">
        <f t="shared" si="147"/>
        <v/>
      </c>
      <c r="AH361" s="28" t="str">
        <f t="shared" si="128"/>
        <v/>
      </c>
      <c r="AI361" t="str">
        <f t="shared" si="129"/>
        <v/>
      </c>
      <c r="AJ361" t="str">
        <f t="shared" si="130"/>
        <v/>
      </c>
      <c r="AK361" t="str">
        <f t="shared" si="131"/>
        <v/>
      </c>
      <c r="AL361" t="str">
        <f t="shared" si="132"/>
        <v/>
      </c>
      <c r="AM361" t="str">
        <f t="shared" si="133"/>
        <v/>
      </c>
      <c r="AN361" t="str">
        <f t="shared" si="134"/>
        <v/>
      </c>
      <c r="AO361" t="str">
        <f t="shared" si="135"/>
        <v/>
      </c>
      <c r="AP361" t="str">
        <f t="shared" si="136"/>
        <v/>
      </c>
      <c r="AQ361" t="str">
        <f t="shared" si="137"/>
        <v/>
      </c>
      <c r="AR361" t="str">
        <f t="shared" si="138"/>
        <v/>
      </c>
      <c r="AS361" t="str">
        <f t="shared" si="139"/>
        <v/>
      </c>
      <c r="AT361" t="str">
        <f t="shared" si="140"/>
        <v/>
      </c>
      <c r="AU361" s="25" t="str">
        <f t="shared" si="144"/>
        <v/>
      </c>
      <c r="BA361">
        <f>'REGISTER SK'!F364</f>
        <v>0</v>
      </c>
    </row>
    <row r="362" spans="1:53" x14ac:dyDescent="0.35">
      <c r="A362" s="18">
        <v>361</v>
      </c>
      <c r="B362" s="18" t="s">
        <v>379</v>
      </c>
      <c r="C362" s="18" t="str">
        <f>IF(G362="","",IF(G362="Umum",G362,VLOOKUP(F362,'Data Induk Pegawai'!B:AE,4,FALSE)))</f>
        <v/>
      </c>
      <c r="D362" s="19" t="str">
        <f>IF('REGISTER SK'!A365="","",IF('REGISTER SK'!B365=0,D361,'REGISTER SK'!B365))</f>
        <v/>
      </c>
      <c r="E362" s="19" t="str">
        <f t="shared" si="141"/>
        <v/>
      </c>
      <c r="F362" s="29"/>
      <c r="G362" s="29"/>
      <c r="H362" s="31" t="str">
        <f>IF(F362="","",VLOOKUP(F362,'Data Induk Pegawai'!B:U,2,FALSE))</f>
        <v/>
      </c>
      <c r="I362" s="19" t="str">
        <f>IF('REGISTER SK'!C365="","",'REGISTER SK'!C365)</f>
        <v/>
      </c>
      <c r="J362" s="125"/>
      <c r="K362" s="125"/>
      <c r="L362" s="26" t="str">
        <f>IF('REGISTER SK'!D365="","",'REGISTER SK'!D365)</f>
        <v/>
      </c>
      <c r="M362" s="26" t="str">
        <f>IF('REGISTER SK'!E365="","",'REGISTER SK'!E365)</f>
        <v/>
      </c>
      <c r="N362" s="31" t="str">
        <f>IF(G362="","",IF(OR(G362="GTT",G362="PTT"),"--",VLOOKUP(F362,'Data Induk Pegawai'!B:AE,4,FALSE)))</f>
        <v/>
      </c>
      <c r="O362" s="18" t="s">
        <v>431</v>
      </c>
      <c r="P362" s="31" t="str">
        <f>IF(G362="","",VLOOKUP(F362,'Data Induk Pegawai'!B:AE,7,FALSE))</f>
        <v/>
      </c>
      <c r="Q362" s="30"/>
      <c r="R362" s="26" t="str">
        <f>IF(G362="","","Nomor "&amp;RIGHT(VLOOKUP(F362,'Data Induk Pegawai'!B:AE,12,FALSE),2)&amp;" Tahun "&amp;MID(VLOOKUP(F362,'Data Induk Pegawai'!B:AE,12,FALSE),5,4))</f>
        <v/>
      </c>
      <c r="S362" s="26" t="str">
        <f>IF(G362="","",VLOOKUP(F362,'Data Induk Pegawai'!B:AE,11,FALSE))</f>
        <v/>
      </c>
      <c r="T362" s="56"/>
      <c r="U362" s="18" t="str">
        <f t="shared" si="122"/>
        <v/>
      </c>
      <c r="V362" s="30"/>
      <c r="W362" s="18" t="str">
        <f t="shared" si="148"/>
        <v/>
      </c>
      <c r="Y362" t="str">
        <f t="shared" si="123"/>
        <v/>
      </c>
      <c r="Z362" t="str">
        <f t="shared" si="124"/>
        <v/>
      </c>
      <c r="AA362" t="str">
        <f t="shared" si="125"/>
        <v/>
      </c>
      <c r="AB362" t="str">
        <f>COUNTIFS(AC362:AC$596,AC362)&amp;AC362</f>
        <v>235</v>
      </c>
      <c r="AC362" t="str">
        <f t="shared" si="142"/>
        <v/>
      </c>
      <c r="AD362" t="str">
        <f>COUNTIFS(AC$2:AC362,AC362)&amp;AC362</f>
        <v>361</v>
      </c>
      <c r="AE362" t="str">
        <f t="shared" si="126"/>
        <v/>
      </c>
      <c r="AF362" t="str">
        <f t="shared" si="143"/>
        <v>..</v>
      </c>
      <c r="AG362" s="28" t="str">
        <f t="shared" si="147"/>
        <v/>
      </c>
      <c r="AH362" s="28" t="str">
        <f t="shared" si="128"/>
        <v/>
      </c>
      <c r="AI362" t="str">
        <f t="shared" si="129"/>
        <v/>
      </c>
      <c r="AJ362" t="str">
        <f t="shared" si="130"/>
        <v/>
      </c>
      <c r="AK362" t="str">
        <f t="shared" si="131"/>
        <v/>
      </c>
      <c r="AL362" t="str">
        <f t="shared" si="132"/>
        <v/>
      </c>
      <c r="AM362" t="str">
        <f t="shared" si="133"/>
        <v/>
      </c>
      <c r="AN362" t="str">
        <f t="shared" si="134"/>
        <v/>
      </c>
      <c r="AO362" t="str">
        <f t="shared" si="135"/>
        <v/>
      </c>
      <c r="AP362" t="str">
        <f t="shared" si="136"/>
        <v/>
      </c>
      <c r="AQ362" t="str">
        <f t="shared" si="137"/>
        <v/>
      </c>
      <c r="AR362" t="str">
        <f t="shared" si="138"/>
        <v/>
      </c>
      <c r="AS362" t="str">
        <f t="shared" si="139"/>
        <v/>
      </c>
      <c r="AT362" t="str">
        <f t="shared" si="140"/>
        <v/>
      </c>
      <c r="AU362" s="25" t="str">
        <f t="shared" si="144"/>
        <v/>
      </c>
      <c r="BA362">
        <f>'REGISTER SK'!F365</f>
        <v>0</v>
      </c>
    </row>
    <row r="363" spans="1:53" x14ac:dyDescent="0.35">
      <c r="A363" s="18">
        <v>362</v>
      </c>
      <c r="B363" s="18" t="s">
        <v>379</v>
      </c>
      <c r="C363" s="18" t="str">
        <f>IF(G363="","",IF(G363="Umum",G363,VLOOKUP(F363,'Data Induk Pegawai'!B:AE,4,FALSE)))</f>
        <v/>
      </c>
      <c r="D363" s="19" t="str">
        <f>IF('REGISTER SK'!A366="","",IF('REGISTER SK'!B366=0,D362,'REGISTER SK'!B366))</f>
        <v/>
      </c>
      <c r="E363" s="19" t="str">
        <f t="shared" si="141"/>
        <v/>
      </c>
      <c r="F363" s="29"/>
      <c r="G363" s="29"/>
      <c r="H363" s="31" t="str">
        <f>IF(F363="","",VLOOKUP(F363,'Data Induk Pegawai'!B:U,2,FALSE))</f>
        <v/>
      </c>
      <c r="I363" s="19" t="str">
        <f>IF('REGISTER SK'!C366="","",'REGISTER SK'!C366)</f>
        <v/>
      </c>
      <c r="J363" s="125"/>
      <c r="K363" s="125"/>
      <c r="L363" s="26" t="str">
        <f>IF('REGISTER SK'!D366="","",'REGISTER SK'!D366)</f>
        <v/>
      </c>
      <c r="M363" s="26" t="str">
        <f>IF('REGISTER SK'!E366="","",'REGISTER SK'!E366)</f>
        <v/>
      </c>
      <c r="N363" s="31" t="str">
        <f>IF(G363="","",IF(OR(G363="GTT",G363="PTT"),"--",VLOOKUP(F363,'Data Induk Pegawai'!B:AE,4,FALSE)))</f>
        <v/>
      </c>
      <c r="O363" s="18" t="s">
        <v>431</v>
      </c>
      <c r="P363" s="31" t="str">
        <f>IF(G363="","",VLOOKUP(F363,'Data Induk Pegawai'!B:AE,7,FALSE))</f>
        <v/>
      </c>
      <c r="Q363" s="30"/>
      <c r="R363" s="26" t="str">
        <f>IF(G363="","","Nomor "&amp;RIGHT(VLOOKUP(F363,'Data Induk Pegawai'!B:AE,12,FALSE),2)&amp;" Tahun "&amp;MID(VLOOKUP(F363,'Data Induk Pegawai'!B:AE,12,FALSE),5,4))</f>
        <v/>
      </c>
      <c r="S363" s="26">
        <v>44743</v>
      </c>
      <c r="T363" s="56"/>
      <c r="U363" s="18" t="str">
        <f t="shared" si="122"/>
        <v>- Tahun - Bulan</v>
      </c>
      <c r="V363" s="30"/>
      <c r="W363" s="18" t="str">
        <f t="shared" si="148"/>
        <v/>
      </c>
      <c r="Y363" t="str">
        <f t="shared" si="123"/>
        <v>?</v>
      </c>
      <c r="Z363" t="str">
        <f t="shared" si="124"/>
        <v>-</v>
      </c>
      <c r="AA363" t="str">
        <f t="shared" si="125"/>
        <v>-</v>
      </c>
      <c r="AB363" t="str">
        <f>COUNTIFS(AC363:AC$596,AC363)&amp;AC363</f>
        <v>234</v>
      </c>
      <c r="AC363" t="str">
        <f t="shared" si="142"/>
        <v/>
      </c>
      <c r="AD363" t="str">
        <f>COUNTIFS(AC$2:AC363,AC363)&amp;AC363</f>
        <v>362</v>
      </c>
      <c r="AE363" t="str">
        <f t="shared" si="126"/>
        <v/>
      </c>
      <c r="AF363" t="str">
        <f t="shared" si="143"/>
        <v>..</v>
      </c>
      <c r="AG363" s="28" t="str">
        <f t="shared" si="147"/>
        <v/>
      </c>
      <c r="AH363" s="28" t="str">
        <f t="shared" si="128"/>
        <v/>
      </c>
      <c r="AI363" t="str">
        <f t="shared" si="129"/>
        <v/>
      </c>
      <c r="AJ363" t="str">
        <f t="shared" si="130"/>
        <v/>
      </c>
      <c r="AK363" t="str">
        <f t="shared" si="131"/>
        <v/>
      </c>
      <c r="AL363" t="str">
        <f t="shared" si="132"/>
        <v/>
      </c>
      <c r="AM363" t="str">
        <f t="shared" si="133"/>
        <v/>
      </c>
      <c r="AN363" t="str">
        <f t="shared" si="134"/>
        <v>1</v>
      </c>
      <c r="AO363" t="str">
        <f t="shared" si="135"/>
        <v>July</v>
      </c>
      <c r="AP363" t="str">
        <f t="shared" si="136"/>
        <v>2022</v>
      </c>
      <c r="AQ363" t="str">
        <f t="shared" si="137"/>
        <v/>
      </c>
      <c r="AR363" t="str">
        <f t="shared" si="138"/>
        <v/>
      </c>
      <c r="AS363" t="str">
        <f t="shared" si="139"/>
        <v/>
      </c>
      <c r="AT363" t="str">
        <f t="shared" si="140"/>
        <v/>
      </c>
      <c r="AU363" s="25" t="str">
        <f t="shared" si="144"/>
        <v/>
      </c>
      <c r="BA363">
        <f>'REGISTER SK'!F366</f>
        <v>0</v>
      </c>
    </row>
    <row r="364" spans="1:53" x14ac:dyDescent="0.35">
      <c r="A364" s="18">
        <v>363</v>
      </c>
      <c r="B364" s="18" t="s">
        <v>379</v>
      </c>
      <c r="C364" s="18" t="str">
        <f>IF(G364="","",IF(G364="Umum",G364,VLOOKUP(F364,'Data Induk Pegawai'!B:AE,4,FALSE)))</f>
        <v/>
      </c>
      <c r="D364" s="19" t="str">
        <f>IF('REGISTER SK'!A367="","",IF('REGISTER SK'!B367=0,D363,'REGISTER SK'!B367))</f>
        <v/>
      </c>
      <c r="E364" s="19" t="str">
        <f t="shared" si="141"/>
        <v/>
      </c>
      <c r="F364" s="29"/>
      <c r="G364" s="29"/>
      <c r="H364" s="31" t="str">
        <f>IF(F364="","",VLOOKUP(F364,'Data Induk Pegawai'!B:U,2,FALSE))</f>
        <v/>
      </c>
      <c r="I364" s="19" t="str">
        <f>IF('REGISTER SK'!C367="","",'REGISTER SK'!C367)</f>
        <v/>
      </c>
      <c r="J364" s="125"/>
      <c r="K364" s="125"/>
      <c r="L364" s="26" t="str">
        <f>IF('REGISTER SK'!D367="","",'REGISTER SK'!D367)</f>
        <v/>
      </c>
      <c r="M364" s="26" t="str">
        <f>IF('REGISTER SK'!E367="","",'REGISTER SK'!E367)</f>
        <v/>
      </c>
      <c r="N364" s="31" t="str">
        <f>IF(G364="","",IF(OR(G364="GTT",G364="PTT"),"--",VLOOKUP(F364,'Data Induk Pegawai'!B:AE,4,FALSE)))</f>
        <v/>
      </c>
      <c r="O364" s="18" t="s">
        <v>465</v>
      </c>
      <c r="P364" s="31" t="str">
        <f>IF(G364="","",VLOOKUP(F364,'Data Induk Pegawai'!B:AE,7,FALSE))</f>
        <v/>
      </c>
      <c r="Q364" s="30"/>
      <c r="R364" s="26" t="str">
        <f>IF(G364="","","Nomor "&amp;RIGHT(VLOOKUP(F364,'Data Induk Pegawai'!B:AE,12,FALSE),2)&amp;" Tahun "&amp;MID(VLOOKUP(F364,'Data Induk Pegawai'!B:AE,12,FALSE),5,4))</f>
        <v/>
      </c>
      <c r="S364" s="26" t="str">
        <f>IF(G364="","",VLOOKUP(F364,'Data Induk Pegawai'!B:AE,11,FALSE))</f>
        <v/>
      </c>
      <c r="T364" s="56"/>
      <c r="U364" s="18" t="str">
        <f t="shared" si="122"/>
        <v/>
      </c>
      <c r="V364" s="30"/>
      <c r="W364" s="18" t="str">
        <f t="shared" ref="W364" si="149">V364&amp;H364</f>
        <v/>
      </c>
      <c r="Y364" t="str">
        <f t="shared" si="123"/>
        <v/>
      </c>
      <c r="Z364" t="str">
        <f t="shared" si="124"/>
        <v/>
      </c>
      <c r="AA364" t="str">
        <f t="shared" si="125"/>
        <v/>
      </c>
      <c r="AB364" t="str">
        <f>COUNTIFS(AC364:AC$596,AC364)&amp;AC364</f>
        <v>233</v>
      </c>
      <c r="AC364" t="str">
        <f t="shared" si="142"/>
        <v/>
      </c>
      <c r="AD364" t="str">
        <f>COUNTIFS(AC$2:AC364,AC364)&amp;AC364</f>
        <v>363</v>
      </c>
      <c r="AE364" t="str">
        <f t="shared" si="126"/>
        <v/>
      </c>
      <c r="AF364" t="str">
        <f t="shared" si="143"/>
        <v>..</v>
      </c>
      <c r="AG364" s="28" t="str">
        <f t="shared" si="147"/>
        <v/>
      </c>
      <c r="AH364" s="28" t="str">
        <f t="shared" si="128"/>
        <v/>
      </c>
      <c r="AI364" t="str">
        <f t="shared" si="129"/>
        <v/>
      </c>
      <c r="AJ364" t="str">
        <f t="shared" si="130"/>
        <v/>
      </c>
      <c r="AK364" t="str">
        <f t="shared" si="131"/>
        <v/>
      </c>
      <c r="AL364" t="str">
        <f t="shared" si="132"/>
        <v/>
      </c>
      <c r="AM364" t="str">
        <f t="shared" si="133"/>
        <v/>
      </c>
      <c r="AN364" t="str">
        <f t="shared" si="134"/>
        <v/>
      </c>
      <c r="AO364" t="str">
        <f t="shared" si="135"/>
        <v/>
      </c>
      <c r="AP364" t="str">
        <f t="shared" si="136"/>
        <v/>
      </c>
      <c r="AQ364" t="str">
        <f t="shared" si="137"/>
        <v/>
      </c>
      <c r="AR364" t="str">
        <f t="shared" si="138"/>
        <v/>
      </c>
      <c r="AS364" t="str">
        <f t="shared" si="139"/>
        <v/>
      </c>
      <c r="AT364" t="str">
        <f t="shared" si="140"/>
        <v/>
      </c>
      <c r="AU364" s="25" t="str">
        <f t="shared" si="144"/>
        <v/>
      </c>
      <c r="BA364">
        <f>'REGISTER SK'!F367</f>
        <v>0</v>
      </c>
    </row>
    <row r="365" spans="1:53" x14ac:dyDescent="0.35">
      <c r="A365" s="18">
        <v>364</v>
      </c>
      <c r="B365" s="18" t="s">
        <v>379</v>
      </c>
      <c r="C365" s="18" t="str">
        <f>IF(G365="","",IF(G365="Umum",G365,VLOOKUP(F365,'Data Induk Pegawai'!B:AE,4,FALSE)))</f>
        <v/>
      </c>
      <c r="D365" s="19" t="str">
        <f>IF('REGISTER SK'!A368="","",IF('REGISTER SK'!B368=0,D364,'REGISTER SK'!B368))</f>
        <v/>
      </c>
      <c r="E365" s="19" t="str">
        <f t="shared" si="141"/>
        <v/>
      </c>
      <c r="F365" s="29"/>
      <c r="G365" s="29"/>
      <c r="H365" s="31" t="str">
        <f>IF(F365="","",VLOOKUP(F365,'Data Induk Pegawai'!B:U,2,FALSE))</f>
        <v/>
      </c>
      <c r="I365" s="19" t="str">
        <f>IF('REGISTER SK'!C368="","",'REGISTER SK'!C368)</f>
        <v/>
      </c>
      <c r="J365" s="125"/>
      <c r="K365" s="125"/>
      <c r="L365" s="26" t="str">
        <f>IF('REGISTER SK'!D368="","",'REGISTER SK'!D368)</f>
        <v/>
      </c>
      <c r="M365" s="26" t="str">
        <f>IF('REGISTER SK'!E368="","",'REGISTER SK'!E368)</f>
        <v/>
      </c>
      <c r="N365" s="31" t="str">
        <f>IF(G365="","",IF(OR(G365="GTT",G365="PTT"),"--",VLOOKUP(F365,'Data Induk Pegawai'!B:AE,4,FALSE)))</f>
        <v/>
      </c>
      <c r="O365" s="18" t="s">
        <v>455</v>
      </c>
      <c r="P365" s="31" t="str">
        <f>IF(G365="","",VLOOKUP(F365,'Data Induk Pegawai'!B:AE,7,FALSE))</f>
        <v/>
      </c>
      <c r="Q365" s="30"/>
      <c r="R365" s="26" t="str">
        <f>IF(G365="","","Nomor "&amp;RIGHT(VLOOKUP(F365,'Data Induk Pegawai'!B:AE,12,FALSE),2)&amp;" Tahun "&amp;MID(VLOOKUP(F365,'Data Induk Pegawai'!B:AE,12,FALSE),5,4))</f>
        <v/>
      </c>
      <c r="S365" s="26" t="str">
        <f>IF(G365="","",VLOOKUP(F365,'Data Induk Pegawai'!B:AE,11,FALSE))</f>
        <v/>
      </c>
      <c r="T365" s="56"/>
      <c r="U365" s="18" t="str">
        <f t="shared" si="122"/>
        <v/>
      </c>
      <c r="V365" s="30"/>
      <c r="W365" s="18" t="str">
        <f t="shared" si="145"/>
        <v/>
      </c>
      <c r="Y365" t="str">
        <f t="shared" si="123"/>
        <v/>
      </c>
      <c r="Z365" t="str">
        <f t="shared" si="124"/>
        <v/>
      </c>
      <c r="AA365" t="str">
        <f t="shared" si="125"/>
        <v/>
      </c>
      <c r="AB365" t="str">
        <f>COUNTIFS(AC365:AC$596,AC365)&amp;AC365</f>
        <v>232</v>
      </c>
      <c r="AC365" t="str">
        <f t="shared" si="142"/>
        <v/>
      </c>
      <c r="AD365" t="str">
        <f>COUNTIFS(AC$2:AC365,AC365)&amp;AC365</f>
        <v>364</v>
      </c>
      <c r="AE365" t="str">
        <f t="shared" si="126"/>
        <v/>
      </c>
      <c r="AF365" t="str">
        <f t="shared" si="143"/>
        <v>..</v>
      </c>
      <c r="AG365" s="28" t="str">
        <f t="shared" si="147"/>
        <v/>
      </c>
      <c r="AH365" s="28" t="str">
        <f t="shared" si="128"/>
        <v/>
      </c>
      <c r="AI365" t="str">
        <f t="shared" si="129"/>
        <v/>
      </c>
      <c r="AJ365" t="str">
        <f t="shared" si="130"/>
        <v/>
      </c>
      <c r="AK365" t="str">
        <f t="shared" si="131"/>
        <v/>
      </c>
      <c r="AL365" t="str">
        <f t="shared" si="132"/>
        <v/>
      </c>
      <c r="AM365" t="str">
        <f t="shared" si="133"/>
        <v/>
      </c>
      <c r="AN365" t="str">
        <f t="shared" si="134"/>
        <v/>
      </c>
      <c r="AO365" t="str">
        <f t="shared" si="135"/>
        <v/>
      </c>
      <c r="AP365" t="str">
        <f t="shared" si="136"/>
        <v/>
      </c>
      <c r="AQ365" t="str">
        <f t="shared" si="137"/>
        <v/>
      </c>
      <c r="AR365" t="str">
        <f t="shared" si="138"/>
        <v/>
      </c>
      <c r="AS365" t="str">
        <f t="shared" si="139"/>
        <v/>
      </c>
      <c r="AT365" t="str">
        <f t="shared" si="140"/>
        <v/>
      </c>
      <c r="AU365" s="25" t="str">
        <f t="shared" si="144"/>
        <v/>
      </c>
      <c r="BA365">
        <f>'REGISTER SK'!F368</f>
        <v>0</v>
      </c>
    </row>
    <row r="366" spans="1:53" x14ac:dyDescent="0.35">
      <c r="A366" s="18">
        <v>365</v>
      </c>
      <c r="B366" s="18" t="s">
        <v>379</v>
      </c>
      <c r="C366" s="18" t="str">
        <f>IF(G366="","",IF(G366="Umum",G366,VLOOKUP(F366,'Data Induk Pegawai'!B:AE,4,FALSE)))</f>
        <v/>
      </c>
      <c r="D366" s="19" t="str">
        <f>IF('REGISTER SK'!A369="","",IF('REGISTER SK'!B369=0,D365,'REGISTER SK'!B369))</f>
        <v/>
      </c>
      <c r="E366" s="19" t="str">
        <f t="shared" si="141"/>
        <v/>
      </c>
      <c r="F366" s="29"/>
      <c r="G366" s="29"/>
      <c r="H366" s="31" t="str">
        <f>IF(F366="","",VLOOKUP(F366,'Data Induk Pegawai'!B:U,2,FALSE))</f>
        <v/>
      </c>
      <c r="I366" s="19" t="str">
        <f>IF('REGISTER SK'!C369="","",'REGISTER SK'!C369)</f>
        <v/>
      </c>
      <c r="J366" s="125"/>
      <c r="K366" s="125"/>
      <c r="L366" s="26" t="str">
        <f>IF('REGISTER SK'!D369="","",'REGISTER SK'!D369)</f>
        <v/>
      </c>
      <c r="M366" s="26" t="str">
        <f>IF('REGISTER SK'!E369="","",'REGISTER SK'!E369)</f>
        <v/>
      </c>
      <c r="N366" s="31" t="str">
        <f>IF(G366="","",IF(OR(G366="GTT",G366="PTT"),"--",VLOOKUP(F366,'Data Induk Pegawai'!B:AE,4,FALSE)))</f>
        <v/>
      </c>
      <c r="O366" s="18" t="s">
        <v>452</v>
      </c>
      <c r="P366" s="31" t="str">
        <f>IF(G366="","",VLOOKUP(F366,'Data Induk Pegawai'!B:AE,7,FALSE))</f>
        <v/>
      </c>
      <c r="Q366" s="30"/>
      <c r="R366" s="26" t="str">
        <f>IF(G366="","","Nomor "&amp;RIGHT(VLOOKUP(F366,'Data Induk Pegawai'!B:AE,12,FALSE),2)&amp;" Tahun "&amp;MID(VLOOKUP(F366,'Data Induk Pegawai'!B:AE,12,FALSE),5,4))</f>
        <v/>
      </c>
      <c r="S366" s="26" t="str">
        <f>IF(G366="","",VLOOKUP(F366,'Data Induk Pegawai'!B:AE,11,FALSE))</f>
        <v/>
      </c>
      <c r="T366" s="56"/>
      <c r="U366" s="18" t="str">
        <f t="shared" si="122"/>
        <v/>
      </c>
      <c r="V366" s="30"/>
      <c r="W366" s="18" t="str">
        <f t="shared" ref="W366" si="150">V366&amp;H366</f>
        <v/>
      </c>
      <c r="Y366" t="str">
        <f t="shared" si="123"/>
        <v/>
      </c>
      <c r="Z366" t="str">
        <f t="shared" si="124"/>
        <v/>
      </c>
      <c r="AA366" t="str">
        <f t="shared" si="125"/>
        <v/>
      </c>
      <c r="AB366" t="str">
        <f>COUNTIFS(AC366:AC$596,AC366)&amp;AC366</f>
        <v>231</v>
      </c>
      <c r="AC366" t="str">
        <f t="shared" si="142"/>
        <v/>
      </c>
      <c r="AD366" t="str">
        <f>COUNTIFS(AC$2:AC366,AC366)&amp;AC366</f>
        <v>365</v>
      </c>
      <c r="AE366" t="str">
        <f t="shared" si="126"/>
        <v/>
      </c>
      <c r="AF366" t="str">
        <f t="shared" si="143"/>
        <v>..</v>
      </c>
      <c r="AG366" s="28" t="str">
        <f t="shared" ref="AG366:AG429" si="151">L366</f>
        <v/>
      </c>
      <c r="AH366" s="28" t="str">
        <f t="shared" si="128"/>
        <v/>
      </c>
      <c r="AI366" t="str">
        <f t="shared" si="129"/>
        <v/>
      </c>
      <c r="AJ366" t="str">
        <f t="shared" si="130"/>
        <v/>
      </c>
      <c r="AK366" t="str">
        <f t="shared" si="131"/>
        <v/>
      </c>
      <c r="AL366" t="str">
        <f t="shared" si="132"/>
        <v/>
      </c>
      <c r="AM366" t="str">
        <f t="shared" si="133"/>
        <v/>
      </c>
      <c r="AN366" t="str">
        <f t="shared" si="134"/>
        <v/>
      </c>
      <c r="AO366" t="str">
        <f t="shared" si="135"/>
        <v/>
      </c>
      <c r="AP366" t="str">
        <f t="shared" si="136"/>
        <v/>
      </c>
      <c r="AQ366" t="str">
        <f t="shared" si="137"/>
        <v/>
      </c>
      <c r="AR366" t="str">
        <f t="shared" si="138"/>
        <v/>
      </c>
      <c r="AS366" t="str">
        <f t="shared" si="139"/>
        <v/>
      </c>
      <c r="AT366" t="str">
        <f t="shared" si="140"/>
        <v/>
      </c>
      <c r="AU366" s="25" t="str">
        <f t="shared" si="144"/>
        <v/>
      </c>
      <c r="BA366">
        <f>'REGISTER SK'!F369</f>
        <v>0</v>
      </c>
    </row>
    <row r="367" spans="1:53" x14ac:dyDescent="0.35">
      <c r="A367" s="18">
        <v>366</v>
      </c>
      <c r="B367" s="18" t="s">
        <v>379</v>
      </c>
      <c r="C367" s="18" t="str">
        <f>IF(G367="","",IF(G367="Umum",G367,VLOOKUP(F367,'Data Induk Pegawai'!B:AE,4,FALSE)))</f>
        <v/>
      </c>
      <c r="D367" s="19" t="str">
        <f>IF('REGISTER SK'!A370="","",IF('REGISTER SK'!B370=0,D366,'REGISTER SK'!B370))</f>
        <v/>
      </c>
      <c r="E367" s="19" t="str">
        <f t="shared" si="141"/>
        <v/>
      </c>
      <c r="F367" s="29"/>
      <c r="G367" s="29"/>
      <c r="H367" s="31" t="str">
        <f>IF(F367="","",VLOOKUP(F367,'Data Induk Pegawai'!B:U,2,FALSE))</f>
        <v/>
      </c>
      <c r="I367" s="19" t="str">
        <f>IF('REGISTER SK'!C370="","",'REGISTER SK'!C370)</f>
        <v/>
      </c>
      <c r="J367" s="125"/>
      <c r="K367" s="125"/>
      <c r="L367" s="26" t="str">
        <f>IF('REGISTER SK'!D370="","",'REGISTER SK'!D370)</f>
        <v/>
      </c>
      <c r="M367" s="26" t="str">
        <f>IF('REGISTER SK'!E370="","",'REGISTER SK'!E370)</f>
        <v/>
      </c>
      <c r="N367" s="31" t="str">
        <f>IF(G367="","",IF(OR(G367="GTT",G367="PTT"),"--",VLOOKUP(F367,'Data Induk Pegawai'!B:AE,4,FALSE)))</f>
        <v/>
      </c>
      <c r="O367" s="18" t="s">
        <v>524</v>
      </c>
      <c r="P367" s="31" t="str">
        <f>IF(G367="","",VLOOKUP(F367,'Data Induk Pegawai'!B:AE,7,FALSE))</f>
        <v/>
      </c>
      <c r="Q367" s="30"/>
      <c r="R367" s="26" t="str">
        <f>IF(G367="","","Nomor "&amp;RIGHT(VLOOKUP(F367,'Data Induk Pegawai'!B:AE,12,FALSE),2)&amp;" Tahun "&amp;MID(VLOOKUP(F367,'Data Induk Pegawai'!B:AE,12,FALSE),5,4))</f>
        <v/>
      </c>
      <c r="S367" s="26" t="str">
        <f>IF(G367="","",VLOOKUP(F367,'Data Induk Pegawai'!B:AE,11,FALSE))</f>
        <v/>
      </c>
      <c r="T367" s="56"/>
      <c r="U367" s="18" t="str">
        <f t="shared" si="122"/>
        <v/>
      </c>
      <c r="V367" s="30"/>
      <c r="W367" s="18" t="str">
        <f t="shared" ref="W367" si="152">V367&amp;H367</f>
        <v/>
      </c>
      <c r="Y367" t="str">
        <f t="shared" si="123"/>
        <v/>
      </c>
      <c r="Z367" t="str">
        <f t="shared" si="124"/>
        <v/>
      </c>
      <c r="AA367" t="str">
        <f t="shared" si="125"/>
        <v/>
      </c>
      <c r="AB367" t="str">
        <f>COUNTIFS(AC367:AC$596,AC367)&amp;AC367</f>
        <v>230</v>
      </c>
      <c r="AC367" t="str">
        <f t="shared" si="142"/>
        <v/>
      </c>
      <c r="AD367" t="str">
        <f>COUNTIFS(AC$2:AC367,AC367)&amp;AC367</f>
        <v>366</v>
      </c>
      <c r="AE367" t="str">
        <f t="shared" si="126"/>
        <v/>
      </c>
      <c r="AF367" t="str">
        <f t="shared" si="143"/>
        <v>..</v>
      </c>
      <c r="AG367" s="28" t="str">
        <f t="shared" si="151"/>
        <v/>
      </c>
      <c r="AH367" s="28" t="str">
        <f t="shared" si="128"/>
        <v/>
      </c>
      <c r="AI367" t="str">
        <f t="shared" si="129"/>
        <v/>
      </c>
      <c r="AJ367" t="str">
        <f t="shared" si="130"/>
        <v/>
      </c>
      <c r="AK367" t="str">
        <f t="shared" si="131"/>
        <v/>
      </c>
      <c r="AL367" t="str">
        <f t="shared" si="132"/>
        <v/>
      </c>
      <c r="AM367" t="str">
        <f t="shared" si="133"/>
        <v/>
      </c>
      <c r="AN367" t="str">
        <f t="shared" si="134"/>
        <v/>
      </c>
      <c r="AO367" t="str">
        <f t="shared" si="135"/>
        <v/>
      </c>
      <c r="AP367" t="str">
        <f t="shared" si="136"/>
        <v/>
      </c>
      <c r="AQ367" t="str">
        <f t="shared" si="137"/>
        <v/>
      </c>
      <c r="AR367" t="str">
        <f t="shared" si="138"/>
        <v/>
      </c>
      <c r="AS367" t="str">
        <f t="shared" si="139"/>
        <v/>
      </c>
      <c r="AT367" t="str">
        <f t="shared" si="140"/>
        <v/>
      </c>
      <c r="AU367" s="25" t="str">
        <f t="shared" si="144"/>
        <v/>
      </c>
      <c r="BA367">
        <f>'REGISTER SK'!F370</f>
        <v>0</v>
      </c>
    </row>
    <row r="368" spans="1:53" x14ac:dyDescent="0.35">
      <c r="A368" s="18">
        <v>367</v>
      </c>
      <c r="B368" s="18" t="s">
        <v>379</v>
      </c>
      <c r="C368" s="18" t="str">
        <f>IF(G368="","",IF(G368="Umum",G368,VLOOKUP(F368,'Data Induk Pegawai'!B:AE,4,FALSE)))</f>
        <v/>
      </c>
      <c r="D368" s="19" t="str">
        <f>IF('REGISTER SK'!A371="","",IF('REGISTER SK'!B371=0,D367,'REGISTER SK'!B371))</f>
        <v/>
      </c>
      <c r="E368" s="19" t="str">
        <f t="shared" si="141"/>
        <v/>
      </c>
      <c r="F368" s="29"/>
      <c r="G368" s="29"/>
      <c r="H368" s="31" t="str">
        <f>IF(F368="","",VLOOKUP(F368,'Data Induk Pegawai'!B:U,2,FALSE))</f>
        <v/>
      </c>
      <c r="I368" s="19" t="str">
        <f>IF('REGISTER SK'!C371="","",'REGISTER SK'!C371)</f>
        <v/>
      </c>
      <c r="J368" s="125"/>
      <c r="K368" s="125"/>
      <c r="L368" s="26" t="str">
        <f>IF('REGISTER SK'!D371="","",'REGISTER SK'!D371)</f>
        <v/>
      </c>
      <c r="M368" s="26" t="str">
        <f>IF('REGISTER SK'!E371="","",'REGISTER SK'!E371)</f>
        <v/>
      </c>
      <c r="N368" s="31" t="str">
        <f>IF(G368="","",IF(OR(G368="GTT",G368="PTT"),"--",VLOOKUP(F368,'Data Induk Pegawai'!B:AE,4,FALSE)))</f>
        <v/>
      </c>
      <c r="O368" s="18" t="s">
        <v>446</v>
      </c>
      <c r="P368" s="31" t="str">
        <f>IF(G368="","",VLOOKUP(F368,'Data Induk Pegawai'!B:AE,7,FALSE))</f>
        <v/>
      </c>
      <c r="Q368" s="30"/>
      <c r="R368" s="26" t="str">
        <f>IF(G368="","","Nomor "&amp;RIGHT(VLOOKUP(F368,'Data Induk Pegawai'!B:AE,12,FALSE),2)&amp;" Tahun "&amp;MID(VLOOKUP(F368,'Data Induk Pegawai'!B:AE,12,FALSE),5,4))</f>
        <v/>
      </c>
      <c r="S368" s="26" t="str">
        <f>IF(G368="","",VLOOKUP(F368,'Data Induk Pegawai'!B:AE,11,FALSE))</f>
        <v/>
      </c>
      <c r="T368" s="56"/>
      <c r="U368" s="18" t="str">
        <f t="shared" si="122"/>
        <v/>
      </c>
      <c r="V368" s="30"/>
      <c r="W368" s="18" t="str">
        <f t="shared" ref="W368:W380" si="153">V368&amp;H368</f>
        <v/>
      </c>
      <c r="Y368" t="str">
        <f t="shared" si="123"/>
        <v/>
      </c>
      <c r="Z368" t="str">
        <f t="shared" si="124"/>
        <v/>
      </c>
      <c r="AA368" t="str">
        <f t="shared" si="125"/>
        <v/>
      </c>
      <c r="AB368" t="str">
        <f>COUNTIFS(AC368:AC$596,AC368)&amp;AC368</f>
        <v>229</v>
      </c>
      <c r="AC368" t="str">
        <f t="shared" si="142"/>
        <v/>
      </c>
      <c r="AD368" t="str">
        <f>COUNTIFS(AC$2:AC368,AC368)&amp;AC368</f>
        <v>367</v>
      </c>
      <c r="AE368" t="str">
        <f t="shared" si="126"/>
        <v/>
      </c>
      <c r="AF368" t="str">
        <f t="shared" si="143"/>
        <v>..</v>
      </c>
      <c r="AG368" s="28" t="str">
        <f t="shared" si="151"/>
        <v/>
      </c>
      <c r="AH368" s="28" t="str">
        <f t="shared" si="128"/>
        <v/>
      </c>
      <c r="AI368" t="str">
        <f t="shared" si="129"/>
        <v/>
      </c>
      <c r="AJ368" t="str">
        <f t="shared" si="130"/>
        <v/>
      </c>
      <c r="AK368" t="str">
        <f t="shared" si="131"/>
        <v/>
      </c>
      <c r="AL368" t="str">
        <f t="shared" si="132"/>
        <v/>
      </c>
      <c r="AM368" t="str">
        <f t="shared" si="133"/>
        <v/>
      </c>
      <c r="AN368" t="str">
        <f t="shared" si="134"/>
        <v/>
      </c>
      <c r="AO368" t="str">
        <f t="shared" si="135"/>
        <v/>
      </c>
      <c r="AP368" t="str">
        <f t="shared" si="136"/>
        <v/>
      </c>
      <c r="AQ368" t="str">
        <f t="shared" si="137"/>
        <v/>
      </c>
      <c r="AR368" t="str">
        <f t="shared" si="138"/>
        <v/>
      </c>
      <c r="AS368" t="str">
        <f t="shared" si="139"/>
        <v/>
      </c>
      <c r="AT368" t="str">
        <f t="shared" si="140"/>
        <v/>
      </c>
      <c r="AU368" s="25" t="str">
        <f t="shared" si="144"/>
        <v/>
      </c>
      <c r="BA368">
        <f>'REGISTER SK'!F371</f>
        <v>0</v>
      </c>
    </row>
    <row r="369" spans="1:53" x14ac:dyDescent="0.35">
      <c r="A369" s="18">
        <v>368</v>
      </c>
      <c r="B369" s="18" t="s">
        <v>379</v>
      </c>
      <c r="C369" s="18" t="str">
        <f>IF(G369="","",IF(G369="Umum",G369,VLOOKUP(F369,'Data Induk Pegawai'!B:AE,4,FALSE)))</f>
        <v/>
      </c>
      <c r="D369" s="19" t="str">
        <f>IF('REGISTER SK'!A372="","",IF('REGISTER SK'!B372=0,D368,'REGISTER SK'!B372))</f>
        <v/>
      </c>
      <c r="E369" s="19" t="str">
        <f t="shared" si="141"/>
        <v/>
      </c>
      <c r="F369" s="29"/>
      <c r="G369" s="29"/>
      <c r="H369" s="31" t="str">
        <f>IF(F369="","",VLOOKUP(F369,'Data Induk Pegawai'!B:U,2,FALSE))</f>
        <v/>
      </c>
      <c r="I369" s="19" t="str">
        <f>IF('REGISTER SK'!C372="","",'REGISTER SK'!C372)</f>
        <v/>
      </c>
      <c r="J369" s="125"/>
      <c r="K369" s="125"/>
      <c r="L369" s="26" t="str">
        <f>IF('REGISTER SK'!D372="","",'REGISTER SK'!D372)</f>
        <v/>
      </c>
      <c r="M369" s="26" t="str">
        <f>IF('REGISTER SK'!E372="","",'REGISTER SK'!E372)</f>
        <v/>
      </c>
      <c r="N369" s="31" t="str">
        <f>IF(G369="","",IF(OR(G369="GTT",G369="PTT"),"--",VLOOKUP(F369,'Data Induk Pegawai'!B:AE,4,FALSE)))</f>
        <v/>
      </c>
      <c r="O369" s="18" t="s">
        <v>450</v>
      </c>
      <c r="P369" s="31" t="str">
        <f>IF(G369="","",VLOOKUP(F369,'Data Induk Pegawai'!B:AE,7,FALSE))</f>
        <v/>
      </c>
      <c r="Q369" s="30"/>
      <c r="R369" s="26" t="str">
        <f>IF(G369="","","Nomor "&amp;RIGHT(VLOOKUP(F369,'Data Induk Pegawai'!B:AE,12,FALSE),2)&amp;" Tahun "&amp;MID(VLOOKUP(F369,'Data Induk Pegawai'!B:AE,12,FALSE),5,4))</f>
        <v/>
      </c>
      <c r="S369" s="26" t="str">
        <f>IF(G369="","",VLOOKUP(F369,'Data Induk Pegawai'!B:AE,11,FALSE))</f>
        <v/>
      </c>
      <c r="T369" s="56"/>
      <c r="U369" s="18" t="str">
        <f t="shared" si="122"/>
        <v/>
      </c>
      <c r="V369" s="30"/>
      <c r="W369" s="18" t="str">
        <f t="shared" si="153"/>
        <v/>
      </c>
      <c r="Y369" t="str">
        <f t="shared" si="123"/>
        <v/>
      </c>
      <c r="Z369" t="str">
        <f t="shared" si="124"/>
        <v/>
      </c>
      <c r="AA369" t="str">
        <f t="shared" si="125"/>
        <v/>
      </c>
      <c r="AB369" t="str">
        <f>COUNTIFS(AC369:AC$596,AC369)&amp;AC369</f>
        <v>228</v>
      </c>
      <c r="AC369" t="str">
        <f t="shared" si="142"/>
        <v/>
      </c>
      <c r="AD369" t="str">
        <f>COUNTIFS(AC$2:AC369,AC369)&amp;AC369</f>
        <v>368</v>
      </c>
      <c r="AE369" t="str">
        <f t="shared" si="126"/>
        <v/>
      </c>
      <c r="AF369" t="str">
        <f t="shared" si="143"/>
        <v>..</v>
      </c>
      <c r="AG369" s="28" t="str">
        <f t="shared" si="151"/>
        <v/>
      </c>
      <c r="AH369" s="28" t="str">
        <f t="shared" si="128"/>
        <v/>
      </c>
      <c r="AI369" t="str">
        <f t="shared" si="129"/>
        <v/>
      </c>
      <c r="AJ369" t="str">
        <f t="shared" si="130"/>
        <v/>
      </c>
      <c r="AK369" t="str">
        <f t="shared" si="131"/>
        <v/>
      </c>
      <c r="AL369" t="str">
        <f t="shared" si="132"/>
        <v/>
      </c>
      <c r="AM369" t="str">
        <f t="shared" si="133"/>
        <v/>
      </c>
      <c r="AN369" t="str">
        <f t="shared" si="134"/>
        <v/>
      </c>
      <c r="AO369" t="str">
        <f t="shared" si="135"/>
        <v/>
      </c>
      <c r="AP369" t="str">
        <f t="shared" si="136"/>
        <v/>
      </c>
      <c r="AQ369" t="str">
        <f t="shared" si="137"/>
        <v/>
      </c>
      <c r="AR369" t="str">
        <f t="shared" si="138"/>
        <v/>
      </c>
      <c r="AS369" t="str">
        <f t="shared" si="139"/>
        <v/>
      </c>
      <c r="AT369" t="str">
        <f t="shared" si="140"/>
        <v/>
      </c>
      <c r="AU369" s="25" t="str">
        <f t="shared" si="144"/>
        <v/>
      </c>
      <c r="BA369">
        <f>'REGISTER SK'!F372</f>
        <v>0</v>
      </c>
    </row>
    <row r="370" spans="1:53" x14ac:dyDescent="0.35">
      <c r="A370" s="18">
        <v>369</v>
      </c>
      <c r="B370" s="18" t="s">
        <v>379</v>
      </c>
      <c r="C370" s="18" t="str">
        <f>IF(G370="","",IF(G370="Umum",G370,VLOOKUP(F370,'Data Induk Pegawai'!B:AE,4,FALSE)))</f>
        <v/>
      </c>
      <c r="D370" s="19" t="str">
        <f>IF('REGISTER SK'!A373="","",IF('REGISTER SK'!B373=0,D369,'REGISTER SK'!B373))</f>
        <v/>
      </c>
      <c r="E370" s="19" t="str">
        <f t="shared" si="141"/>
        <v/>
      </c>
      <c r="F370" s="29"/>
      <c r="G370" s="29"/>
      <c r="H370" s="31" t="str">
        <f>IF(F370="","",VLOOKUP(F370,'Data Induk Pegawai'!B:U,2,FALSE))</f>
        <v/>
      </c>
      <c r="I370" s="19" t="str">
        <f>IF('REGISTER SK'!C373="","",'REGISTER SK'!C373)</f>
        <v/>
      </c>
      <c r="J370" s="125"/>
      <c r="K370" s="125"/>
      <c r="L370" s="26" t="str">
        <f>IF('REGISTER SK'!D373="","",'REGISTER SK'!D373)</f>
        <v/>
      </c>
      <c r="M370" s="26" t="str">
        <f>IF('REGISTER SK'!E373="","",'REGISTER SK'!E373)</f>
        <v/>
      </c>
      <c r="N370" s="31" t="str">
        <f>IF(G370="","",IF(OR(G370="GTT",G370="PTT"),"--",VLOOKUP(F370,'Data Induk Pegawai'!B:AE,4,FALSE)))</f>
        <v/>
      </c>
      <c r="O370" s="18" t="s">
        <v>457</v>
      </c>
      <c r="P370" s="31" t="str">
        <f>IF(G370="","",VLOOKUP(F370,'Data Induk Pegawai'!B:AE,7,FALSE))</f>
        <v/>
      </c>
      <c r="Q370" s="30"/>
      <c r="R370" s="26" t="str">
        <f>IF(G370="","","Nomor "&amp;RIGHT(VLOOKUP(F370,'Data Induk Pegawai'!B:AE,12,FALSE),2)&amp;" Tahun "&amp;MID(VLOOKUP(F370,'Data Induk Pegawai'!B:AE,12,FALSE),5,4))</f>
        <v/>
      </c>
      <c r="S370" s="26" t="str">
        <f>IF(G370="","",VLOOKUP(F370,'Data Induk Pegawai'!B:AE,11,FALSE))</f>
        <v/>
      </c>
      <c r="T370" s="56"/>
      <c r="U370" s="18" t="str">
        <f t="shared" si="122"/>
        <v/>
      </c>
      <c r="V370" s="30"/>
      <c r="W370" s="18" t="str">
        <f t="shared" si="153"/>
        <v/>
      </c>
      <c r="Y370" t="str">
        <f t="shared" si="123"/>
        <v/>
      </c>
      <c r="Z370" t="str">
        <f t="shared" si="124"/>
        <v/>
      </c>
      <c r="AA370" t="str">
        <f t="shared" si="125"/>
        <v/>
      </c>
      <c r="AB370" t="str">
        <f>COUNTIFS(AC370:AC$596,AC370)&amp;AC370</f>
        <v>227</v>
      </c>
      <c r="AC370" t="str">
        <f t="shared" si="142"/>
        <v/>
      </c>
      <c r="AD370" t="str">
        <f>COUNTIFS(AC$2:AC370,AC370)&amp;AC370</f>
        <v>369</v>
      </c>
      <c r="AE370" t="str">
        <f t="shared" si="126"/>
        <v/>
      </c>
      <c r="AF370" t="str">
        <f t="shared" si="143"/>
        <v>..</v>
      </c>
      <c r="AG370" s="28" t="str">
        <f t="shared" si="151"/>
        <v/>
      </c>
      <c r="AH370" s="28" t="str">
        <f t="shared" si="128"/>
        <v/>
      </c>
      <c r="AI370" t="str">
        <f t="shared" si="129"/>
        <v/>
      </c>
      <c r="AJ370" t="str">
        <f t="shared" si="130"/>
        <v/>
      </c>
      <c r="AK370" t="str">
        <f t="shared" si="131"/>
        <v/>
      </c>
      <c r="AL370" t="str">
        <f t="shared" si="132"/>
        <v/>
      </c>
      <c r="AM370" t="str">
        <f t="shared" si="133"/>
        <v/>
      </c>
      <c r="AN370" t="str">
        <f t="shared" si="134"/>
        <v/>
      </c>
      <c r="AO370" t="str">
        <f t="shared" si="135"/>
        <v/>
      </c>
      <c r="AP370" t="str">
        <f t="shared" si="136"/>
        <v/>
      </c>
      <c r="AQ370" t="str">
        <f t="shared" si="137"/>
        <v/>
      </c>
      <c r="AR370" t="str">
        <f t="shared" si="138"/>
        <v/>
      </c>
      <c r="AS370" t="str">
        <f t="shared" si="139"/>
        <v/>
      </c>
      <c r="AT370" t="str">
        <f t="shared" si="140"/>
        <v/>
      </c>
      <c r="AU370" s="25" t="str">
        <f t="shared" si="144"/>
        <v/>
      </c>
      <c r="BA370">
        <f>'REGISTER SK'!F373</f>
        <v>0</v>
      </c>
    </row>
    <row r="371" spans="1:53" x14ac:dyDescent="0.35">
      <c r="A371" s="18">
        <v>370</v>
      </c>
      <c r="B371" s="18" t="s">
        <v>379</v>
      </c>
      <c r="C371" s="18" t="str">
        <f>IF(G371="","",IF(G371="Umum",G371,VLOOKUP(F371,'Data Induk Pegawai'!B:AE,4,FALSE)))</f>
        <v/>
      </c>
      <c r="D371" s="19" t="str">
        <f>IF('REGISTER SK'!A374="","",IF('REGISTER SK'!B374=0,D370,'REGISTER SK'!B374))</f>
        <v/>
      </c>
      <c r="E371" s="19" t="str">
        <f t="shared" si="141"/>
        <v/>
      </c>
      <c r="F371" s="29"/>
      <c r="G371" s="29"/>
      <c r="H371" s="31" t="str">
        <f>IF(F371="","",VLOOKUP(F371,'Data Induk Pegawai'!B:U,2,FALSE))</f>
        <v/>
      </c>
      <c r="I371" s="19" t="str">
        <f>IF('REGISTER SK'!C374="","",'REGISTER SK'!C374)</f>
        <v/>
      </c>
      <c r="J371" s="125"/>
      <c r="K371" s="125"/>
      <c r="L371" s="26" t="str">
        <f>IF('REGISTER SK'!D374="","",'REGISTER SK'!D374)</f>
        <v/>
      </c>
      <c r="M371" s="26" t="str">
        <f>IF('REGISTER SK'!E374="","",'REGISTER SK'!E374)</f>
        <v/>
      </c>
      <c r="N371" s="31" t="str">
        <f>IF(G371="","",IF(OR(G371="GTT",G371="PTT"),"--",VLOOKUP(F371,'Data Induk Pegawai'!B:AE,4,FALSE)))</f>
        <v/>
      </c>
      <c r="O371" s="18" t="s">
        <v>461</v>
      </c>
      <c r="P371" s="31" t="str">
        <f>IF(G371="","",VLOOKUP(F371,'Data Induk Pegawai'!B:AE,7,FALSE))</f>
        <v/>
      </c>
      <c r="Q371" s="30"/>
      <c r="R371" s="26" t="str">
        <f>IF(G371="","","Nomor "&amp;RIGHT(VLOOKUP(F371,'Data Induk Pegawai'!B:AE,12,FALSE),2)&amp;" Tahun "&amp;MID(VLOOKUP(F371,'Data Induk Pegawai'!B:AE,12,FALSE),5,4))</f>
        <v/>
      </c>
      <c r="S371" s="26" t="str">
        <f>IF(G371="","",VLOOKUP(F371,'Data Induk Pegawai'!B:AE,11,FALSE))</f>
        <v/>
      </c>
      <c r="T371" s="56"/>
      <c r="U371" s="18" t="str">
        <f t="shared" si="122"/>
        <v/>
      </c>
      <c r="V371" s="30"/>
      <c r="W371" s="18" t="str">
        <f t="shared" si="153"/>
        <v/>
      </c>
      <c r="Y371" t="str">
        <f t="shared" si="123"/>
        <v/>
      </c>
      <c r="Z371" t="str">
        <f t="shared" si="124"/>
        <v/>
      </c>
      <c r="AA371" t="str">
        <f t="shared" si="125"/>
        <v/>
      </c>
      <c r="AB371" t="str">
        <f>COUNTIFS(AC371:AC$596,AC371)&amp;AC371</f>
        <v>226</v>
      </c>
      <c r="AC371" t="str">
        <f t="shared" si="142"/>
        <v/>
      </c>
      <c r="AD371" t="str">
        <f>COUNTIFS(AC$2:AC371,AC371)&amp;AC371</f>
        <v>370</v>
      </c>
      <c r="AE371" t="str">
        <f t="shared" si="126"/>
        <v/>
      </c>
      <c r="AF371" t="str">
        <f t="shared" si="143"/>
        <v>..</v>
      </c>
      <c r="AG371" s="28" t="str">
        <f t="shared" si="151"/>
        <v/>
      </c>
      <c r="AH371" s="28" t="str">
        <f t="shared" si="128"/>
        <v/>
      </c>
      <c r="AI371" t="str">
        <f t="shared" si="129"/>
        <v/>
      </c>
      <c r="AJ371" t="str">
        <f t="shared" si="130"/>
        <v/>
      </c>
      <c r="AK371" t="str">
        <f t="shared" si="131"/>
        <v/>
      </c>
      <c r="AL371" t="str">
        <f t="shared" si="132"/>
        <v/>
      </c>
      <c r="AM371" t="str">
        <f t="shared" si="133"/>
        <v/>
      </c>
      <c r="AN371" t="str">
        <f t="shared" si="134"/>
        <v/>
      </c>
      <c r="AO371" t="str">
        <f t="shared" si="135"/>
        <v/>
      </c>
      <c r="AP371" t="str">
        <f t="shared" si="136"/>
        <v/>
      </c>
      <c r="AQ371" t="str">
        <f t="shared" si="137"/>
        <v/>
      </c>
      <c r="AR371" t="str">
        <f t="shared" si="138"/>
        <v/>
      </c>
      <c r="AS371" t="str">
        <f t="shared" si="139"/>
        <v/>
      </c>
      <c r="AT371" t="str">
        <f t="shared" si="140"/>
        <v/>
      </c>
      <c r="AU371" s="25" t="str">
        <f t="shared" si="144"/>
        <v/>
      </c>
      <c r="BA371">
        <f>'REGISTER SK'!F374</f>
        <v>0</v>
      </c>
    </row>
    <row r="372" spans="1:53" x14ac:dyDescent="0.35">
      <c r="A372" s="18">
        <v>371</v>
      </c>
      <c r="B372" s="18" t="s">
        <v>379</v>
      </c>
      <c r="C372" s="18" t="str">
        <f>IF(G372="","",IF(G372="Umum",G372,VLOOKUP(F372,'Data Induk Pegawai'!B:AE,4,FALSE)))</f>
        <v/>
      </c>
      <c r="D372" s="19" t="str">
        <f>IF('REGISTER SK'!A375="","",IF('REGISTER SK'!B375=0,D371,'REGISTER SK'!B375))</f>
        <v/>
      </c>
      <c r="E372" s="19" t="str">
        <f t="shared" si="141"/>
        <v/>
      </c>
      <c r="F372" s="29"/>
      <c r="G372" s="29"/>
      <c r="H372" s="31" t="str">
        <f>IF(F372="","",VLOOKUP(F372,'Data Induk Pegawai'!B:U,2,FALSE))</f>
        <v/>
      </c>
      <c r="I372" s="19" t="str">
        <f>IF('REGISTER SK'!C375="","",'REGISTER SK'!C375)</f>
        <v/>
      </c>
      <c r="J372" s="125"/>
      <c r="K372" s="125"/>
      <c r="L372" s="26" t="str">
        <f>IF('REGISTER SK'!D375="","",'REGISTER SK'!D375)</f>
        <v/>
      </c>
      <c r="M372" s="26" t="str">
        <f>IF('REGISTER SK'!E375="","",'REGISTER SK'!E375)</f>
        <v/>
      </c>
      <c r="N372" s="31" t="str">
        <f>IF(G372="","",IF(OR(G372="GTT",G372="PTT"),"--",VLOOKUP(F372,'Data Induk Pegawai'!B:AE,4,FALSE)))</f>
        <v/>
      </c>
      <c r="O372" s="18" t="s">
        <v>463</v>
      </c>
      <c r="P372" s="31" t="str">
        <f>IF(G372="","",VLOOKUP(F372,'Data Induk Pegawai'!B:AE,7,FALSE))</f>
        <v/>
      </c>
      <c r="Q372" s="30"/>
      <c r="R372" s="26" t="str">
        <f>IF(G372="","","Nomor "&amp;RIGHT(VLOOKUP(F372,'Data Induk Pegawai'!B:AE,12,FALSE),2)&amp;" Tahun "&amp;MID(VLOOKUP(F372,'Data Induk Pegawai'!B:AE,12,FALSE),5,4))</f>
        <v/>
      </c>
      <c r="S372" s="26" t="str">
        <f>IF(G372="","",VLOOKUP(F372,'Data Induk Pegawai'!B:AE,11,FALSE))</f>
        <v/>
      </c>
      <c r="T372" s="56"/>
      <c r="U372" s="18" t="str">
        <f t="shared" si="122"/>
        <v/>
      </c>
      <c r="V372" s="30"/>
      <c r="W372" s="18" t="str">
        <f t="shared" si="153"/>
        <v/>
      </c>
      <c r="Y372" t="str">
        <f t="shared" si="123"/>
        <v/>
      </c>
      <c r="Z372" t="str">
        <f t="shared" si="124"/>
        <v/>
      </c>
      <c r="AA372" t="str">
        <f t="shared" si="125"/>
        <v/>
      </c>
      <c r="AB372" t="str">
        <f>COUNTIFS(AC372:AC$596,AC372)&amp;AC372</f>
        <v>225</v>
      </c>
      <c r="AC372" t="str">
        <f t="shared" si="142"/>
        <v/>
      </c>
      <c r="AD372" t="str">
        <f>COUNTIFS(AC$2:AC372,AC372)&amp;AC372</f>
        <v>371</v>
      </c>
      <c r="AE372" t="str">
        <f t="shared" si="126"/>
        <v/>
      </c>
      <c r="AF372" t="str">
        <f t="shared" si="143"/>
        <v>..</v>
      </c>
      <c r="AG372" s="28" t="str">
        <f t="shared" si="151"/>
        <v/>
      </c>
      <c r="AH372" s="28" t="str">
        <f t="shared" si="128"/>
        <v/>
      </c>
      <c r="AI372" t="str">
        <f t="shared" si="129"/>
        <v/>
      </c>
      <c r="AJ372" t="str">
        <f t="shared" si="130"/>
        <v/>
      </c>
      <c r="AK372" t="str">
        <f t="shared" si="131"/>
        <v/>
      </c>
      <c r="AL372" t="str">
        <f t="shared" si="132"/>
        <v/>
      </c>
      <c r="AM372" t="str">
        <f t="shared" si="133"/>
        <v/>
      </c>
      <c r="AN372" t="str">
        <f t="shared" si="134"/>
        <v/>
      </c>
      <c r="AO372" t="str">
        <f t="shared" si="135"/>
        <v/>
      </c>
      <c r="AP372" t="str">
        <f t="shared" si="136"/>
        <v/>
      </c>
      <c r="AQ372" t="str">
        <f t="shared" si="137"/>
        <v/>
      </c>
      <c r="AR372" t="str">
        <f t="shared" si="138"/>
        <v/>
      </c>
      <c r="AS372" t="str">
        <f t="shared" si="139"/>
        <v/>
      </c>
      <c r="AT372" t="str">
        <f t="shared" si="140"/>
        <v/>
      </c>
      <c r="AU372" s="25" t="str">
        <f t="shared" si="144"/>
        <v/>
      </c>
      <c r="BA372">
        <f>'REGISTER SK'!F375</f>
        <v>0</v>
      </c>
    </row>
    <row r="373" spans="1:53" x14ac:dyDescent="0.35">
      <c r="A373" s="18">
        <v>372</v>
      </c>
      <c r="B373" s="18" t="s">
        <v>379</v>
      </c>
      <c r="C373" s="18" t="str">
        <f>IF(G373="","",IF(G373="Umum",G373,VLOOKUP(F373,'Data Induk Pegawai'!B:AE,4,FALSE)))</f>
        <v/>
      </c>
      <c r="D373" s="19" t="str">
        <f>IF('REGISTER SK'!A376="","",IF('REGISTER SK'!B376=0,D372,'REGISTER SK'!B376))</f>
        <v/>
      </c>
      <c r="E373" s="19" t="str">
        <f t="shared" si="141"/>
        <v/>
      </c>
      <c r="F373" s="29"/>
      <c r="G373" s="29"/>
      <c r="H373" s="31" t="str">
        <f>IF(F373="","",VLOOKUP(F373,'Data Induk Pegawai'!B:U,2,FALSE))</f>
        <v/>
      </c>
      <c r="I373" s="19" t="str">
        <f>IF('REGISTER SK'!C376="","",'REGISTER SK'!C376)</f>
        <v/>
      </c>
      <c r="J373" s="125"/>
      <c r="K373" s="125"/>
      <c r="L373" s="26" t="str">
        <f>IF('REGISTER SK'!D376="","",'REGISTER SK'!D376)</f>
        <v/>
      </c>
      <c r="M373" s="26" t="str">
        <f>IF('REGISTER SK'!E376="","",'REGISTER SK'!E376)</f>
        <v/>
      </c>
      <c r="N373" s="31" t="str">
        <f>IF(G373="","",IF(OR(G373="GTT",G373="PTT"),"--",VLOOKUP(F373,'Data Induk Pegawai'!B:AE,4,FALSE)))</f>
        <v/>
      </c>
      <c r="O373" s="18" t="e">
        <v>#N/A</v>
      </c>
      <c r="P373" s="31" t="str">
        <f>IF(G373="","",VLOOKUP(F373,'Data Induk Pegawai'!B:AE,7,FALSE))</f>
        <v/>
      </c>
      <c r="Q373" s="30"/>
      <c r="R373" s="26" t="str">
        <f>IF(G373="","","Nomor "&amp;RIGHT(VLOOKUP(F373,'Data Induk Pegawai'!B:AE,12,FALSE),2)&amp;" Tahun "&amp;MID(VLOOKUP(F373,'Data Induk Pegawai'!B:AE,12,FALSE),5,4))</f>
        <v/>
      </c>
      <c r="S373" s="26" t="str">
        <f>IF(G373="","",VLOOKUP(F373,'Data Induk Pegawai'!B:AE,11,FALSE))</f>
        <v/>
      </c>
      <c r="T373" s="56"/>
      <c r="U373" s="18" t="str">
        <f t="shared" si="122"/>
        <v/>
      </c>
      <c r="V373" s="30"/>
      <c r="W373" s="18" t="str">
        <f t="shared" si="153"/>
        <v/>
      </c>
      <c r="Y373" t="str">
        <f t="shared" si="123"/>
        <v/>
      </c>
      <c r="Z373" t="str">
        <f t="shared" si="124"/>
        <v/>
      </c>
      <c r="AA373" t="str">
        <f t="shared" si="125"/>
        <v/>
      </c>
      <c r="AB373" t="str">
        <f>COUNTIFS(AC373:AC$596,AC373)&amp;AC373</f>
        <v>224</v>
      </c>
      <c r="AC373" t="str">
        <f t="shared" si="142"/>
        <v/>
      </c>
      <c r="AD373" t="str">
        <f>COUNTIFS(AC$2:AC373,AC373)&amp;AC373</f>
        <v>372</v>
      </c>
      <c r="AE373" t="str">
        <f t="shared" si="126"/>
        <v/>
      </c>
      <c r="AF373" t="str">
        <f t="shared" si="143"/>
        <v>..</v>
      </c>
      <c r="AG373" s="28" t="str">
        <f t="shared" si="151"/>
        <v/>
      </c>
      <c r="AH373" s="28" t="str">
        <f t="shared" si="128"/>
        <v/>
      </c>
      <c r="AI373" t="str">
        <f t="shared" si="129"/>
        <v/>
      </c>
      <c r="AJ373" t="str">
        <f t="shared" si="130"/>
        <v/>
      </c>
      <c r="AK373" t="str">
        <f t="shared" si="131"/>
        <v/>
      </c>
      <c r="AL373" t="str">
        <f t="shared" si="132"/>
        <v/>
      </c>
      <c r="AM373" t="str">
        <f t="shared" si="133"/>
        <v/>
      </c>
      <c r="AN373" t="str">
        <f t="shared" si="134"/>
        <v/>
      </c>
      <c r="AO373" t="str">
        <f t="shared" si="135"/>
        <v/>
      </c>
      <c r="AP373" t="str">
        <f t="shared" si="136"/>
        <v/>
      </c>
      <c r="AQ373" t="str">
        <f t="shared" si="137"/>
        <v/>
      </c>
      <c r="AR373" t="str">
        <f t="shared" si="138"/>
        <v/>
      </c>
      <c r="AS373" t="str">
        <f t="shared" si="139"/>
        <v/>
      </c>
      <c r="AT373" t="str">
        <f t="shared" si="140"/>
        <v/>
      </c>
      <c r="AU373" s="25" t="str">
        <f t="shared" si="144"/>
        <v/>
      </c>
      <c r="BA373">
        <f>'REGISTER SK'!F376</f>
        <v>0</v>
      </c>
    </row>
    <row r="374" spans="1:53" x14ac:dyDescent="0.35">
      <c r="A374" s="18">
        <v>373</v>
      </c>
      <c r="B374" s="18"/>
      <c r="C374" s="18" t="str">
        <f>IF(G374="","",IF(G374="Umum",G374,VLOOKUP(F374,'Data Induk Pegawai'!B:AE,4,FALSE)))</f>
        <v/>
      </c>
      <c r="D374" s="19" t="str">
        <f>IF('REGISTER SK'!A377="","",IF('REGISTER SK'!B377=0,D373,'REGISTER SK'!B377))</f>
        <v/>
      </c>
      <c r="E374" s="19" t="str">
        <f t="shared" si="141"/>
        <v/>
      </c>
      <c r="F374" s="29"/>
      <c r="G374" s="29"/>
      <c r="H374" s="31" t="str">
        <f>IF(F374="","",VLOOKUP(F374,'Data Induk Pegawai'!B:U,2,FALSE))</f>
        <v/>
      </c>
      <c r="I374" s="19" t="str">
        <f>IF('REGISTER SK'!C377="","",'REGISTER SK'!C377)</f>
        <v/>
      </c>
      <c r="J374" s="125"/>
      <c r="K374" s="125"/>
      <c r="L374" s="26" t="str">
        <f>IF('REGISTER SK'!D377="","",'REGISTER SK'!D377)</f>
        <v/>
      </c>
      <c r="M374" s="26" t="str">
        <f>IF('REGISTER SK'!E377="","",'REGISTER SK'!E377)</f>
        <v/>
      </c>
      <c r="N374" s="31" t="str">
        <f>IF(G374="","",IF(OR(G374="GTT",G374="PTT"),"--",VLOOKUP(F374,'Data Induk Pegawai'!B:AE,4,FALSE)))</f>
        <v/>
      </c>
      <c r="O374" s="18" t="e">
        <v>#N/A</v>
      </c>
      <c r="P374" s="31" t="str">
        <f>IF(G374="","",VLOOKUP(F374,'Data Induk Pegawai'!B:AE,7,FALSE))</f>
        <v/>
      </c>
      <c r="Q374" s="30"/>
      <c r="R374" s="26" t="str">
        <f>IF(G374="","","Nomor "&amp;RIGHT(VLOOKUP(F374,'Data Induk Pegawai'!B:AE,12,FALSE),2)&amp;" Tahun "&amp;MID(VLOOKUP(F374,'Data Induk Pegawai'!B:AE,12,FALSE),5,4))</f>
        <v/>
      </c>
      <c r="S374" s="26" t="str">
        <f>IF(G374="","",VLOOKUP(F374,'Data Induk Pegawai'!B:AE,11,FALSE))</f>
        <v/>
      </c>
      <c r="T374" s="56"/>
      <c r="U374" s="18" t="str">
        <f t="shared" si="122"/>
        <v/>
      </c>
      <c r="V374" s="30"/>
      <c r="W374" s="18" t="str">
        <f t="shared" si="153"/>
        <v/>
      </c>
      <c r="Y374" t="str">
        <f t="shared" si="123"/>
        <v/>
      </c>
      <c r="Z374" t="str">
        <f t="shared" si="124"/>
        <v/>
      </c>
      <c r="AA374" t="str">
        <f t="shared" si="125"/>
        <v/>
      </c>
      <c r="AB374" t="str">
        <f>COUNTIFS(AC374:AC$596,AC374)&amp;AC374</f>
        <v>223</v>
      </c>
      <c r="AC374" t="str">
        <f t="shared" si="142"/>
        <v/>
      </c>
      <c r="AD374" t="str">
        <f>COUNTIFS(AC$2:AC374,AC374)&amp;AC374</f>
        <v>373</v>
      </c>
      <c r="AE374" t="str">
        <f t="shared" si="126"/>
        <v/>
      </c>
      <c r="AF374" t="str">
        <f t="shared" si="143"/>
        <v>..</v>
      </c>
      <c r="AG374" s="28" t="str">
        <f t="shared" si="151"/>
        <v/>
      </c>
      <c r="AH374" s="28" t="str">
        <f t="shared" si="128"/>
        <v/>
      </c>
      <c r="AI374" t="str">
        <f t="shared" si="129"/>
        <v/>
      </c>
      <c r="AJ374" t="str">
        <f t="shared" si="130"/>
        <v/>
      </c>
      <c r="AK374" t="str">
        <f t="shared" si="131"/>
        <v/>
      </c>
      <c r="AL374" t="str">
        <f t="shared" si="132"/>
        <v/>
      </c>
      <c r="AM374" t="str">
        <f t="shared" si="133"/>
        <v/>
      </c>
      <c r="AN374" t="str">
        <f t="shared" si="134"/>
        <v/>
      </c>
      <c r="AO374" t="str">
        <f t="shared" si="135"/>
        <v/>
      </c>
      <c r="AP374" t="str">
        <f t="shared" si="136"/>
        <v/>
      </c>
      <c r="AQ374" t="str">
        <f t="shared" si="137"/>
        <v/>
      </c>
      <c r="AR374" t="str">
        <f t="shared" si="138"/>
        <v/>
      </c>
      <c r="AS374" t="str">
        <f t="shared" si="139"/>
        <v/>
      </c>
      <c r="AT374" t="str">
        <f t="shared" si="140"/>
        <v/>
      </c>
      <c r="AU374" s="25" t="str">
        <f t="shared" si="144"/>
        <v/>
      </c>
      <c r="BA374">
        <f>'REGISTER SK'!F377</f>
        <v>0</v>
      </c>
    </row>
    <row r="375" spans="1:53" x14ac:dyDescent="0.35">
      <c r="A375" s="18">
        <v>374</v>
      </c>
      <c r="B375" s="18" t="s">
        <v>379</v>
      </c>
      <c r="C375" s="18" t="str">
        <f>IF(G375="","",IF(G375="Umum",G375,VLOOKUP(F375,'Data Induk Pegawai'!B:AE,4,FALSE)))</f>
        <v/>
      </c>
      <c r="D375" s="19" t="str">
        <f>IF('REGISTER SK'!A378="","",IF('REGISTER SK'!B378=0,D374,'REGISTER SK'!B378))</f>
        <v/>
      </c>
      <c r="E375" s="19" t="str">
        <f t="shared" si="141"/>
        <v/>
      </c>
      <c r="F375" s="29"/>
      <c r="G375" s="29"/>
      <c r="H375" s="31" t="str">
        <f>IF(F375="","",VLOOKUP(F375,'Data Induk Pegawai'!B:U,2,FALSE))</f>
        <v/>
      </c>
      <c r="I375" s="19" t="str">
        <f>IF('REGISTER SK'!C378="","",'REGISTER SK'!C378)</f>
        <v/>
      </c>
      <c r="J375" s="125"/>
      <c r="K375" s="125"/>
      <c r="L375" s="26" t="str">
        <f>IF('REGISTER SK'!D378="","",'REGISTER SK'!D378)</f>
        <v/>
      </c>
      <c r="M375" s="26" t="str">
        <f>IF('REGISTER SK'!E378="","",'REGISTER SK'!E378)</f>
        <v/>
      </c>
      <c r="N375" s="31" t="str">
        <f>IF(G375="","",IF(OR(G375="GTT",G375="PTT"),"--",VLOOKUP(F375,'Data Induk Pegawai'!B:AE,4,FALSE)))</f>
        <v/>
      </c>
      <c r="O375" s="18" t="s">
        <v>382</v>
      </c>
      <c r="P375" s="31" t="str">
        <f>IF(G375="","",VLOOKUP(F375,'Data Induk Pegawai'!B:AE,7,FALSE))</f>
        <v/>
      </c>
      <c r="Q375" s="30"/>
      <c r="R375" s="26" t="str">
        <f>IF(G375="","","Nomor "&amp;RIGHT(VLOOKUP(F375,'Data Induk Pegawai'!B:AE,12,FALSE),2)&amp;" Tahun "&amp;MID(VLOOKUP(F375,'Data Induk Pegawai'!B:AE,12,FALSE),5,4))</f>
        <v/>
      </c>
      <c r="S375" s="26" t="str">
        <f>IF(G375="","",VLOOKUP(F375,'Data Induk Pegawai'!B:AE,11,FALSE))</f>
        <v/>
      </c>
      <c r="T375" s="56"/>
      <c r="U375" s="18" t="str">
        <f t="shared" si="122"/>
        <v/>
      </c>
      <c r="V375" s="30"/>
      <c r="W375" s="18" t="str">
        <f t="shared" si="153"/>
        <v/>
      </c>
      <c r="Y375" t="str">
        <f t="shared" si="123"/>
        <v/>
      </c>
      <c r="Z375" t="str">
        <f t="shared" si="124"/>
        <v/>
      </c>
      <c r="AA375" t="str">
        <f t="shared" si="125"/>
        <v/>
      </c>
      <c r="AB375" t="str">
        <f>COUNTIFS(AC375:AC$596,AC375)&amp;AC375</f>
        <v>222</v>
      </c>
      <c r="AC375" t="str">
        <f t="shared" si="142"/>
        <v/>
      </c>
      <c r="AD375" t="str">
        <f>COUNTIFS(AC$2:AC375,AC375)&amp;AC375</f>
        <v>374</v>
      </c>
      <c r="AE375" t="str">
        <f t="shared" si="126"/>
        <v/>
      </c>
      <c r="AF375" t="str">
        <f t="shared" si="143"/>
        <v>..</v>
      </c>
      <c r="AG375" s="28" t="str">
        <f t="shared" si="151"/>
        <v/>
      </c>
      <c r="AH375" s="28" t="str">
        <f t="shared" si="128"/>
        <v/>
      </c>
      <c r="AI375" t="str">
        <f t="shared" si="129"/>
        <v/>
      </c>
      <c r="AJ375" t="str">
        <f t="shared" si="130"/>
        <v/>
      </c>
      <c r="AK375" t="str">
        <f t="shared" si="131"/>
        <v/>
      </c>
      <c r="AL375" t="str">
        <f t="shared" si="132"/>
        <v/>
      </c>
      <c r="AM375" t="str">
        <f t="shared" si="133"/>
        <v/>
      </c>
      <c r="AN375" t="str">
        <f t="shared" si="134"/>
        <v/>
      </c>
      <c r="AO375" t="str">
        <f t="shared" si="135"/>
        <v/>
      </c>
      <c r="AP375" t="str">
        <f t="shared" si="136"/>
        <v/>
      </c>
      <c r="AQ375" t="str">
        <f t="shared" si="137"/>
        <v/>
      </c>
      <c r="AR375" t="str">
        <f t="shared" si="138"/>
        <v/>
      </c>
      <c r="AS375" t="str">
        <f t="shared" si="139"/>
        <v/>
      </c>
      <c r="AT375" t="str">
        <f t="shared" si="140"/>
        <v/>
      </c>
      <c r="AU375" s="25" t="str">
        <f t="shared" si="144"/>
        <v/>
      </c>
      <c r="BA375">
        <f>'REGISTER SK'!F378</f>
        <v>0</v>
      </c>
    </row>
    <row r="376" spans="1:53" x14ac:dyDescent="0.35">
      <c r="A376" s="18">
        <v>375</v>
      </c>
      <c r="B376" s="18" t="s">
        <v>379</v>
      </c>
      <c r="C376" s="18" t="str">
        <f>IF(G376="","",IF(G376="Umum",G376,VLOOKUP(F376,'Data Induk Pegawai'!B:AE,4,FALSE)))</f>
        <v/>
      </c>
      <c r="D376" s="19" t="str">
        <f>IF('REGISTER SK'!A379="","",IF('REGISTER SK'!B379=0,D375,'REGISTER SK'!B379))</f>
        <v/>
      </c>
      <c r="E376" s="19" t="str">
        <f t="shared" si="141"/>
        <v/>
      </c>
      <c r="F376" s="29"/>
      <c r="G376" s="29"/>
      <c r="H376" s="31" t="str">
        <f>IF(F376="","",VLOOKUP(F376,'Data Induk Pegawai'!B:U,2,FALSE))</f>
        <v/>
      </c>
      <c r="I376" s="19" t="str">
        <f>IF('REGISTER SK'!C379="","",'REGISTER SK'!C379)</f>
        <v/>
      </c>
      <c r="J376" s="125"/>
      <c r="K376" s="125"/>
      <c r="L376" s="26" t="str">
        <f>IF('REGISTER SK'!D379="","",'REGISTER SK'!D379)</f>
        <v/>
      </c>
      <c r="M376" s="26" t="str">
        <f>IF('REGISTER SK'!E379="","",'REGISTER SK'!E379)</f>
        <v/>
      </c>
      <c r="N376" s="31" t="str">
        <f>IF(G376="","",IF(OR(G376="GTT",G376="PTT"),"--",VLOOKUP(F376,'Data Induk Pegawai'!B:AE,4,FALSE)))</f>
        <v/>
      </c>
      <c r="O376" s="18" t="s">
        <v>435</v>
      </c>
      <c r="P376" s="31" t="str">
        <f>IF(G376="","",VLOOKUP(F376,'Data Induk Pegawai'!B:AE,7,FALSE))</f>
        <v/>
      </c>
      <c r="Q376" s="30"/>
      <c r="R376" s="26" t="str">
        <f>IF(G376="","","Nomor "&amp;RIGHT(VLOOKUP(F376,'Data Induk Pegawai'!B:AE,12,FALSE),2)&amp;" Tahun "&amp;MID(VLOOKUP(F376,'Data Induk Pegawai'!B:AE,12,FALSE),5,4))</f>
        <v/>
      </c>
      <c r="S376" s="26" t="str">
        <f>IF(G376="","",VLOOKUP(F376,'Data Induk Pegawai'!B:AE,11,FALSE))</f>
        <v/>
      </c>
      <c r="T376" s="56"/>
      <c r="U376" s="18" t="str">
        <f t="shared" si="122"/>
        <v/>
      </c>
      <c r="V376" s="30"/>
      <c r="W376" s="18" t="str">
        <f t="shared" si="153"/>
        <v/>
      </c>
      <c r="Y376" t="str">
        <f t="shared" si="123"/>
        <v/>
      </c>
      <c r="Z376" t="str">
        <f t="shared" si="124"/>
        <v/>
      </c>
      <c r="AA376" t="str">
        <f t="shared" si="125"/>
        <v/>
      </c>
      <c r="AB376" t="str">
        <f>COUNTIFS(AC376:AC$596,AC376)&amp;AC376</f>
        <v>221</v>
      </c>
      <c r="AC376" t="str">
        <f t="shared" si="142"/>
        <v/>
      </c>
      <c r="AD376" t="str">
        <f>COUNTIFS(AC$2:AC376,AC376)&amp;AC376</f>
        <v>375</v>
      </c>
      <c r="AE376" t="str">
        <f t="shared" si="126"/>
        <v/>
      </c>
      <c r="AF376" t="str">
        <f t="shared" si="143"/>
        <v>..</v>
      </c>
      <c r="AG376" s="28" t="str">
        <f t="shared" si="151"/>
        <v/>
      </c>
      <c r="AH376" s="28" t="str">
        <f t="shared" si="128"/>
        <v/>
      </c>
      <c r="AI376" t="str">
        <f t="shared" si="129"/>
        <v/>
      </c>
      <c r="AJ376" t="str">
        <f t="shared" si="130"/>
        <v/>
      </c>
      <c r="AK376" t="str">
        <f t="shared" si="131"/>
        <v/>
      </c>
      <c r="AL376" t="str">
        <f t="shared" si="132"/>
        <v/>
      </c>
      <c r="AM376" t="str">
        <f t="shared" si="133"/>
        <v/>
      </c>
      <c r="AN376" t="str">
        <f t="shared" si="134"/>
        <v/>
      </c>
      <c r="AO376" t="str">
        <f t="shared" si="135"/>
        <v/>
      </c>
      <c r="AP376" t="str">
        <f t="shared" si="136"/>
        <v/>
      </c>
      <c r="AQ376" t="str">
        <f t="shared" si="137"/>
        <v/>
      </c>
      <c r="AR376" t="str">
        <f t="shared" si="138"/>
        <v/>
      </c>
      <c r="AS376" t="str">
        <f t="shared" si="139"/>
        <v/>
      </c>
      <c r="AT376" t="str">
        <f t="shared" si="140"/>
        <v/>
      </c>
      <c r="AU376" s="25" t="str">
        <f t="shared" si="144"/>
        <v/>
      </c>
      <c r="BA376">
        <f>'REGISTER SK'!F379</f>
        <v>0</v>
      </c>
    </row>
    <row r="377" spans="1:53" x14ac:dyDescent="0.35">
      <c r="A377" s="18">
        <v>376</v>
      </c>
      <c r="B377" s="18" t="s">
        <v>379</v>
      </c>
      <c r="C377" s="18" t="str">
        <f>IF(G377="","",IF(G377="Umum",G377,VLOOKUP(F377,'Data Induk Pegawai'!B:AE,4,FALSE)))</f>
        <v/>
      </c>
      <c r="D377" s="19" t="str">
        <f>IF('REGISTER SK'!A380="","",IF('REGISTER SK'!B380=0,D376,'REGISTER SK'!B380))</f>
        <v/>
      </c>
      <c r="E377" s="19" t="str">
        <f t="shared" si="141"/>
        <v/>
      </c>
      <c r="F377" s="29"/>
      <c r="G377" s="29"/>
      <c r="H377" s="31" t="str">
        <f>IF(F377="","",VLOOKUP(F377,'Data Induk Pegawai'!B:U,2,FALSE))</f>
        <v/>
      </c>
      <c r="I377" s="19" t="str">
        <f>IF('REGISTER SK'!C380="","",'REGISTER SK'!C380)</f>
        <v/>
      </c>
      <c r="J377" s="125"/>
      <c r="K377" s="125"/>
      <c r="L377" s="26" t="str">
        <f>IF('REGISTER SK'!D380="","",'REGISTER SK'!D380)</f>
        <v/>
      </c>
      <c r="M377" s="26" t="str">
        <f>IF('REGISTER SK'!E380="","",'REGISTER SK'!E380)</f>
        <v/>
      </c>
      <c r="N377" s="31" t="str">
        <f>IF(G377="","",IF(OR(G377="GTT",G377="PTT"),"--",VLOOKUP(F377,'Data Induk Pegawai'!B:AE,4,FALSE)))</f>
        <v/>
      </c>
      <c r="O377" s="18" t="s">
        <v>433</v>
      </c>
      <c r="P377" s="31" t="str">
        <f>IF(G377="","",VLOOKUP(F377,'Data Induk Pegawai'!B:AE,7,FALSE))</f>
        <v/>
      </c>
      <c r="Q377" s="30"/>
      <c r="R377" s="26" t="str">
        <f>IF(G377="","","Nomor "&amp;RIGHT(VLOOKUP(F377,'Data Induk Pegawai'!B:AE,12,FALSE),2)&amp;" Tahun "&amp;MID(VLOOKUP(F377,'Data Induk Pegawai'!B:AE,12,FALSE),5,4))</f>
        <v/>
      </c>
      <c r="S377" s="26" t="str">
        <f>IF(G377="","",VLOOKUP(F377,'Data Induk Pegawai'!B:AE,11,FALSE))</f>
        <v/>
      </c>
      <c r="T377" s="56"/>
      <c r="U377" s="18" t="str">
        <f t="shared" si="122"/>
        <v/>
      </c>
      <c r="V377" s="30"/>
      <c r="W377" s="18" t="str">
        <f t="shared" si="153"/>
        <v/>
      </c>
      <c r="Y377" t="str">
        <f t="shared" si="123"/>
        <v/>
      </c>
      <c r="Z377" t="str">
        <f t="shared" si="124"/>
        <v/>
      </c>
      <c r="AA377" t="str">
        <f t="shared" si="125"/>
        <v/>
      </c>
      <c r="AB377" t="str">
        <f>COUNTIFS(AC377:AC$596,AC377)&amp;AC377</f>
        <v>220</v>
      </c>
      <c r="AC377" t="str">
        <f t="shared" si="142"/>
        <v/>
      </c>
      <c r="AD377" t="str">
        <f>COUNTIFS(AC$2:AC377,AC377)&amp;AC377</f>
        <v>376</v>
      </c>
      <c r="AE377" t="str">
        <f t="shared" si="126"/>
        <v/>
      </c>
      <c r="AF377" t="str">
        <f t="shared" si="143"/>
        <v>..</v>
      </c>
      <c r="AG377" s="28" t="str">
        <f t="shared" si="151"/>
        <v/>
      </c>
      <c r="AH377" s="28" t="str">
        <f t="shared" si="128"/>
        <v/>
      </c>
      <c r="AI377" t="str">
        <f t="shared" si="129"/>
        <v/>
      </c>
      <c r="AJ377" t="str">
        <f t="shared" si="130"/>
        <v/>
      </c>
      <c r="AK377" t="str">
        <f t="shared" si="131"/>
        <v/>
      </c>
      <c r="AL377" t="str">
        <f t="shared" si="132"/>
        <v/>
      </c>
      <c r="AM377" t="str">
        <f t="shared" si="133"/>
        <v/>
      </c>
      <c r="AN377" t="str">
        <f t="shared" si="134"/>
        <v/>
      </c>
      <c r="AO377" t="str">
        <f t="shared" si="135"/>
        <v/>
      </c>
      <c r="AP377" t="str">
        <f t="shared" si="136"/>
        <v/>
      </c>
      <c r="AQ377" t="str">
        <f t="shared" si="137"/>
        <v/>
      </c>
      <c r="AR377" t="str">
        <f t="shared" si="138"/>
        <v/>
      </c>
      <c r="AS377" t="str">
        <f t="shared" si="139"/>
        <v/>
      </c>
      <c r="AT377" t="str">
        <f t="shared" si="140"/>
        <v/>
      </c>
      <c r="AU377" s="25" t="str">
        <f t="shared" si="144"/>
        <v/>
      </c>
      <c r="BA377">
        <f>'REGISTER SK'!F380</f>
        <v>0</v>
      </c>
    </row>
    <row r="378" spans="1:53" x14ac:dyDescent="0.35">
      <c r="A378" s="18">
        <v>377</v>
      </c>
      <c r="B378" s="18" t="s">
        <v>379</v>
      </c>
      <c r="C378" s="18" t="str">
        <f>IF(G378="","",IF(G378="Umum",G378,VLOOKUP(F378,'Data Induk Pegawai'!B:AE,4,FALSE)))</f>
        <v/>
      </c>
      <c r="D378" s="19" t="str">
        <f>IF('REGISTER SK'!A381="","",IF('REGISTER SK'!B381=0,D377,'REGISTER SK'!B381))</f>
        <v/>
      </c>
      <c r="E378" s="19" t="str">
        <f t="shared" si="141"/>
        <v/>
      </c>
      <c r="F378" s="29"/>
      <c r="G378" s="29"/>
      <c r="H378" s="31" t="str">
        <f>IF(F378="","",VLOOKUP(F378,'Data Induk Pegawai'!B:U,2,FALSE))</f>
        <v/>
      </c>
      <c r="I378" s="19" t="str">
        <f>IF('REGISTER SK'!C381="","",'REGISTER SK'!C381)</f>
        <v/>
      </c>
      <c r="J378" s="125"/>
      <c r="K378" s="125"/>
      <c r="L378" s="26" t="str">
        <f>IF('REGISTER SK'!D381="","",'REGISTER SK'!D381)</f>
        <v/>
      </c>
      <c r="M378" s="26" t="str">
        <f>IF('REGISTER SK'!E381="","",'REGISTER SK'!E381)</f>
        <v/>
      </c>
      <c r="N378" s="31" t="str">
        <f>IF(G378="","",IF(OR(G378="GTT",G378="PTT"),"--",VLOOKUP(F378,'Data Induk Pegawai'!B:AE,4,FALSE)))</f>
        <v/>
      </c>
      <c r="O378" s="18" t="s">
        <v>381</v>
      </c>
      <c r="P378" s="31" t="str">
        <f>IF(G378="","",VLOOKUP(F378,'Data Induk Pegawai'!B:AE,7,FALSE))</f>
        <v/>
      </c>
      <c r="Q378" s="30"/>
      <c r="R378" s="26" t="str">
        <f>IF(G378="","","Nomor "&amp;RIGHT(VLOOKUP(F378,'Data Induk Pegawai'!B:AE,12,FALSE),2)&amp;" Tahun "&amp;MID(VLOOKUP(F378,'Data Induk Pegawai'!B:AE,12,FALSE),5,4))</f>
        <v/>
      </c>
      <c r="S378" s="26" t="str">
        <f>IF(G378="","",VLOOKUP(F378,'Data Induk Pegawai'!B:AE,11,FALSE))</f>
        <v/>
      </c>
      <c r="T378" s="56"/>
      <c r="U378" s="18" t="str">
        <f t="shared" si="122"/>
        <v/>
      </c>
      <c r="V378" s="30"/>
      <c r="W378" s="18" t="str">
        <f t="shared" si="153"/>
        <v/>
      </c>
      <c r="Y378" t="str">
        <f t="shared" si="123"/>
        <v/>
      </c>
      <c r="Z378" t="str">
        <f t="shared" si="124"/>
        <v/>
      </c>
      <c r="AA378" t="str">
        <f t="shared" si="125"/>
        <v/>
      </c>
      <c r="AB378" t="str">
        <f>COUNTIFS(AC378:AC$596,AC378)&amp;AC378</f>
        <v>219</v>
      </c>
      <c r="AC378" t="str">
        <f t="shared" si="142"/>
        <v/>
      </c>
      <c r="AD378" t="str">
        <f>COUNTIFS(AC$2:AC378,AC378)&amp;AC378</f>
        <v>377</v>
      </c>
      <c r="AE378" t="str">
        <f t="shared" si="126"/>
        <v/>
      </c>
      <c r="AF378" t="str">
        <f t="shared" si="143"/>
        <v>..</v>
      </c>
      <c r="AG378" s="28" t="str">
        <f t="shared" si="151"/>
        <v/>
      </c>
      <c r="AH378" s="28" t="str">
        <f t="shared" si="128"/>
        <v/>
      </c>
      <c r="AI378" t="str">
        <f t="shared" si="129"/>
        <v/>
      </c>
      <c r="AJ378" t="str">
        <f t="shared" si="130"/>
        <v/>
      </c>
      <c r="AK378" t="str">
        <f t="shared" si="131"/>
        <v/>
      </c>
      <c r="AL378" t="str">
        <f t="shared" si="132"/>
        <v/>
      </c>
      <c r="AM378" t="str">
        <f t="shared" si="133"/>
        <v/>
      </c>
      <c r="AN378" t="str">
        <f t="shared" si="134"/>
        <v/>
      </c>
      <c r="AO378" t="str">
        <f t="shared" si="135"/>
        <v/>
      </c>
      <c r="AP378" t="str">
        <f t="shared" si="136"/>
        <v/>
      </c>
      <c r="AQ378" t="str">
        <f t="shared" si="137"/>
        <v/>
      </c>
      <c r="AR378" t="str">
        <f t="shared" si="138"/>
        <v/>
      </c>
      <c r="AS378" t="str">
        <f t="shared" si="139"/>
        <v/>
      </c>
      <c r="AT378" t="str">
        <f t="shared" si="140"/>
        <v/>
      </c>
      <c r="AU378" s="25" t="str">
        <f t="shared" si="144"/>
        <v/>
      </c>
      <c r="BA378">
        <f>'REGISTER SK'!F381</f>
        <v>0</v>
      </c>
    </row>
    <row r="379" spans="1:53" x14ac:dyDescent="0.35">
      <c r="A379" s="18">
        <v>378</v>
      </c>
      <c r="B379" s="18"/>
      <c r="C379" s="18" t="str">
        <f>IF(G379="","",IF(G379="Umum",G379,VLOOKUP(F379,'Data Induk Pegawai'!B:AE,4,FALSE)))</f>
        <v/>
      </c>
      <c r="D379" s="19" t="str">
        <f>IF('REGISTER SK'!A382="","",IF('REGISTER SK'!B382=0,D378,'REGISTER SK'!B382))</f>
        <v/>
      </c>
      <c r="E379" s="19" t="str">
        <f t="shared" si="141"/>
        <v/>
      </c>
      <c r="F379" s="29"/>
      <c r="G379" s="29"/>
      <c r="H379" s="31" t="str">
        <f>IF(F379="","",VLOOKUP(F379,'Data Induk Pegawai'!B:U,2,FALSE))</f>
        <v/>
      </c>
      <c r="I379" s="19" t="str">
        <f>IF('REGISTER SK'!C382="","",'REGISTER SK'!C382)</f>
        <v/>
      </c>
      <c r="J379" s="125"/>
      <c r="K379" s="125"/>
      <c r="L379" s="26" t="str">
        <f>IF('REGISTER SK'!D382="","",'REGISTER SK'!D382)</f>
        <v/>
      </c>
      <c r="M379" s="26" t="str">
        <f>IF('REGISTER SK'!E382="","",'REGISTER SK'!E382)</f>
        <v/>
      </c>
      <c r="N379" s="31" t="str">
        <f>IF(G379="","",IF(OR(G379="GTT",G379="PTT"),"--",VLOOKUP(F379,'Data Induk Pegawai'!B:AE,4,FALSE)))</f>
        <v/>
      </c>
      <c r="O379" s="18" t="s">
        <v>459</v>
      </c>
      <c r="P379" s="31" t="str">
        <f>IF(G379="","",VLOOKUP(F379,'Data Induk Pegawai'!B:AE,7,FALSE))</f>
        <v/>
      </c>
      <c r="Q379" s="30"/>
      <c r="R379" s="26" t="str">
        <f>IF(G379="","","Nomor "&amp;RIGHT(VLOOKUP(F379,'Data Induk Pegawai'!B:AE,12,FALSE),2)&amp;" Tahun "&amp;MID(VLOOKUP(F379,'Data Induk Pegawai'!B:AE,12,FALSE),5,4))</f>
        <v/>
      </c>
      <c r="S379" s="26" t="str">
        <f>IF(G379="","",VLOOKUP(F379,'Data Induk Pegawai'!B:AE,11,FALSE))</f>
        <v/>
      </c>
      <c r="T379" s="56"/>
      <c r="U379" s="18" t="str">
        <f t="shared" si="122"/>
        <v/>
      </c>
      <c r="V379" s="30"/>
      <c r="W379" s="18" t="str">
        <f t="shared" si="153"/>
        <v/>
      </c>
      <c r="Y379" t="str">
        <f t="shared" si="123"/>
        <v/>
      </c>
      <c r="Z379" t="str">
        <f t="shared" si="124"/>
        <v/>
      </c>
      <c r="AA379" t="str">
        <f t="shared" si="125"/>
        <v/>
      </c>
      <c r="AB379" t="str">
        <f>COUNTIFS(AC379:AC$596,AC379)&amp;AC379</f>
        <v>218</v>
      </c>
      <c r="AC379" t="str">
        <f t="shared" si="142"/>
        <v/>
      </c>
      <c r="AD379" t="str">
        <f>COUNTIFS(AC$2:AC379,AC379)&amp;AC379</f>
        <v>378</v>
      </c>
      <c r="AE379" t="str">
        <f t="shared" si="126"/>
        <v/>
      </c>
      <c r="AF379" t="str">
        <f t="shared" si="143"/>
        <v>..</v>
      </c>
      <c r="AG379" s="28" t="str">
        <f t="shared" si="151"/>
        <v/>
      </c>
      <c r="AH379" s="28" t="str">
        <f t="shared" si="128"/>
        <v/>
      </c>
      <c r="AI379" t="str">
        <f t="shared" si="129"/>
        <v/>
      </c>
      <c r="AJ379" t="str">
        <f t="shared" si="130"/>
        <v/>
      </c>
      <c r="AK379" t="str">
        <f t="shared" si="131"/>
        <v/>
      </c>
      <c r="AL379" t="str">
        <f t="shared" si="132"/>
        <v/>
      </c>
      <c r="AM379" t="str">
        <f t="shared" si="133"/>
        <v/>
      </c>
      <c r="AN379" t="str">
        <f t="shared" si="134"/>
        <v/>
      </c>
      <c r="AO379" t="str">
        <f t="shared" si="135"/>
        <v/>
      </c>
      <c r="AP379" t="str">
        <f t="shared" si="136"/>
        <v/>
      </c>
      <c r="AQ379" t="str">
        <f t="shared" si="137"/>
        <v/>
      </c>
      <c r="AR379" t="str">
        <f t="shared" si="138"/>
        <v/>
      </c>
      <c r="AS379" t="str">
        <f t="shared" si="139"/>
        <v/>
      </c>
      <c r="AT379" t="str">
        <f t="shared" si="140"/>
        <v/>
      </c>
      <c r="AU379" s="25" t="str">
        <f t="shared" si="144"/>
        <v/>
      </c>
      <c r="BA379">
        <f>'REGISTER SK'!F382</f>
        <v>0</v>
      </c>
    </row>
    <row r="380" spans="1:53" x14ac:dyDescent="0.35">
      <c r="A380" s="18">
        <v>379</v>
      </c>
      <c r="B380" s="18"/>
      <c r="C380" s="18" t="str">
        <f>IF(G380="","",IF(G380="Umum",G380,VLOOKUP(F380,'Data Induk Pegawai'!B:AE,4,FALSE)))</f>
        <v/>
      </c>
      <c r="D380" s="19" t="str">
        <f>IF('REGISTER SK'!A383="","",IF('REGISTER SK'!B383=0,D379,'REGISTER SK'!B383))</f>
        <v/>
      </c>
      <c r="E380" s="19" t="str">
        <f t="shared" si="141"/>
        <v/>
      </c>
      <c r="F380" s="29"/>
      <c r="G380" s="29"/>
      <c r="H380" s="31" t="str">
        <f>IF(F380="","",VLOOKUP(F380,'Data Induk Pegawai'!B:U,2,FALSE))</f>
        <v/>
      </c>
      <c r="I380" s="19" t="str">
        <f>IF('REGISTER SK'!C383="","",'REGISTER SK'!C383)</f>
        <v/>
      </c>
      <c r="J380" s="125"/>
      <c r="K380" s="125"/>
      <c r="L380" s="26" t="str">
        <f>IF('REGISTER SK'!D383="","",'REGISTER SK'!D383)</f>
        <v/>
      </c>
      <c r="M380" s="26" t="str">
        <f>IF('REGISTER SK'!E383="","",'REGISTER SK'!E383)</f>
        <v/>
      </c>
      <c r="N380" s="31" t="str">
        <f>IF(G380="","",IF(OR(G380="GTT",G380="PTT"),"--",VLOOKUP(F380,'Data Induk Pegawai'!B:AE,4,FALSE)))</f>
        <v/>
      </c>
      <c r="O380" s="18" t="s">
        <v>505</v>
      </c>
      <c r="P380" s="31" t="str">
        <f>IF(G380="","",VLOOKUP(F380,'Data Induk Pegawai'!B:AE,7,FALSE))</f>
        <v/>
      </c>
      <c r="Q380" s="30"/>
      <c r="R380" s="26" t="str">
        <f>IF(G380="","","Nomor "&amp;RIGHT(VLOOKUP(F380,'Data Induk Pegawai'!B:AE,12,FALSE),2)&amp;" Tahun "&amp;MID(VLOOKUP(F380,'Data Induk Pegawai'!B:AE,12,FALSE),5,4))</f>
        <v/>
      </c>
      <c r="S380" s="26" t="str">
        <f>IF(G380="","",VLOOKUP(F380,'Data Induk Pegawai'!B:AE,11,FALSE))</f>
        <v/>
      </c>
      <c r="T380" s="56"/>
      <c r="U380" s="18" t="str">
        <f t="shared" si="122"/>
        <v/>
      </c>
      <c r="V380" s="30"/>
      <c r="W380" s="18" t="str">
        <f t="shared" si="153"/>
        <v/>
      </c>
      <c r="Y380" t="str">
        <f t="shared" si="123"/>
        <v/>
      </c>
      <c r="Z380" t="str">
        <f t="shared" si="124"/>
        <v/>
      </c>
      <c r="AA380" t="str">
        <f t="shared" si="125"/>
        <v/>
      </c>
      <c r="AB380" t="str">
        <f>COUNTIFS(AC380:AC$596,AC380)&amp;AC380</f>
        <v>217</v>
      </c>
      <c r="AC380" t="str">
        <f t="shared" si="142"/>
        <v/>
      </c>
      <c r="AD380" t="str">
        <f>COUNTIFS(AC$2:AC380,AC380)&amp;AC380</f>
        <v>379</v>
      </c>
      <c r="AE380" t="str">
        <f t="shared" si="126"/>
        <v/>
      </c>
      <c r="AF380" t="str">
        <f t="shared" si="143"/>
        <v>..</v>
      </c>
      <c r="AG380" s="28" t="str">
        <f t="shared" si="151"/>
        <v/>
      </c>
      <c r="AH380" s="28" t="str">
        <f t="shared" si="128"/>
        <v/>
      </c>
      <c r="AI380" t="str">
        <f t="shared" si="129"/>
        <v/>
      </c>
      <c r="AJ380" t="str">
        <f t="shared" si="130"/>
        <v/>
      </c>
      <c r="AK380" t="str">
        <f t="shared" si="131"/>
        <v/>
      </c>
      <c r="AL380" t="str">
        <f t="shared" si="132"/>
        <v/>
      </c>
      <c r="AM380" t="str">
        <f t="shared" si="133"/>
        <v/>
      </c>
      <c r="AN380" t="str">
        <f t="shared" si="134"/>
        <v/>
      </c>
      <c r="AO380" t="str">
        <f t="shared" si="135"/>
        <v/>
      </c>
      <c r="AP380" t="str">
        <f t="shared" si="136"/>
        <v/>
      </c>
      <c r="AQ380" t="str">
        <f t="shared" si="137"/>
        <v/>
      </c>
      <c r="AR380" t="str">
        <f t="shared" si="138"/>
        <v/>
      </c>
      <c r="AS380" t="str">
        <f t="shared" si="139"/>
        <v/>
      </c>
      <c r="AT380" t="str">
        <f t="shared" si="140"/>
        <v/>
      </c>
      <c r="AU380" s="25" t="str">
        <f t="shared" si="144"/>
        <v/>
      </c>
      <c r="BA380">
        <f>'REGISTER SK'!F383</f>
        <v>0</v>
      </c>
    </row>
    <row r="381" spans="1:53" x14ac:dyDescent="0.35">
      <c r="A381" s="18">
        <v>380</v>
      </c>
      <c r="B381" s="18"/>
      <c r="C381" s="18" t="str">
        <f>IF(G381="","",IF(G381="Umum",G381,VLOOKUP(F381,'Data Induk Pegawai'!B:AE,4,FALSE)))</f>
        <v/>
      </c>
      <c r="D381" s="19" t="str">
        <f>IF('REGISTER SK'!A384="","",IF('REGISTER SK'!B384=0,D380,'REGISTER SK'!B384))</f>
        <v/>
      </c>
      <c r="E381" s="19" t="str">
        <f t="shared" si="141"/>
        <v/>
      </c>
      <c r="F381" s="29"/>
      <c r="G381" s="29"/>
      <c r="H381" s="31" t="str">
        <f>IF(F381="","",VLOOKUP(F381,'Data Induk Pegawai'!B:U,2,FALSE))</f>
        <v/>
      </c>
      <c r="I381" s="19" t="str">
        <f>IF('REGISTER SK'!C384="","",'REGISTER SK'!C384)</f>
        <v/>
      </c>
      <c r="J381" s="125"/>
      <c r="K381" s="125"/>
      <c r="L381" s="26" t="str">
        <f>IF('REGISTER SK'!D384="","",'REGISTER SK'!D384)</f>
        <v/>
      </c>
      <c r="M381" s="26" t="str">
        <f>IF('REGISTER SK'!E384="","",'REGISTER SK'!E384)</f>
        <v/>
      </c>
      <c r="N381" s="31" t="str">
        <f>IF(G381="","",IF(OR(G381="GTT",G381="PTT"),"--",VLOOKUP(F381,'Data Induk Pegawai'!B:AE,4,FALSE)))</f>
        <v/>
      </c>
      <c r="O381" s="18" t="s">
        <v>378</v>
      </c>
      <c r="P381" s="31" t="str">
        <f>IF(G381="","",VLOOKUP(F381,'Data Induk Pegawai'!B:AE,7,FALSE))</f>
        <v/>
      </c>
      <c r="Q381" s="30"/>
      <c r="R381" s="26" t="str">
        <f>IF(G381="","","Nomor "&amp;RIGHT(VLOOKUP(F381,'Data Induk Pegawai'!B:AE,12,FALSE),2)&amp;" Tahun "&amp;MID(VLOOKUP(F381,'Data Induk Pegawai'!B:AE,12,FALSE),5,4))</f>
        <v/>
      </c>
      <c r="S381" s="26" t="str">
        <f>IF(G381="","",VLOOKUP(F381,'Data Induk Pegawai'!B:AE,11,FALSE))</f>
        <v/>
      </c>
      <c r="T381" s="56"/>
      <c r="U381" s="18" t="str">
        <f t="shared" si="122"/>
        <v/>
      </c>
      <c r="V381" s="30"/>
      <c r="W381" s="18" t="str">
        <f t="shared" ref="W381:W444" si="154">V381&amp;H381</f>
        <v/>
      </c>
      <c r="Y381" t="str">
        <f t="shared" si="123"/>
        <v/>
      </c>
      <c r="Z381" t="str">
        <f t="shared" si="124"/>
        <v/>
      </c>
      <c r="AA381" t="str">
        <f t="shared" si="125"/>
        <v/>
      </c>
      <c r="AB381" t="str">
        <f>COUNTIFS(AC381:AC$596,AC381)&amp;AC381</f>
        <v>216</v>
      </c>
      <c r="AC381" t="str">
        <f t="shared" si="142"/>
        <v/>
      </c>
      <c r="AD381" t="str">
        <f>COUNTIFS(AC$2:AC381,AC381)&amp;AC381</f>
        <v>380</v>
      </c>
      <c r="AE381" t="str">
        <f t="shared" si="126"/>
        <v/>
      </c>
      <c r="AF381" t="str">
        <f t="shared" si="143"/>
        <v>..</v>
      </c>
      <c r="AG381" s="28" t="str">
        <f t="shared" si="151"/>
        <v/>
      </c>
      <c r="AH381" s="28" t="str">
        <f t="shared" si="128"/>
        <v/>
      </c>
      <c r="AI381" t="str">
        <f t="shared" si="129"/>
        <v/>
      </c>
      <c r="AJ381" t="str">
        <f t="shared" si="130"/>
        <v/>
      </c>
      <c r="AK381" t="str">
        <f t="shared" si="131"/>
        <v/>
      </c>
      <c r="AL381" t="str">
        <f t="shared" si="132"/>
        <v/>
      </c>
      <c r="AM381" t="str">
        <f t="shared" si="133"/>
        <v/>
      </c>
      <c r="AN381" t="str">
        <f t="shared" si="134"/>
        <v/>
      </c>
      <c r="AO381" t="str">
        <f t="shared" si="135"/>
        <v/>
      </c>
      <c r="AP381" t="str">
        <f t="shared" si="136"/>
        <v/>
      </c>
      <c r="AQ381" t="str">
        <f t="shared" si="137"/>
        <v/>
      </c>
      <c r="AR381" t="str">
        <f t="shared" si="138"/>
        <v/>
      </c>
      <c r="AS381" t="str">
        <f t="shared" si="139"/>
        <v/>
      </c>
      <c r="AT381" t="str">
        <f t="shared" si="140"/>
        <v/>
      </c>
      <c r="AU381" s="25" t="str">
        <f t="shared" si="144"/>
        <v/>
      </c>
      <c r="BA381">
        <f>'REGISTER SK'!F384</f>
        <v>0</v>
      </c>
    </row>
    <row r="382" spans="1:53" x14ac:dyDescent="0.35">
      <c r="A382" s="18">
        <v>381</v>
      </c>
      <c r="B382" s="18"/>
      <c r="C382" s="18" t="str">
        <f>IF(G382="","",IF(G382="Umum",G382,VLOOKUP(F382,'Data Induk Pegawai'!B:AE,4,FALSE)))</f>
        <v/>
      </c>
      <c r="D382" s="19" t="str">
        <f>IF('REGISTER SK'!A385="","",IF('REGISTER SK'!B385=0,D381,'REGISTER SK'!B385))</f>
        <v/>
      </c>
      <c r="E382" s="19" t="str">
        <f t="shared" si="141"/>
        <v/>
      </c>
      <c r="F382" s="29"/>
      <c r="G382" s="29"/>
      <c r="H382" s="31" t="str">
        <f>IF(F382="","",VLOOKUP(F382,'Data Induk Pegawai'!B:U,2,FALSE))</f>
        <v/>
      </c>
      <c r="I382" s="19">
        <v>1</v>
      </c>
      <c r="J382" s="125"/>
      <c r="K382" s="125"/>
      <c r="L382" s="26" t="str">
        <f>IF('REGISTER SK'!D385="","",'REGISTER SK'!D385)</f>
        <v/>
      </c>
      <c r="M382" s="26" t="str">
        <f>IF('REGISTER SK'!E385="","",'REGISTER SK'!E385)</f>
        <v/>
      </c>
      <c r="N382" s="31" t="str">
        <f>IF(G382="","",IF(OR(G382="GTT",G382="PTT"),"--",VLOOKUP(F382,'Data Induk Pegawai'!B:AE,4,FALSE)))</f>
        <v/>
      </c>
      <c r="O382" s="18" t="s">
        <v>384</v>
      </c>
      <c r="P382" s="31" t="str">
        <f>IF(G382="","",VLOOKUP(F382,'Data Induk Pegawai'!B:AE,7,FALSE))</f>
        <v/>
      </c>
      <c r="Q382" s="30"/>
      <c r="R382" s="26" t="str">
        <f>IF(G382="","","Nomor "&amp;RIGHT(VLOOKUP(F382,'Data Induk Pegawai'!B:AE,12,FALSE),2)&amp;" Tahun "&amp;MID(VLOOKUP(F382,'Data Induk Pegawai'!B:AE,12,FALSE),5,4))</f>
        <v/>
      </c>
      <c r="S382" s="26" t="str">
        <f>IF(G382="","",VLOOKUP(F382,'Data Induk Pegawai'!B:AE,11,FALSE))</f>
        <v/>
      </c>
      <c r="T382" s="56"/>
      <c r="U382" s="18" t="str">
        <f t="shared" si="122"/>
        <v/>
      </c>
      <c r="V382" s="30"/>
      <c r="W382" s="18" t="str">
        <f t="shared" si="154"/>
        <v/>
      </c>
      <c r="Y382" t="str">
        <f t="shared" si="123"/>
        <v/>
      </c>
      <c r="Z382" t="str">
        <f t="shared" si="124"/>
        <v/>
      </c>
      <c r="AA382" t="str">
        <f t="shared" si="125"/>
        <v/>
      </c>
      <c r="AB382" t="str">
        <f>COUNTIFS(AC382:AC$596,AC382)&amp;AC382</f>
        <v>215</v>
      </c>
      <c r="AC382" t="str">
        <f t="shared" si="142"/>
        <v/>
      </c>
      <c r="AD382" t="str">
        <f>COUNTIFS(AC$2:AC382,AC382)&amp;AC382</f>
        <v>381</v>
      </c>
      <c r="AE382" t="str">
        <f t="shared" si="126"/>
        <v/>
      </c>
      <c r="AF382" t="str">
        <f t="shared" si="143"/>
        <v>..1</v>
      </c>
      <c r="AG382" s="28" t="str">
        <f t="shared" si="151"/>
        <v/>
      </c>
      <c r="AH382" s="28" t="str">
        <f t="shared" si="128"/>
        <v/>
      </c>
      <c r="AI382" t="str">
        <f t="shared" si="129"/>
        <v/>
      </c>
      <c r="AJ382" t="str">
        <f t="shared" si="130"/>
        <v/>
      </c>
      <c r="AK382" t="str">
        <f t="shared" si="131"/>
        <v/>
      </c>
      <c r="AL382" t="str">
        <f t="shared" si="132"/>
        <v/>
      </c>
      <c r="AM382" t="str">
        <f t="shared" si="133"/>
        <v/>
      </c>
      <c r="AN382" t="str">
        <f t="shared" si="134"/>
        <v/>
      </c>
      <c r="AO382" t="str">
        <f t="shared" si="135"/>
        <v/>
      </c>
      <c r="AP382" t="str">
        <f t="shared" si="136"/>
        <v/>
      </c>
      <c r="AQ382" t="str">
        <f t="shared" si="137"/>
        <v/>
      </c>
      <c r="AR382" t="str">
        <f t="shared" si="138"/>
        <v/>
      </c>
      <c r="AS382" t="str">
        <f t="shared" si="139"/>
        <v/>
      </c>
      <c r="AT382" t="str">
        <f t="shared" si="140"/>
        <v/>
      </c>
      <c r="AU382" s="25" t="str">
        <f t="shared" si="144"/>
        <v/>
      </c>
      <c r="BA382">
        <f>'REGISTER SK'!F385</f>
        <v>0</v>
      </c>
    </row>
    <row r="383" spans="1:53" x14ac:dyDescent="0.35">
      <c r="A383" s="18">
        <v>382</v>
      </c>
      <c r="B383" s="18"/>
      <c r="C383" s="18" t="str">
        <f>IF(G383="","",IF(G383="Umum",G383,VLOOKUP(F383,'Data Induk Pegawai'!B:AE,4,FALSE)))</f>
        <v/>
      </c>
      <c r="D383" s="19" t="str">
        <f>IF('REGISTER SK'!A386="","",IF('REGISTER SK'!B386=0,D382,'REGISTER SK'!B386))</f>
        <v/>
      </c>
      <c r="E383" s="19" t="str">
        <f t="shared" si="141"/>
        <v/>
      </c>
      <c r="F383" s="29"/>
      <c r="G383" s="29"/>
      <c r="H383" s="31" t="str">
        <f>IF(F383="","",VLOOKUP(F383,'Data Induk Pegawai'!B:U,2,FALSE))</f>
        <v/>
      </c>
      <c r="I383" s="19" t="str">
        <f>IF('REGISTER SK'!C386="","",'REGISTER SK'!C386)</f>
        <v/>
      </c>
      <c r="J383" s="125"/>
      <c r="K383" s="125"/>
      <c r="L383" s="26" t="str">
        <f>IF('REGISTER SK'!D386="","",'REGISTER SK'!D386)</f>
        <v/>
      </c>
      <c r="M383" s="26" t="str">
        <f>IF('REGISTER SK'!E386="","",'REGISTER SK'!E386)</f>
        <v/>
      </c>
      <c r="N383" s="31" t="str">
        <f>IF(G383="","",IF(OR(G383="GTT",G383="PTT"),"--",VLOOKUP(F383,'Data Induk Pegawai'!B:AE,4,FALSE)))</f>
        <v/>
      </c>
      <c r="O383" s="18" t="str">
        <f>IF(G383="","",VLOOKUP(F383,'Data Induk Pegawai'!B:AE,6,FALSE))</f>
        <v/>
      </c>
      <c r="P383" s="31" t="str">
        <f>IF(G383="","",VLOOKUP(F383,'Data Induk Pegawai'!B:AE,7,FALSE))</f>
        <v/>
      </c>
      <c r="Q383" s="30"/>
      <c r="R383" s="26" t="str">
        <f>IF(G383="","","Nomor "&amp;RIGHT(VLOOKUP(F383,'Data Induk Pegawai'!B:AE,12,FALSE),2)&amp;" Tahun "&amp;MID(VLOOKUP(F383,'Data Induk Pegawai'!B:AE,12,FALSE),5,4))</f>
        <v/>
      </c>
      <c r="S383" s="26" t="str">
        <f>IF(G383="","",VLOOKUP(F383,'Data Induk Pegawai'!B:AE,11,FALSE))</f>
        <v/>
      </c>
      <c r="T383" s="56"/>
      <c r="U383" s="18" t="str">
        <f t="shared" si="122"/>
        <v/>
      </c>
      <c r="V383" s="30"/>
      <c r="W383" s="18" t="str">
        <f t="shared" si="154"/>
        <v/>
      </c>
      <c r="Y383" t="str">
        <f t="shared" si="123"/>
        <v/>
      </c>
      <c r="Z383" t="str">
        <f t="shared" si="124"/>
        <v/>
      </c>
      <c r="AA383" t="str">
        <f t="shared" si="125"/>
        <v/>
      </c>
      <c r="AB383" t="str">
        <f>COUNTIFS(AC383:AC$596,AC383)&amp;AC383</f>
        <v>214</v>
      </c>
      <c r="AC383" t="str">
        <f t="shared" si="142"/>
        <v/>
      </c>
      <c r="AD383" t="str">
        <f>COUNTIFS(AC$2:AC383,AC383)&amp;AC383</f>
        <v>382</v>
      </c>
      <c r="AE383" t="str">
        <f t="shared" si="126"/>
        <v/>
      </c>
      <c r="AF383" t="str">
        <f t="shared" si="143"/>
        <v>..</v>
      </c>
      <c r="AG383" s="28" t="str">
        <f t="shared" si="151"/>
        <v/>
      </c>
      <c r="AH383" s="28" t="str">
        <f t="shared" si="128"/>
        <v/>
      </c>
      <c r="AI383" t="str">
        <f t="shared" si="129"/>
        <v/>
      </c>
      <c r="AJ383" t="str">
        <f t="shared" si="130"/>
        <v/>
      </c>
      <c r="AK383" t="str">
        <f t="shared" si="131"/>
        <v/>
      </c>
      <c r="AL383" t="str">
        <f t="shared" si="132"/>
        <v/>
      </c>
      <c r="AM383" t="str">
        <f t="shared" si="133"/>
        <v/>
      </c>
      <c r="AN383" t="str">
        <f t="shared" si="134"/>
        <v/>
      </c>
      <c r="AO383" t="str">
        <f t="shared" si="135"/>
        <v/>
      </c>
      <c r="AP383" t="str">
        <f t="shared" si="136"/>
        <v/>
      </c>
      <c r="AQ383" t="str">
        <f t="shared" si="137"/>
        <v/>
      </c>
      <c r="AR383" t="str">
        <f t="shared" si="138"/>
        <v/>
      </c>
      <c r="AS383" t="str">
        <f t="shared" si="139"/>
        <v/>
      </c>
      <c r="AT383" t="str">
        <f t="shared" si="140"/>
        <v/>
      </c>
      <c r="AU383" s="25" t="str">
        <f t="shared" si="144"/>
        <v/>
      </c>
      <c r="BA383">
        <f>'REGISTER SK'!F386</f>
        <v>0</v>
      </c>
    </row>
    <row r="384" spans="1:53" x14ac:dyDescent="0.35">
      <c r="A384" s="18">
        <v>383</v>
      </c>
      <c r="B384" s="18"/>
      <c r="C384" s="18" t="str">
        <f>IF(G384="","",IF(G384="Umum",G384,VLOOKUP(F384,'Data Induk Pegawai'!B:AE,4,FALSE)))</f>
        <v/>
      </c>
      <c r="D384" s="19" t="str">
        <f>IF('REGISTER SK'!A387="","",IF('REGISTER SK'!B387=0,D383,'REGISTER SK'!B387))</f>
        <v/>
      </c>
      <c r="E384" s="19" t="str">
        <f t="shared" si="141"/>
        <v/>
      </c>
      <c r="F384" s="29"/>
      <c r="G384" s="29"/>
      <c r="H384" s="31" t="str">
        <f>IF(F384="","",VLOOKUP(F384,'Data Induk Pegawai'!B:U,2,FALSE))</f>
        <v/>
      </c>
      <c r="I384" s="19" t="str">
        <f>IF('REGISTER SK'!C387="","",'REGISTER SK'!C387)</f>
        <v/>
      </c>
      <c r="J384" s="125"/>
      <c r="K384" s="125"/>
      <c r="L384" s="26" t="str">
        <f>IF('REGISTER SK'!D387="","",'REGISTER SK'!D387)</f>
        <v/>
      </c>
      <c r="M384" s="26" t="str">
        <f>IF('REGISTER SK'!E387="","",'REGISTER SK'!E387)</f>
        <v/>
      </c>
      <c r="N384" s="31" t="str">
        <f>IF(G384="","",IF(OR(G384="GTT",G384="PTT"),"--",VLOOKUP(F384,'Data Induk Pegawai'!B:AE,4,FALSE)))</f>
        <v/>
      </c>
      <c r="O384" s="18" t="str">
        <f>IF(G384="","",VLOOKUP(F384,'Data Induk Pegawai'!B:AE,6,FALSE))</f>
        <v/>
      </c>
      <c r="P384" s="31" t="str">
        <f>IF(G384="","",VLOOKUP(F384,'Data Induk Pegawai'!B:AE,7,FALSE))</f>
        <v/>
      </c>
      <c r="Q384" s="30"/>
      <c r="R384" s="26" t="str">
        <f>IF(G384="","","Nomor "&amp;RIGHT(VLOOKUP(F384,'Data Induk Pegawai'!B:AE,12,FALSE),2)&amp;" Tahun "&amp;MID(VLOOKUP(F384,'Data Induk Pegawai'!B:AE,12,FALSE),5,4))</f>
        <v/>
      </c>
      <c r="S384" s="26" t="str">
        <f>IF(G384="","",VLOOKUP(F384,'Data Induk Pegawai'!B:AE,11,FALSE))</f>
        <v/>
      </c>
      <c r="T384" s="56"/>
      <c r="U384" s="18" t="str">
        <f t="shared" si="122"/>
        <v/>
      </c>
      <c r="V384" s="30"/>
      <c r="W384" s="18" t="str">
        <f t="shared" si="154"/>
        <v/>
      </c>
      <c r="Y384" t="str">
        <f t="shared" si="123"/>
        <v/>
      </c>
      <c r="Z384" t="str">
        <f t="shared" si="124"/>
        <v/>
      </c>
      <c r="AA384" t="str">
        <f t="shared" si="125"/>
        <v/>
      </c>
      <c r="AB384" t="str">
        <f>COUNTIFS(AC384:AC$596,AC384)&amp;AC384</f>
        <v>213</v>
      </c>
      <c r="AC384" t="str">
        <f t="shared" si="142"/>
        <v/>
      </c>
      <c r="AD384" t="str">
        <f>COUNTIFS(AC$2:AC384,AC384)&amp;AC384</f>
        <v>383</v>
      </c>
      <c r="AE384" t="str">
        <f t="shared" si="126"/>
        <v/>
      </c>
      <c r="AF384" t="str">
        <f t="shared" si="143"/>
        <v>..</v>
      </c>
      <c r="AG384" s="28" t="str">
        <f t="shared" si="151"/>
        <v/>
      </c>
      <c r="AH384" s="28" t="str">
        <f t="shared" si="128"/>
        <v/>
      </c>
      <c r="AI384" t="str">
        <f t="shared" si="129"/>
        <v/>
      </c>
      <c r="AJ384" t="str">
        <f t="shared" si="130"/>
        <v/>
      </c>
      <c r="AK384" t="str">
        <f t="shared" si="131"/>
        <v/>
      </c>
      <c r="AL384" t="str">
        <f t="shared" si="132"/>
        <v/>
      </c>
      <c r="AM384" t="str">
        <f t="shared" si="133"/>
        <v/>
      </c>
      <c r="AN384" t="str">
        <f t="shared" si="134"/>
        <v/>
      </c>
      <c r="AO384" t="str">
        <f t="shared" si="135"/>
        <v/>
      </c>
      <c r="AP384" t="str">
        <f t="shared" si="136"/>
        <v/>
      </c>
      <c r="AQ384" t="str">
        <f t="shared" si="137"/>
        <v/>
      </c>
      <c r="AR384" t="str">
        <f t="shared" si="138"/>
        <v/>
      </c>
      <c r="AS384" t="str">
        <f t="shared" si="139"/>
        <v/>
      </c>
      <c r="AT384" t="str">
        <f t="shared" si="140"/>
        <v/>
      </c>
      <c r="AU384" s="25" t="str">
        <f t="shared" si="144"/>
        <v/>
      </c>
      <c r="BA384">
        <f>'REGISTER SK'!F387</f>
        <v>0</v>
      </c>
    </row>
    <row r="385" spans="1:53" x14ac:dyDescent="0.35">
      <c r="A385" s="18">
        <v>384</v>
      </c>
      <c r="B385" s="18"/>
      <c r="C385" s="18" t="str">
        <f>IF(G385="","",IF(G385="Umum",G385,VLOOKUP(F385,'Data Induk Pegawai'!B:AE,4,FALSE)))</f>
        <v/>
      </c>
      <c r="D385" s="19" t="str">
        <f>IF('REGISTER SK'!A388="","",IF('REGISTER SK'!B388=0,D384,'REGISTER SK'!B388))</f>
        <v/>
      </c>
      <c r="E385" s="19" t="str">
        <f t="shared" si="141"/>
        <v/>
      </c>
      <c r="F385" s="29"/>
      <c r="G385" s="29"/>
      <c r="H385" s="31" t="str">
        <f>IF(F385="","",VLOOKUP(F385,'Data Induk Pegawai'!B:U,2,FALSE))</f>
        <v/>
      </c>
      <c r="I385" s="19" t="str">
        <f>IF('REGISTER SK'!C388="","",'REGISTER SK'!C388)</f>
        <v/>
      </c>
      <c r="J385" s="125"/>
      <c r="K385" s="125"/>
      <c r="L385" s="26" t="str">
        <f>IF('REGISTER SK'!D388="","",'REGISTER SK'!D388)</f>
        <v/>
      </c>
      <c r="M385" s="26" t="str">
        <f>IF('REGISTER SK'!E388="","",'REGISTER SK'!E388)</f>
        <v/>
      </c>
      <c r="N385" s="31" t="str">
        <f>IF(G385="","",IF(OR(G385="GTT",G385="PTT"),"--",VLOOKUP(F385,'Data Induk Pegawai'!B:AE,4,FALSE)))</f>
        <v/>
      </c>
      <c r="O385" s="18" t="str">
        <f>IF(G385="","",VLOOKUP(F385,'Data Induk Pegawai'!B:AE,6,FALSE))</f>
        <v/>
      </c>
      <c r="P385" s="31" t="str">
        <f>IF(G385="","",VLOOKUP(F385,'Data Induk Pegawai'!B:AE,7,FALSE))</f>
        <v/>
      </c>
      <c r="Q385" s="30"/>
      <c r="R385" s="26" t="str">
        <f>IF(G385="","","Nomor "&amp;RIGHT(VLOOKUP(F385,'Data Induk Pegawai'!B:AE,12,FALSE),2)&amp;" Tahun "&amp;MID(VLOOKUP(F385,'Data Induk Pegawai'!B:AE,12,FALSE),5,4))</f>
        <v/>
      </c>
      <c r="S385" s="26" t="str">
        <f>IF(G385="","",VLOOKUP(F385,'Data Induk Pegawai'!B:AE,11,FALSE))</f>
        <v/>
      </c>
      <c r="T385" s="56"/>
      <c r="U385" s="18" t="str">
        <f t="shared" si="122"/>
        <v/>
      </c>
      <c r="V385" s="30"/>
      <c r="W385" s="18" t="str">
        <f t="shared" si="154"/>
        <v/>
      </c>
      <c r="Y385" t="str">
        <f t="shared" si="123"/>
        <v/>
      </c>
      <c r="Z385" t="str">
        <f t="shared" si="124"/>
        <v/>
      </c>
      <c r="AA385" t="str">
        <f t="shared" si="125"/>
        <v/>
      </c>
      <c r="AB385" t="str">
        <f>COUNTIFS(AC385:AC$596,AC385)&amp;AC385</f>
        <v>212</v>
      </c>
      <c r="AC385" t="str">
        <f t="shared" si="142"/>
        <v/>
      </c>
      <c r="AD385" t="str">
        <f>COUNTIFS(AC$2:AC385,AC385)&amp;AC385</f>
        <v>384</v>
      </c>
      <c r="AE385" t="str">
        <f t="shared" si="126"/>
        <v/>
      </c>
      <c r="AF385" t="str">
        <f t="shared" si="143"/>
        <v>..</v>
      </c>
      <c r="AG385" s="28" t="str">
        <f t="shared" si="151"/>
        <v/>
      </c>
      <c r="AH385" s="28" t="str">
        <f t="shared" si="128"/>
        <v/>
      </c>
      <c r="AI385" t="str">
        <f t="shared" si="129"/>
        <v/>
      </c>
      <c r="AJ385" t="str">
        <f t="shared" si="130"/>
        <v/>
      </c>
      <c r="AK385" t="str">
        <f t="shared" si="131"/>
        <v/>
      </c>
      <c r="AL385" t="str">
        <f t="shared" si="132"/>
        <v/>
      </c>
      <c r="AM385" t="str">
        <f t="shared" si="133"/>
        <v/>
      </c>
      <c r="AN385" t="str">
        <f t="shared" si="134"/>
        <v/>
      </c>
      <c r="AO385" t="str">
        <f t="shared" si="135"/>
        <v/>
      </c>
      <c r="AP385" t="str">
        <f t="shared" si="136"/>
        <v/>
      </c>
      <c r="AQ385" t="str">
        <f t="shared" si="137"/>
        <v/>
      </c>
      <c r="AR385" t="str">
        <f t="shared" si="138"/>
        <v/>
      </c>
      <c r="AS385" t="str">
        <f t="shared" si="139"/>
        <v/>
      </c>
      <c r="AT385" t="str">
        <f t="shared" si="140"/>
        <v/>
      </c>
      <c r="AU385" s="25" t="str">
        <f t="shared" si="144"/>
        <v/>
      </c>
      <c r="BA385">
        <f>'REGISTER SK'!F388</f>
        <v>0</v>
      </c>
    </row>
    <row r="386" spans="1:53" x14ac:dyDescent="0.35">
      <c r="A386" s="18">
        <v>385</v>
      </c>
      <c r="B386" s="18"/>
      <c r="C386" s="18" t="str">
        <f>IF(G386="","",IF(G386="Umum",G386,VLOOKUP(F386,'Data Induk Pegawai'!B:AE,4,FALSE)))</f>
        <v/>
      </c>
      <c r="D386" s="19" t="str">
        <f>IF('REGISTER SK'!A389="","",IF('REGISTER SK'!B389=0,D385,'REGISTER SK'!B389))</f>
        <v/>
      </c>
      <c r="E386" s="19" t="str">
        <f t="shared" si="141"/>
        <v/>
      </c>
      <c r="F386" s="29"/>
      <c r="G386" s="29"/>
      <c r="H386" s="31" t="str">
        <f>IF(F386="","",VLOOKUP(F386,'Data Induk Pegawai'!B:U,2,FALSE))</f>
        <v/>
      </c>
      <c r="I386" s="19" t="str">
        <f>IF('REGISTER SK'!C389="","",'REGISTER SK'!C389)</f>
        <v/>
      </c>
      <c r="J386" s="125"/>
      <c r="K386" s="125"/>
      <c r="L386" s="26" t="str">
        <f>IF('REGISTER SK'!D389="","",'REGISTER SK'!D389)</f>
        <v/>
      </c>
      <c r="M386" s="26" t="str">
        <f>IF('REGISTER SK'!E389="","",'REGISTER SK'!E389)</f>
        <v/>
      </c>
      <c r="N386" s="31" t="str">
        <f>IF(G386="","",IF(OR(G386="GTT",G386="PTT"),"--",VLOOKUP(F386,'Data Induk Pegawai'!B:AE,4,FALSE)))</f>
        <v/>
      </c>
      <c r="O386" s="18" t="str">
        <f>IF(G386="","",VLOOKUP(F386,'Data Induk Pegawai'!B:AE,6,FALSE))</f>
        <v/>
      </c>
      <c r="P386" s="31" t="str">
        <f>IF(G386="","",VLOOKUP(F386,'Data Induk Pegawai'!B:AE,7,FALSE))</f>
        <v/>
      </c>
      <c r="Q386" s="30"/>
      <c r="R386" s="26" t="str">
        <f>IF(G386="","","Nomor "&amp;RIGHT(VLOOKUP(F386,'Data Induk Pegawai'!B:AE,12,FALSE),2)&amp;" Tahun "&amp;MID(VLOOKUP(F386,'Data Induk Pegawai'!B:AE,12,FALSE),5,4))</f>
        <v/>
      </c>
      <c r="S386" s="26" t="str">
        <f>IF(G386="","",VLOOKUP(F386,'Data Induk Pegawai'!B:AE,11,FALSE))</f>
        <v/>
      </c>
      <c r="T386" s="56"/>
      <c r="U386" s="18" t="str">
        <f t="shared" ref="U386:U449" si="155">IF(Y386="","",IF(Z386&lt;1,AA386&amp;" Bulan",IF(AND(Z386&gt;0,AA386=0),Z386&amp;" Tahun",Z386&amp;" Tahun "&amp;AA386&amp;" Bulan")))</f>
        <v/>
      </c>
      <c r="V386" s="30"/>
      <c r="W386" s="18" t="str">
        <f t="shared" si="154"/>
        <v/>
      </c>
      <c r="Y386" t="str">
        <f t="shared" ref="Y386:Y449" si="156">IFERROR(IF(S386="","",DATEDIF(S386,M386,"M")),"?")</f>
        <v/>
      </c>
      <c r="Z386" t="str">
        <f t="shared" ref="Z386:Z449" si="157">IFERROR(IF(Y386="","",ROUNDDOWN(Y386/12,0)),"-")</f>
        <v/>
      </c>
      <c r="AA386" t="str">
        <f t="shared" ref="AA386:AA449" si="158">IFERROR(IF(Y386="","",Y386-Z386*12),"-")</f>
        <v/>
      </c>
      <c r="AB386" t="str">
        <f>COUNTIFS(AC386:AC$596,AC386)&amp;AC386</f>
        <v>211</v>
      </c>
      <c r="AC386" t="str">
        <f t="shared" si="142"/>
        <v/>
      </c>
      <c r="AD386" t="str">
        <f>COUNTIFS(AC$2:AC386,AC386)&amp;AC386</f>
        <v>385</v>
      </c>
      <c r="AE386" t="str">
        <f t="shared" ref="AE386:AE449" si="159">IF(LEFT(V386,16)="SK Pemberhentian",E386&amp;"OUT"&amp;F386,E386&amp;G386&amp;F386)</f>
        <v/>
      </c>
      <c r="AF386" t="str">
        <f t="shared" si="143"/>
        <v>..</v>
      </c>
      <c r="AG386" s="28" t="str">
        <f t="shared" si="151"/>
        <v/>
      </c>
      <c r="AH386" s="28" t="str">
        <f t="shared" ref="AH386:AH449" si="160">M386</f>
        <v/>
      </c>
      <c r="AI386" t="str">
        <f t="shared" ref="AI386:AI449" si="161">IF(AG386="","",AJ386&amp;" "&amp;VLOOKUP(AK386,AX:AY,2,FALSE)&amp;" "&amp;AL386)</f>
        <v/>
      </c>
      <c r="AJ386" t="str">
        <f t="shared" ref="AJ386:AJ449" si="162">TEXT(AG386,"D")</f>
        <v/>
      </c>
      <c r="AK386" t="str">
        <f t="shared" ref="AK386:AK449" si="163">TEXT(AG386,"MMMM")</f>
        <v/>
      </c>
      <c r="AL386" t="str">
        <f t="shared" ref="AL386:AL449" si="164">TEXT(AG386,"YYYY")</f>
        <v/>
      </c>
      <c r="AM386" t="str">
        <f t="shared" ref="AM386:AM449" si="165">IF(AI386="","",AN386&amp;" "&amp;VLOOKUP(AO386,AX:AY,2,FALSE)&amp;" "&amp;AP386)</f>
        <v/>
      </c>
      <c r="AN386" t="str">
        <f t="shared" ref="AN386:AN449" si="166">TEXT(S386,"D")</f>
        <v/>
      </c>
      <c r="AO386" t="str">
        <f t="shared" ref="AO386:AO449" si="167">TEXT(S386,"MMMM")</f>
        <v/>
      </c>
      <c r="AP386" t="str">
        <f t="shared" ref="AP386:AP449" si="168">TEXT(S386,"YYYY")</f>
        <v/>
      </c>
      <c r="AQ386" t="str">
        <f t="shared" ref="AQ386:AQ449" si="169">IF(AM386="","",AR386&amp;" "&amp;VLOOKUP(AS386,AX:AY,2,FALSE)&amp;" "&amp;AT386)</f>
        <v/>
      </c>
      <c r="AR386" t="str">
        <f t="shared" ref="AR386:AR449" si="170">TEXT(M386,"D")</f>
        <v/>
      </c>
      <c r="AS386" t="str">
        <f t="shared" ref="AS386:AS449" si="171">TEXT(M386,"MMMM")</f>
        <v/>
      </c>
      <c r="AT386" t="str">
        <f t="shared" ref="AT386:AT449" si="172">TEXT(M386,"YYYY")</f>
        <v/>
      </c>
      <c r="AU386" s="25" t="str">
        <f t="shared" si="144"/>
        <v/>
      </c>
      <c r="BA386">
        <f>'REGISTER SK'!F389</f>
        <v>0</v>
      </c>
    </row>
    <row r="387" spans="1:53" x14ac:dyDescent="0.35">
      <c r="A387" s="18">
        <v>386</v>
      </c>
      <c r="B387" s="18"/>
      <c r="C387" s="18" t="str">
        <f>IF(G387="","",IF(G387="Umum",G387,VLOOKUP(F387,'Data Induk Pegawai'!B:AE,4,FALSE)))</f>
        <v/>
      </c>
      <c r="D387" s="19" t="str">
        <f>IF('REGISTER SK'!A390="","",IF('REGISTER SK'!B390=0,D386,'REGISTER SK'!B390))</f>
        <v/>
      </c>
      <c r="E387" s="19" t="str">
        <f t="shared" ref="E387:E450" si="173">IF(D387="","",D387&amp;"/"&amp;D387+1)</f>
        <v/>
      </c>
      <c r="F387" s="29"/>
      <c r="G387" s="29"/>
      <c r="H387" s="31" t="str">
        <f>IF(F387="","",VLOOKUP(F387,'Data Induk Pegawai'!B:U,2,FALSE))</f>
        <v/>
      </c>
      <c r="I387" s="19" t="str">
        <f>IF('REGISTER SK'!C390="","",'REGISTER SK'!C390)</f>
        <v/>
      </c>
      <c r="J387" s="125"/>
      <c r="K387" s="125"/>
      <c r="L387" s="26" t="str">
        <f>IF('REGISTER SK'!D390="","",'REGISTER SK'!D390)</f>
        <v/>
      </c>
      <c r="M387" s="26" t="str">
        <f>IF('REGISTER SK'!E390="","",'REGISTER SK'!E390)</f>
        <v/>
      </c>
      <c r="N387" s="31" t="str">
        <f>IF(G387="","",IF(OR(G387="GTT",G387="PTT"),"--",VLOOKUP(F387,'Data Induk Pegawai'!B:AE,4,FALSE)))</f>
        <v/>
      </c>
      <c r="O387" s="18" t="str">
        <f>IF(G387="","",VLOOKUP(F387,'Data Induk Pegawai'!B:AE,6,FALSE))</f>
        <v/>
      </c>
      <c r="P387" s="31" t="str">
        <f>IF(G387="","",VLOOKUP(F387,'Data Induk Pegawai'!B:AE,7,FALSE))</f>
        <v/>
      </c>
      <c r="Q387" s="30"/>
      <c r="R387" s="26" t="str">
        <f>IF(G387="","","Nomor "&amp;RIGHT(VLOOKUP(F387,'Data Induk Pegawai'!B:AE,12,FALSE),2)&amp;" Tahun "&amp;MID(VLOOKUP(F387,'Data Induk Pegawai'!B:AE,12,FALSE),5,4))</f>
        <v/>
      </c>
      <c r="S387" s="26" t="str">
        <f>IF(G387="","",VLOOKUP(F387,'Data Induk Pegawai'!B:AE,11,FALSE))</f>
        <v/>
      </c>
      <c r="T387" s="56"/>
      <c r="U387" s="18" t="str">
        <f t="shared" si="155"/>
        <v/>
      </c>
      <c r="V387" s="30"/>
      <c r="W387" s="18" t="str">
        <f t="shared" si="154"/>
        <v/>
      </c>
      <c r="Y387" t="str">
        <f t="shared" si="156"/>
        <v/>
      </c>
      <c r="Z387" t="str">
        <f t="shared" si="157"/>
        <v/>
      </c>
      <c r="AA387" t="str">
        <f t="shared" si="158"/>
        <v/>
      </c>
      <c r="AB387" t="str">
        <f>COUNTIFS(AC387:AC$596,AC387)&amp;AC387</f>
        <v>210</v>
      </c>
      <c r="AC387" t="str">
        <f t="shared" ref="AC387:AC450" si="174">IF(LEFT(V387,16)="SK Pemberhentian","OUT"&amp;F387,IF(RIGHT(G387,2)="TT","GPTT",IF(RIGHT(G387,2)="TY","GPTY",G387))&amp;F387)</f>
        <v/>
      </c>
      <c r="AD387" t="str">
        <f>COUNTIFS(AC$2:AC387,AC387)&amp;AC387</f>
        <v>386</v>
      </c>
      <c r="AE387" t="str">
        <f t="shared" si="159"/>
        <v/>
      </c>
      <c r="AF387" t="str">
        <f t="shared" ref="AF387:AF450" si="175">G387&amp;"."&amp;D387&amp;"."&amp;I387</f>
        <v>..</v>
      </c>
      <c r="AG387" s="28" t="str">
        <f t="shared" si="151"/>
        <v/>
      </c>
      <c r="AH387" s="28" t="str">
        <f t="shared" si="160"/>
        <v/>
      </c>
      <c r="AI387" t="str">
        <f t="shared" si="161"/>
        <v/>
      </c>
      <c r="AJ387" t="str">
        <f t="shared" si="162"/>
        <v/>
      </c>
      <c r="AK387" t="str">
        <f t="shared" si="163"/>
        <v/>
      </c>
      <c r="AL387" t="str">
        <f t="shared" si="164"/>
        <v/>
      </c>
      <c r="AM387" t="str">
        <f t="shared" si="165"/>
        <v/>
      </c>
      <c r="AN387" t="str">
        <f t="shared" si="166"/>
        <v/>
      </c>
      <c r="AO387" t="str">
        <f t="shared" si="167"/>
        <v/>
      </c>
      <c r="AP387" t="str">
        <f t="shared" si="168"/>
        <v/>
      </c>
      <c r="AQ387" t="str">
        <f t="shared" si="169"/>
        <v/>
      </c>
      <c r="AR387" t="str">
        <f t="shared" si="170"/>
        <v/>
      </c>
      <c r="AS387" t="str">
        <f t="shared" si="171"/>
        <v/>
      </c>
      <c r="AT387" t="str">
        <f t="shared" si="172"/>
        <v/>
      </c>
      <c r="AU387" s="25" t="str">
        <f t="shared" ref="AU387:AU450" si="176">IF(OR(G387="Umum",G387=""),"",VLOOKUP(VALUE(TEXT(M387,"M")-1),AW:AY,3,FALSE))</f>
        <v/>
      </c>
      <c r="BA387">
        <f>'REGISTER SK'!F390</f>
        <v>0</v>
      </c>
    </row>
    <row r="388" spans="1:53" x14ac:dyDescent="0.35">
      <c r="A388" s="18">
        <v>387</v>
      </c>
      <c r="B388" s="18"/>
      <c r="C388" s="18" t="str">
        <f>IF(G388="","",IF(G388="Umum",G388,VLOOKUP(F388,'Data Induk Pegawai'!B:AE,4,FALSE)))</f>
        <v/>
      </c>
      <c r="D388" s="19" t="str">
        <f>IF('REGISTER SK'!A391="","",IF('REGISTER SK'!B391=0,D387,'REGISTER SK'!B391))</f>
        <v/>
      </c>
      <c r="E388" s="19" t="str">
        <f t="shared" si="173"/>
        <v/>
      </c>
      <c r="F388" s="29"/>
      <c r="G388" s="29"/>
      <c r="H388" s="31" t="str">
        <f>IF(F388="","",VLOOKUP(F388,'Data Induk Pegawai'!B:U,2,FALSE))</f>
        <v/>
      </c>
      <c r="I388" s="19" t="str">
        <f>IF('REGISTER SK'!C391="","",'REGISTER SK'!C391)</f>
        <v/>
      </c>
      <c r="J388" s="125"/>
      <c r="K388" s="125"/>
      <c r="L388" s="26" t="str">
        <f>IF('REGISTER SK'!D391="","",'REGISTER SK'!D391)</f>
        <v/>
      </c>
      <c r="M388" s="26" t="str">
        <f>IF('REGISTER SK'!E391="","",'REGISTER SK'!E391)</f>
        <v/>
      </c>
      <c r="N388" s="31" t="str">
        <f>IF(G388="","",IF(OR(G388="GTT",G388="PTT"),"--",VLOOKUP(F388,'Data Induk Pegawai'!B:AE,4,FALSE)))</f>
        <v/>
      </c>
      <c r="O388" s="18" t="str">
        <f>IF(G388="","",VLOOKUP(F388,'Data Induk Pegawai'!B:AE,6,FALSE))</f>
        <v/>
      </c>
      <c r="P388" s="31" t="str">
        <f>IF(G388="","",VLOOKUP(F388,'Data Induk Pegawai'!B:AE,7,FALSE))</f>
        <v/>
      </c>
      <c r="Q388" s="30"/>
      <c r="R388" s="26" t="str">
        <f>IF(G388="","","Nomor "&amp;RIGHT(VLOOKUP(F388,'Data Induk Pegawai'!B:AE,12,FALSE),2)&amp;" Tahun "&amp;MID(VLOOKUP(F388,'Data Induk Pegawai'!B:AE,12,FALSE),5,4))</f>
        <v/>
      </c>
      <c r="S388" s="26" t="str">
        <f>IF(G388="","",VLOOKUP(F388,'Data Induk Pegawai'!B:AE,11,FALSE))</f>
        <v/>
      </c>
      <c r="T388" s="56"/>
      <c r="U388" s="18" t="str">
        <f t="shared" si="155"/>
        <v/>
      </c>
      <c r="V388" s="30"/>
      <c r="W388" s="18" t="str">
        <f t="shared" si="154"/>
        <v/>
      </c>
      <c r="Y388" t="str">
        <f t="shared" si="156"/>
        <v/>
      </c>
      <c r="Z388" t="str">
        <f t="shared" si="157"/>
        <v/>
      </c>
      <c r="AA388" t="str">
        <f t="shared" si="158"/>
        <v/>
      </c>
      <c r="AB388" t="str">
        <f>COUNTIFS(AC388:AC$596,AC388)&amp;AC388</f>
        <v>209</v>
      </c>
      <c r="AC388" t="str">
        <f t="shared" si="174"/>
        <v/>
      </c>
      <c r="AD388" t="str">
        <f>COUNTIFS(AC$2:AC388,AC388)&amp;AC388</f>
        <v>387</v>
      </c>
      <c r="AE388" t="str">
        <f t="shared" si="159"/>
        <v/>
      </c>
      <c r="AF388" t="str">
        <f t="shared" si="175"/>
        <v>..</v>
      </c>
      <c r="AG388" s="28" t="str">
        <f t="shared" si="151"/>
        <v/>
      </c>
      <c r="AH388" s="28" t="str">
        <f t="shared" si="160"/>
        <v/>
      </c>
      <c r="AI388" t="str">
        <f t="shared" si="161"/>
        <v/>
      </c>
      <c r="AJ388" t="str">
        <f t="shared" si="162"/>
        <v/>
      </c>
      <c r="AK388" t="str">
        <f t="shared" si="163"/>
        <v/>
      </c>
      <c r="AL388" t="str">
        <f t="shared" si="164"/>
        <v/>
      </c>
      <c r="AM388" t="str">
        <f t="shared" si="165"/>
        <v/>
      </c>
      <c r="AN388" t="str">
        <f t="shared" si="166"/>
        <v/>
      </c>
      <c r="AO388" t="str">
        <f t="shared" si="167"/>
        <v/>
      </c>
      <c r="AP388" t="str">
        <f t="shared" si="168"/>
        <v/>
      </c>
      <c r="AQ388" t="str">
        <f t="shared" si="169"/>
        <v/>
      </c>
      <c r="AR388" t="str">
        <f t="shared" si="170"/>
        <v/>
      </c>
      <c r="AS388" t="str">
        <f t="shared" si="171"/>
        <v/>
      </c>
      <c r="AT388" t="str">
        <f t="shared" si="172"/>
        <v/>
      </c>
      <c r="AU388" s="25" t="str">
        <f t="shared" si="176"/>
        <v/>
      </c>
      <c r="BA388">
        <f>'REGISTER SK'!F391</f>
        <v>0</v>
      </c>
    </row>
    <row r="389" spans="1:53" x14ac:dyDescent="0.35">
      <c r="A389" s="18">
        <v>388</v>
      </c>
      <c r="B389" s="18"/>
      <c r="C389" s="18" t="str">
        <f>IF(G389="","",IF(G389="Umum",G389,VLOOKUP(F389,'Data Induk Pegawai'!B:AE,4,FALSE)))</f>
        <v/>
      </c>
      <c r="D389" s="19" t="str">
        <f>IF('REGISTER SK'!A392="","",IF('REGISTER SK'!B392=0,D388,'REGISTER SK'!B392))</f>
        <v/>
      </c>
      <c r="E389" s="19" t="str">
        <f t="shared" si="173"/>
        <v/>
      </c>
      <c r="F389" s="29"/>
      <c r="G389" s="29"/>
      <c r="H389" s="31" t="str">
        <f>IF(F389="","",VLOOKUP(F389,'Data Induk Pegawai'!B:U,2,FALSE))</f>
        <v/>
      </c>
      <c r="I389" s="19" t="str">
        <f>IF('REGISTER SK'!C392="","",'REGISTER SK'!C392)</f>
        <v/>
      </c>
      <c r="J389" s="125"/>
      <c r="K389" s="125"/>
      <c r="L389" s="26" t="str">
        <f>IF('REGISTER SK'!D392="","",'REGISTER SK'!D392)</f>
        <v/>
      </c>
      <c r="M389" s="26" t="str">
        <f>IF('REGISTER SK'!E392="","",'REGISTER SK'!E392)</f>
        <v/>
      </c>
      <c r="N389" s="31" t="str">
        <f>IF(G389="","",IF(OR(G389="GTT",G389="PTT"),"--",VLOOKUP(F389,'Data Induk Pegawai'!B:AE,4,FALSE)))</f>
        <v/>
      </c>
      <c r="O389" s="18" t="str">
        <f>IF(G389="","",VLOOKUP(F389,'Data Induk Pegawai'!B:AE,6,FALSE))</f>
        <v/>
      </c>
      <c r="P389" s="31" t="str">
        <f>IF(G389="","",VLOOKUP(F389,'Data Induk Pegawai'!B:AE,7,FALSE))</f>
        <v/>
      </c>
      <c r="Q389" s="30"/>
      <c r="R389" s="26" t="str">
        <f>IF(G389="","","Nomor "&amp;RIGHT(VLOOKUP(F389,'Data Induk Pegawai'!B:AE,12,FALSE),2)&amp;" Tahun "&amp;MID(VLOOKUP(F389,'Data Induk Pegawai'!B:AE,12,FALSE),5,4))</f>
        <v/>
      </c>
      <c r="S389" s="26" t="str">
        <f>IF(G389="","",VLOOKUP(F389,'Data Induk Pegawai'!B:AE,11,FALSE))</f>
        <v/>
      </c>
      <c r="T389" s="56"/>
      <c r="U389" s="18" t="str">
        <f t="shared" si="155"/>
        <v/>
      </c>
      <c r="V389" s="30"/>
      <c r="W389" s="18" t="str">
        <f t="shared" si="154"/>
        <v/>
      </c>
      <c r="Y389" t="str">
        <f t="shared" si="156"/>
        <v/>
      </c>
      <c r="Z389" t="str">
        <f t="shared" si="157"/>
        <v/>
      </c>
      <c r="AA389" t="str">
        <f t="shared" si="158"/>
        <v/>
      </c>
      <c r="AB389" t="str">
        <f>COUNTIFS(AC389:AC$596,AC389)&amp;AC389</f>
        <v>208</v>
      </c>
      <c r="AC389" t="str">
        <f t="shared" si="174"/>
        <v/>
      </c>
      <c r="AD389" t="str">
        <f>COUNTIFS(AC$2:AC389,AC389)&amp;AC389</f>
        <v>388</v>
      </c>
      <c r="AE389" t="str">
        <f t="shared" si="159"/>
        <v/>
      </c>
      <c r="AF389" t="str">
        <f t="shared" si="175"/>
        <v>..</v>
      </c>
      <c r="AG389" s="28" t="str">
        <f t="shared" si="151"/>
        <v/>
      </c>
      <c r="AH389" s="28" t="str">
        <f t="shared" si="160"/>
        <v/>
      </c>
      <c r="AI389" t="str">
        <f t="shared" si="161"/>
        <v/>
      </c>
      <c r="AJ389" t="str">
        <f t="shared" si="162"/>
        <v/>
      </c>
      <c r="AK389" t="str">
        <f t="shared" si="163"/>
        <v/>
      </c>
      <c r="AL389" t="str">
        <f t="shared" si="164"/>
        <v/>
      </c>
      <c r="AM389" t="str">
        <f t="shared" si="165"/>
        <v/>
      </c>
      <c r="AN389" t="str">
        <f t="shared" si="166"/>
        <v/>
      </c>
      <c r="AO389" t="str">
        <f t="shared" si="167"/>
        <v/>
      </c>
      <c r="AP389" t="str">
        <f t="shared" si="168"/>
        <v/>
      </c>
      <c r="AQ389" t="str">
        <f t="shared" si="169"/>
        <v/>
      </c>
      <c r="AR389" t="str">
        <f t="shared" si="170"/>
        <v/>
      </c>
      <c r="AS389" t="str">
        <f t="shared" si="171"/>
        <v/>
      </c>
      <c r="AT389" t="str">
        <f t="shared" si="172"/>
        <v/>
      </c>
      <c r="AU389" s="25" t="str">
        <f t="shared" si="176"/>
        <v/>
      </c>
      <c r="BA389">
        <f>'REGISTER SK'!F392</f>
        <v>0</v>
      </c>
    </row>
    <row r="390" spans="1:53" x14ac:dyDescent="0.35">
      <c r="A390" s="18">
        <v>389</v>
      </c>
      <c r="B390" s="18"/>
      <c r="C390" s="18" t="str">
        <f>IF(G390="","",IF(G390="Umum",G390,VLOOKUP(F390,'Data Induk Pegawai'!B:AE,4,FALSE)))</f>
        <v/>
      </c>
      <c r="D390" s="19" t="str">
        <f>IF('REGISTER SK'!A393="","",IF('REGISTER SK'!B393=0,D389,'REGISTER SK'!B393))</f>
        <v/>
      </c>
      <c r="E390" s="19" t="str">
        <f t="shared" si="173"/>
        <v/>
      </c>
      <c r="F390" s="29"/>
      <c r="G390" s="29"/>
      <c r="H390" s="31" t="str">
        <f>IF(F390="","",VLOOKUP(F390,'Data Induk Pegawai'!B:U,2,FALSE))</f>
        <v/>
      </c>
      <c r="I390" s="19" t="str">
        <f>IF('REGISTER SK'!C393="","",'REGISTER SK'!C393)</f>
        <v/>
      </c>
      <c r="J390" s="125"/>
      <c r="K390" s="125"/>
      <c r="L390" s="26" t="str">
        <f>IF('REGISTER SK'!D393="","",'REGISTER SK'!D393)</f>
        <v/>
      </c>
      <c r="M390" s="26" t="str">
        <f>IF('REGISTER SK'!E393="","",'REGISTER SK'!E393)</f>
        <v/>
      </c>
      <c r="N390" s="31" t="str">
        <f>IF(G390="","",IF(OR(G390="GTT",G390="PTT"),"--",VLOOKUP(F390,'Data Induk Pegawai'!B:AE,4,FALSE)))</f>
        <v/>
      </c>
      <c r="O390" s="18" t="str">
        <f>IF(G390="","",VLOOKUP(F390,'Data Induk Pegawai'!B:AE,6,FALSE))</f>
        <v/>
      </c>
      <c r="P390" s="31" t="str">
        <f>IF(G390="","",VLOOKUP(F390,'Data Induk Pegawai'!B:AE,7,FALSE))</f>
        <v/>
      </c>
      <c r="Q390" s="30"/>
      <c r="R390" s="26" t="str">
        <f>IF(G390="","","Nomor "&amp;RIGHT(VLOOKUP(F390,'Data Induk Pegawai'!B:AE,12,FALSE),2)&amp;" Tahun "&amp;MID(VLOOKUP(F390,'Data Induk Pegawai'!B:AE,12,FALSE),5,4))</f>
        <v/>
      </c>
      <c r="S390" s="26" t="str">
        <f>IF(G390="","",VLOOKUP(F390,'Data Induk Pegawai'!B:AE,11,FALSE))</f>
        <v/>
      </c>
      <c r="T390" s="56"/>
      <c r="U390" s="18" t="str">
        <f t="shared" si="155"/>
        <v/>
      </c>
      <c r="V390" s="30"/>
      <c r="W390" s="18" t="str">
        <f t="shared" si="154"/>
        <v/>
      </c>
      <c r="Y390" t="str">
        <f t="shared" si="156"/>
        <v/>
      </c>
      <c r="Z390" t="str">
        <f t="shared" si="157"/>
        <v/>
      </c>
      <c r="AA390" t="str">
        <f t="shared" si="158"/>
        <v/>
      </c>
      <c r="AB390" t="str">
        <f>COUNTIFS(AC390:AC$596,AC390)&amp;AC390</f>
        <v>207</v>
      </c>
      <c r="AC390" t="str">
        <f t="shared" si="174"/>
        <v/>
      </c>
      <c r="AD390" t="str">
        <f>COUNTIFS(AC$2:AC390,AC390)&amp;AC390</f>
        <v>389</v>
      </c>
      <c r="AE390" t="str">
        <f t="shared" si="159"/>
        <v/>
      </c>
      <c r="AF390" t="str">
        <f t="shared" si="175"/>
        <v>..</v>
      </c>
      <c r="AG390" s="28" t="str">
        <f t="shared" si="151"/>
        <v/>
      </c>
      <c r="AH390" s="28" t="str">
        <f t="shared" si="160"/>
        <v/>
      </c>
      <c r="AI390" t="str">
        <f t="shared" si="161"/>
        <v/>
      </c>
      <c r="AJ390" t="str">
        <f t="shared" si="162"/>
        <v/>
      </c>
      <c r="AK390" t="str">
        <f t="shared" si="163"/>
        <v/>
      </c>
      <c r="AL390" t="str">
        <f t="shared" si="164"/>
        <v/>
      </c>
      <c r="AM390" t="str">
        <f t="shared" si="165"/>
        <v/>
      </c>
      <c r="AN390" t="str">
        <f t="shared" si="166"/>
        <v/>
      </c>
      <c r="AO390" t="str">
        <f t="shared" si="167"/>
        <v/>
      </c>
      <c r="AP390" t="str">
        <f t="shared" si="168"/>
        <v/>
      </c>
      <c r="AQ390" t="str">
        <f t="shared" si="169"/>
        <v/>
      </c>
      <c r="AR390" t="str">
        <f t="shared" si="170"/>
        <v/>
      </c>
      <c r="AS390" t="str">
        <f t="shared" si="171"/>
        <v/>
      </c>
      <c r="AT390" t="str">
        <f t="shared" si="172"/>
        <v/>
      </c>
      <c r="AU390" s="25" t="str">
        <f t="shared" si="176"/>
        <v/>
      </c>
      <c r="BA390">
        <f>'REGISTER SK'!F393</f>
        <v>0</v>
      </c>
    </row>
    <row r="391" spans="1:53" x14ac:dyDescent="0.35">
      <c r="A391" s="18">
        <v>390</v>
      </c>
      <c r="B391" s="18"/>
      <c r="C391" s="18" t="str">
        <f>IF(G391="","",IF(G391="Umum",G391,VLOOKUP(F391,'Data Induk Pegawai'!B:AE,4,FALSE)))</f>
        <v/>
      </c>
      <c r="D391" s="19" t="str">
        <f>IF('REGISTER SK'!A394="","",IF('REGISTER SK'!B394=0,D390,'REGISTER SK'!B394))</f>
        <v/>
      </c>
      <c r="E391" s="19" t="str">
        <f t="shared" si="173"/>
        <v/>
      </c>
      <c r="F391" s="29"/>
      <c r="G391" s="29"/>
      <c r="H391" s="31" t="str">
        <f>IF(F391="","",VLOOKUP(F391,'Data Induk Pegawai'!B:U,2,FALSE))</f>
        <v/>
      </c>
      <c r="I391" s="19" t="str">
        <f>IF('REGISTER SK'!C394="","",'REGISTER SK'!C394)</f>
        <v/>
      </c>
      <c r="J391" s="125"/>
      <c r="K391" s="125"/>
      <c r="L391" s="26" t="str">
        <f>IF('REGISTER SK'!D394="","",'REGISTER SK'!D394)</f>
        <v/>
      </c>
      <c r="M391" s="26" t="str">
        <f>IF('REGISTER SK'!E394="","",'REGISTER SK'!E394)</f>
        <v/>
      </c>
      <c r="N391" s="31" t="str">
        <f>IF(G391="","",IF(OR(G391="GTT",G391="PTT"),"--",VLOOKUP(F391,'Data Induk Pegawai'!B:AE,4,FALSE)))</f>
        <v/>
      </c>
      <c r="O391" s="18" t="str">
        <f>IF(G391="","",VLOOKUP(F391,'Data Induk Pegawai'!B:AE,6,FALSE))</f>
        <v/>
      </c>
      <c r="P391" s="31" t="str">
        <f>IF(G391="","",VLOOKUP(F391,'Data Induk Pegawai'!B:AE,7,FALSE))</f>
        <v/>
      </c>
      <c r="Q391" s="30"/>
      <c r="R391" s="26" t="str">
        <f>IF(G391="","","Nomor "&amp;RIGHT(VLOOKUP(F391,'Data Induk Pegawai'!B:AE,12,FALSE),2)&amp;" Tahun "&amp;MID(VLOOKUP(F391,'Data Induk Pegawai'!B:AE,12,FALSE),5,4))</f>
        <v/>
      </c>
      <c r="S391" s="26" t="str">
        <f>IF(G391="","",VLOOKUP(F391,'Data Induk Pegawai'!B:AE,11,FALSE))</f>
        <v/>
      </c>
      <c r="T391" s="56"/>
      <c r="U391" s="18" t="str">
        <f t="shared" si="155"/>
        <v/>
      </c>
      <c r="V391" s="30"/>
      <c r="W391" s="18" t="str">
        <f t="shared" si="154"/>
        <v/>
      </c>
      <c r="Y391" t="str">
        <f t="shared" si="156"/>
        <v/>
      </c>
      <c r="Z391" t="str">
        <f t="shared" si="157"/>
        <v/>
      </c>
      <c r="AA391" t="str">
        <f t="shared" si="158"/>
        <v/>
      </c>
      <c r="AB391" t="str">
        <f>COUNTIFS(AC391:AC$596,AC391)&amp;AC391</f>
        <v>206</v>
      </c>
      <c r="AC391" t="str">
        <f t="shared" si="174"/>
        <v/>
      </c>
      <c r="AD391" t="str">
        <f>COUNTIFS(AC$2:AC391,AC391)&amp;AC391</f>
        <v>390</v>
      </c>
      <c r="AE391" t="str">
        <f t="shared" si="159"/>
        <v/>
      </c>
      <c r="AF391" t="str">
        <f t="shared" si="175"/>
        <v>..</v>
      </c>
      <c r="AG391" s="28" t="str">
        <f t="shared" si="151"/>
        <v/>
      </c>
      <c r="AH391" s="28" t="str">
        <f t="shared" si="160"/>
        <v/>
      </c>
      <c r="AI391" t="str">
        <f t="shared" si="161"/>
        <v/>
      </c>
      <c r="AJ391" t="str">
        <f t="shared" si="162"/>
        <v/>
      </c>
      <c r="AK391" t="str">
        <f t="shared" si="163"/>
        <v/>
      </c>
      <c r="AL391" t="str">
        <f t="shared" si="164"/>
        <v/>
      </c>
      <c r="AM391" t="str">
        <f t="shared" si="165"/>
        <v/>
      </c>
      <c r="AN391" t="str">
        <f t="shared" si="166"/>
        <v/>
      </c>
      <c r="AO391" t="str">
        <f t="shared" si="167"/>
        <v/>
      </c>
      <c r="AP391" t="str">
        <f t="shared" si="168"/>
        <v/>
      </c>
      <c r="AQ391" t="str">
        <f t="shared" si="169"/>
        <v/>
      </c>
      <c r="AR391" t="str">
        <f t="shared" si="170"/>
        <v/>
      </c>
      <c r="AS391" t="str">
        <f t="shared" si="171"/>
        <v/>
      </c>
      <c r="AT391" t="str">
        <f t="shared" si="172"/>
        <v/>
      </c>
      <c r="AU391" s="25" t="str">
        <f t="shared" si="176"/>
        <v/>
      </c>
      <c r="BA391">
        <f>'REGISTER SK'!F394</f>
        <v>0</v>
      </c>
    </row>
    <row r="392" spans="1:53" x14ac:dyDescent="0.35">
      <c r="A392" s="18">
        <v>391</v>
      </c>
      <c r="B392" s="18"/>
      <c r="C392" s="18" t="str">
        <f>IF(G392="","",IF(G392="Umum",G392,VLOOKUP(F392,'Data Induk Pegawai'!B:AE,4,FALSE)))</f>
        <v/>
      </c>
      <c r="D392" s="19" t="str">
        <f>IF('REGISTER SK'!A395="","",IF('REGISTER SK'!B395=0,D391,'REGISTER SK'!B395))</f>
        <v/>
      </c>
      <c r="E392" s="19" t="str">
        <f t="shared" si="173"/>
        <v/>
      </c>
      <c r="F392" s="29"/>
      <c r="G392" s="29"/>
      <c r="H392" s="31" t="str">
        <f>IF(F392="","",VLOOKUP(F392,'Data Induk Pegawai'!B:U,2,FALSE))</f>
        <v/>
      </c>
      <c r="I392" s="19" t="str">
        <f>IF('REGISTER SK'!C395="","",'REGISTER SK'!C395)</f>
        <v/>
      </c>
      <c r="J392" s="125"/>
      <c r="K392" s="125"/>
      <c r="L392" s="26" t="str">
        <f>IF('REGISTER SK'!D395="","",'REGISTER SK'!D395)</f>
        <v/>
      </c>
      <c r="M392" s="26" t="str">
        <f>IF('REGISTER SK'!E395="","",'REGISTER SK'!E395)</f>
        <v/>
      </c>
      <c r="N392" s="31" t="str">
        <f>IF(G392="","",IF(OR(G392="GTT",G392="PTT"),"--",VLOOKUP(F392,'Data Induk Pegawai'!B:AE,4,FALSE)))</f>
        <v/>
      </c>
      <c r="O392" s="18" t="str">
        <f>IF(G392="","",VLOOKUP(F392,'Data Induk Pegawai'!B:AE,6,FALSE))</f>
        <v/>
      </c>
      <c r="P392" s="31" t="str">
        <f>IF(G392="","",VLOOKUP(F392,'Data Induk Pegawai'!B:AE,7,FALSE))</f>
        <v/>
      </c>
      <c r="Q392" s="30"/>
      <c r="R392" s="26" t="str">
        <f>IF(G392="","","Nomor "&amp;RIGHT(VLOOKUP(F392,'Data Induk Pegawai'!B:AE,12,FALSE),2)&amp;" Tahun "&amp;MID(VLOOKUP(F392,'Data Induk Pegawai'!B:AE,12,FALSE),5,4))</f>
        <v/>
      </c>
      <c r="S392" s="26" t="str">
        <f>IF(G392="","",VLOOKUP(F392,'Data Induk Pegawai'!B:AE,11,FALSE))</f>
        <v/>
      </c>
      <c r="T392" s="56"/>
      <c r="U392" s="18" t="str">
        <f t="shared" si="155"/>
        <v/>
      </c>
      <c r="V392" s="30"/>
      <c r="W392" s="18" t="str">
        <f t="shared" si="154"/>
        <v/>
      </c>
      <c r="Y392" t="str">
        <f t="shared" si="156"/>
        <v/>
      </c>
      <c r="Z392" t="str">
        <f t="shared" si="157"/>
        <v/>
      </c>
      <c r="AA392" t="str">
        <f t="shared" si="158"/>
        <v/>
      </c>
      <c r="AB392" t="str">
        <f>COUNTIFS(AC392:AC$596,AC392)&amp;AC392</f>
        <v>205</v>
      </c>
      <c r="AC392" t="str">
        <f t="shared" si="174"/>
        <v/>
      </c>
      <c r="AD392" t="str">
        <f>COUNTIFS(AC$2:AC392,AC392)&amp;AC392</f>
        <v>391</v>
      </c>
      <c r="AE392" t="str">
        <f t="shared" si="159"/>
        <v/>
      </c>
      <c r="AF392" t="str">
        <f t="shared" si="175"/>
        <v>..</v>
      </c>
      <c r="AG392" s="28" t="str">
        <f t="shared" si="151"/>
        <v/>
      </c>
      <c r="AH392" s="28" t="str">
        <f t="shared" si="160"/>
        <v/>
      </c>
      <c r="AI392" t="str">
        <f t="shared" si="161"/>
        <v/>
      </c>
      <c r="AJ392" t="str">
        <f t="shared" si="162"/>
        <v/>
      </c>
      <c r="AK392" t="str">
        <f t="shared" si="163"/>
        <v/>
      </c>
      <c r="AL392" t="str">
        <f t="shared" si="164"/>
        <v/>
      </c>
      <c r="AM392" t="str">
        <f t="shared" si="165"/>
        <v/>
      </c>
      <c r="AN392" t="str">
        <f t="shared" si="166"/>
        <v/>
      </c>
      <c r="AO392" t="str">
        <f t="shared" si="167"/>
        <v/>
      </c>
      <c r="AP392" t="str">
        <f t="shared" si="168"/>
        <v/>
      </c>
      <c r="AQ392" t="str">
        <f t="shared" si="169"/>
        <v/>
      </c>
      <c r="AR392" t="str">
        <f t="shared" si="170"/>
        <v/>
      </c>
      <c r="AS392" t="str">
        <f t="shared" si="171"/>
        <v/>
      </c>
      <c r="AT392" t="str">
        <f t="shared" si="172"/>
        <v/>
      </c>
      <c r="AU392" s="25" t="str">
        <f t="shared" si="176"/>
        <v/>
      </c>
      <c r="BA392">
        <f>'REGISTER SK'!F395</f>
        <v>0</v>
      </c>
    </row>
    <row r="393" spans="1:53" x14ac:dyDescent="0.35">
      <c r="A393" s="18">
        <v>392</v>
      </c>
      <c r="B393" s="18"/>
      <c r="C393" s="18" t="str">
        <f>IF(G393="","",IF(G393="Umum",G393,VLOOKUP(F393,'Data Induk Pegawai'!B:AE,4,FALSE)))</f>
        <v/>
      </c>
      <c r="D393" s="19" t="str">
        <f>IF('REGISTER SK'!A396="","",IF('REGISTER SK'!B396=0,D392,'REGISTER SK'!B396))</f>
        <v/>
      </c>
      <c r="E393" s="19" t="str">
        <f t="shared" si="173"/>
        <v/>
      </c>
      <c r="F393" s="29"/>
      <c r="G393" s="29"/>
      <c r="H393" s="31" t="str">
        <f>IF(F393="","",VLOOKUP(F393,'Data Induk Pegawai'!B:U,2,FALSE))</f>
        <v/>
      </c>
      <c r="I393" s="19" t="str">
        <f>IF('REGISTER SK'!C396="","",'REGISTER SK'!C396)</f>
        <v/>
      </c>
      <c r="J393" s="125"/>
      <c r="K393" s="125"/>
      <c r="L393" s="26" t="str">
        <f>IF('REGISTER SK'!D396="","",'REGISTER SK'!D396)</f>
        <v/>
      </c>
      <c r="M393" s="26" t="str">
        <f>IF('REGISTER SK'!E396="","",'REGISTER SK'!E396)</f>
        <v/>
      </c>
      <c r="N393" s="31" t="str">
        <f>IF(G393="","",IF(OR(G393="GTT",G393="PTT"),"--",VLOOKUP(F393,'Data Induk Pegawai'!B:AE,4,FALSE)))</f>
        <v/>
      </c>
      <c r="O393" s="18" t="str">
        <f>IF(G393="","",VLOOKUP(F393,'Data Induk Pegawai'!B:AE,6,FALSE))</f>
        <v/>
      </c>
      <c r="P393" s="31" t="str">
        <f>IF(G393="","",VLOOKUP(F393,'Data Induk Pegawai'!B:AE,7,FALSE))</f>
        <v/>
      </c>
      <c r="Q393" s="30"/>
      <c r="R393" s="26" t="str">
        <f>IF(G393="","","Nomor "&amp;RIGHT(VLOOKUP(F393,'Data Induk Pegawai'!B:AE,12,FALSE),2)&amp;" Tahun "&amp;MID(VLOOKUP(F393,'Data Induk Pegawai'!B:AE,12,FALSE),5,4))</f>
        <v/>
      </c>
      <c r="S393" s="26" t="str">
        <f>IF(G393="","",VLOOKUP(F393,'Data Induk Pegawai'!B:AE,11,FALSE))</f>
        <v/>
      </c>
      <c r="T393" s="56"/>
      <c r="U393" s="18" t="str">
        <f t="shared" si="155"/>
        <v/>
      </c>
      <c r="V393" s="30"/>
      <c r="W393" s="18" t="str">
        <f t="shared" si="154"/>
        <v/>
      </c>
      <c r="Y393" t="str">
        <f t="shared" si="156"/>
        <v/>
      </c>
      <c r="Z393" t="str">
        <f t="shared" si="157"/>
        <v/>
      </c>
      <c r="AA393" t="str">
        <f t="shared" si="158"/>
        <v/>
      </c>
      <c r="AB393" t="str">
        <f>COUNTIFS(AC393:AC$596,AC393)&amp;AC393</f>
        <v>204</v>
      </c>
      <c r="AC393" t="str">
        <f t="shared" si="174"/>
        <v/>
      </c>
      <c r="AD393" t="str">
        <f>COUNTIFS(AC$2:AC393,AC393)&amp;AC393</f>
        <v>392</v>
      </c>
      <c r="AE393" t="str">
        <f t="shared" si="159"/>
        <v/>
      </c>
      <c r="AF393" t="str">
        <f t="shared" si="175"/>
        <v>..</v>
      </c>
      <c r="AG393" s="28" t="str">
        <f t="shared" si="151"/>
        <v/>
      </c>
      <c r="AH393" s="28" t="str">
        <f t="shared" si="160"/>
        <v/>
      </c>
      <c r="AI393" t="str">
        <f t="shared" si="161"/>
        <v/>
      </c>
      <c r="AJ393" t="str">
        <f t="shared" si="162"/>
        <v/>
      </c>
      <c r="AK393" t="str">
        <f t="shared" si="163"/>
        <v/>
      </c>
      <c r="AL393" t="str">
        <f t="shared" si="164"/>
        <v/>
      </c>
      <c r="AM393" t="str">
        <f t="shared" si="165"/>
        <v/>
      </c>
      <c r="AN393" t="str">
        <f t="shared" si="166"/>
        <v/>
      </c>
      <c r="AO393" t="str">
        <f t="shared" si="167"/>
        <v/>
      </c>
      <c r="AP393" t="str">
        <f t="shared" si="168"/>
        <v/>
      </c>
      <c r="AQ393" t="str">
        <f t="shared" si="169"/>
        <v/>
      </c>
      <c r="AR393" t="str">
        <f t="shared" si="170"/>
        <v/>
      </c>
      <c r="AS393" t="str">
        <f t="shared" si="171"/>
        <v/>
      </c>
      <c r="AT393" t="str">
        <f t="shared" si="172"/>
        <v/>
      </c>
      <c r="AU393" s="25" t="str">
        <f t="shared" si="176"/>
        <v/>
      </c>
      <c r="BA393">
        <f>'REGISTER SK'!F396</f>
        <v>0</v>
      </c>
    </row>
    <row r="394" spans="1:53" x14ac:dyDescent="0.35">
      <c r="A394" s="18">
        <v>393</v>
      </c>
      <c r="B394" s="18"/>
      <c r="C394" s="18" t="str">
        <f>IF(G394="","",IF(G394="Umum",G394,VLOOKUP(F394,'Data Induk Pegawai'!B:AE,4,FALSE)))</f>
        <v/>
      </c>
      <c r="D394" s="19" t="str">
        <f>IF('REGISTER SK'!A397="","",IF('REGISTER SK'!B397=0,D393,'REGISTER SK'!B397))</f>
        <v/>
      </c>
      <c r="E394" s="19" t="str">
        <f t="shared" si="173"/>
        <v/>
      </c>
      <c r="F394" s="29"/>
      <c r="G394" s="29"/>
      <c r="H394" s="31" t="str">
        <f>IF(F394="","",VLOOKUP(F394,'Data Induk Pegawai'!B:U,2,FALSE))</f>
        <v/>
      </c>
      <c r="I394" s="19" t="str">
        <f>IF('REGISTER SK'!C397="","",'REGISTER SK'!C397)</f>
        <v/>
      </c>
      <c r="J394" s="125"/>
      <c r="K394" s="125"/>
      <c r="L394" s="26" t="str">
        <f>IF('REGISTER SK'!D397="","",'REGISTER SK'!D397)</f>
        <v/>
      </c>
      <c r="M394" s="26" t="str">
        <f>IF('REGISTER SK'!E397="","",'REGISTER SK'!E397)</f>
        <v/>
      </c>
      <c r="N394" s="31" t="str">
        <f>IF(G394="","",IF(OR(G394="GTT",G394="PTT"),"--",VLOOKUP(F394,'Data Induk Pegawai'!B:AE,4,FALSE)))</f>
        <v/>
      </c>
      <c r="O394" s="18" t="str">
        <f>IF(G394="","",VLOOKUP(F394,'Data Induk Pegawai'!B:AE,6,FALSE))</f>
        <v/>
      </c>
      <c r="P394" s="31" t="str">
        <f>IF(G394="","",VLOOKUP(F394,'Data Induk Pegawai'!B:AE,7,FALSE))</f>
        <v/>
      </c>
      <c r="Q394" s="30"/>
      <c r="R394" s="26" t="str">
        <f>IF(G394="","","Nomor "&amp;RIGHT(VLOOKUP(F394,'Data Induk Pegawai'!B:AE,12,FALSE),2)&amp;" Tahun "&amp;MID(VLOOKUP(F394,'Data Induk Pegawai'!B:AE,12,FALSE),5,4))</f>
        <v/>
      </c>
      <c r="S394" s="26" t="str">
        <f>IF(G394="","",VLOOKUP(F394,'Data Induk Pegawai'!B:AE,11,FALSE))</f>
        <v/>
      </c>
      <c r="T394" s="56"/>
      <c r="U394" s="18" t="str">
        <f t="shared" si="155"/>
        <v/>
      </c>
      <c r="V394" s="30"/>
      <c r="W394" s="18" t="str">
        <f t="shared" si="154"/>
        <v/>
      </c>
      <c r="Y394" t="str">
        <f t="shared" si="156"/>
        <v/>
      </c>
      <c r="Z394" t="str">
        <f t="shared" si="157"/>
        <v/>
      </c>
      <c r="AA394" t="str">
        <f t="shared" si="158"/>
        <v/>
      </c>
      <c r="AB394" t="str">
        <f>COUNTIFS(AC394:AC$596,AC394)&amp;AC394</f>
        <v>203</v>
      </c>
      <c r="AC394" t="str">
        <f t="shared" si="174"/>
        <v/>
      </c>
      <c r="AD394" t="str">
        <f>COUNTIFS(AC$2:AC394,AC394)&amp;AC394</f>
        <v>393</v>
      </c>
      <c r="AE394" t="str">
        <f t="shared" si="159"/>
        <v/>
      </c>
      <c r="AF394" t="str">
        <f t="shared" si="175"/>
        <v>..</v>
      </c>
      <c r="AG394" s="28" t="str">
        <f t="shared" si="151"/>
        <v/>
      </c>
      <c r="AH394" s="28" t="str">
        <f t="shared" si="160"/>
        <v/>
      </c>
      <c r="AI394" t="str">
        <f t="shared" si="161"/>
        <v/>
      </c>
      <c r="AJ394" t="str">
        <f t="shared" si="162"/>
        <v/>
      </c>
      <c r="AK394" t="str">
        <f t="shared" si="163"/>
        <v/>
      </c>
      <c r="AL394" t="str">
        <f t="shared" si="164"/>
        <v/>
      </c>
      <c r="AM394" t="str">
        <f t="shared" si="165"/>
        <v/>
      </c>
      <c r="AN394" t="str">
        <f t="shared" si="166"/>
        <v/>
      </c>
      <c r="AO394" t="str">
        <f t="shared" si="167"/>
        <v/>
      </c>
      <c r="AP394" t="str">
        <f t="shared" si="168"/>
        <v/>
      </c>
      <c r="AQ394" t="str">
        <f t="shared" si="169"/>
        <v/>
      </c>
      <c r="AR394" t="str">
        <f t="shared" si="170"/>
        <v/>
      </c>
      <c r="AS394" t="str">
        <f t="shared" si="171"/>
        <v/>
      </c>
      <c r="AT394" t="str">
        <f t="shared" si="172"/>
        <v/>
      </c>
      <c r="AU394" s="25" t="str">
        <f t="shared" si="176"/>
        <v/>
      </c>
      <c r="BA394">
        <f>'REGISTER SK'!F397</f>
        <v>0</v>
      </c>
    </row>
    <row r="395" spans="1:53" x14ac:dyDescent="0.35">
      <c r="A395" s="18">
        <v>394</v>
      </c>
      <c r="B395" s="18"/>
      <c r="C395" s="18" t="str">
        <f>IF(G395="","",IF(G395="Umum",G395,VLOOKUP(F395,'Data Induk Pegawai'!B:AE,4,FALSE)))</f>
        <v/>
      </c>
      <c r="D395" s="19" t="str">
        <f>IF('REGISTER SK'!A398="","",IF('REGISTER SK'!B398=0,D394,'REGISTER SK'!B398))</f>
        <v/>
      </c>
      <c r="E395" s="19" t="str">
        <f t="shared" si="173"/>
        <v/>
      </c>
      <c r="F395" s="29"/>
      <c r="G395" s="29"/>
      <c r="H395" s="31" t="str">
        <f>IF(F395="","",VLOOKUP(F395,'Data Induk Pegawai'!B:U,2,FALSE))</f>
        <v/>
      </c>
      <c r="I395" s="19" t="str">
        <f>IF('REGISTER SK'!C398="","",'REGISTER SK'!C398)</f>
        <v/>
      </c>
      <c r="J395" s="125"/>
      <c r="K395" s="125"/>
      <c r="L395" s="26" t="str">
        <f>IF('REGISTER SK'!D398="","",'REGISTER SK'!D398)</f>
        <v/>
      </c>
      <c r="M395" s="26" t="str">
        <f>IF('REGISTER SK'!E398="","",'REGISTER SK'!E398)</f>
        <v/>
      </c>
      <c r="N395" s="31" t="str">
        <f>IF(G395="","",IF(OR(G395="GTT",G395="PTT"),"--",VLOOKUP(F395,'Data Induk Pegawai'!B:AE,4,FALSE)))</f>
        <v/>
      </c>
      <c r="O395" s="18" t="str">
        <f>IF(G395="","",VLOOKUP(F395,'Data Induk Pegawai'!B:AE,6,FALSE))</f>
        <v/>
      </c>
      <c r="P395" s="31" t="str">
        <f>IF(G395="","",VLOOKUP(F395,'Data Induk Pegawai'!B:AE,7,FALSE))</f>
        <v/>
      </c>
      <c r="Q395" s="30"/>
      <c r="R395" s="26" t="str">
        <f>IF(G395="","","Nomor "&amp;RIGHT(VLOOKUP(F395,'Data Induk Pegawai'!B:AE,12,FALSE),2)&amp;" Tahun "&amp;MID(VLOOKUP(F395,'Data Induk Pegawai'!B:AE,12,FALSE),5,4))</f>
        <v/>
      </c>
      <c r="S395" s="26" t="str">
        <f>IF(G395="","",VLOOKUP(F395,'Data Induk Pegawai'!B:AE,11,FALSE))</f>
        <v/>
      </c>
      <c r="T395" s="56"/>
      <c r="U395" s="18" t="str">
        <f t="shared" si="155"/>
        <v/>
      </c>
      <c r="V395" s="30"/>
      <c r="W395" s="18" t="str">
        <f t="shared" si="154"/>
        <v/>
      </c>
      <c r="Y395" t="str">
        <f t="shared" si="156"/>
        <v/>
      </c>
      <c r="Z395" t="str">
        <f t="shared" si="157"/>
        <v/>
      </c>
      <c r="AA395" t="str">
        <f t="shared" si="158"/>
        <v/>
      </c>
      <c r="AB395" t="str">
        <f>COUNTIFS(AC395:AC$596,AC395)&amp;AC395</f>
        <v>202</v>
      </c>
      <c r="AC395" t="str">
        <f t="shared" si="174"/>
        <v/>
      </c>
      <c r="AD395" t="str">
        <f>COUNTIFS(AC$2:AC395,AC395)&amp;AC395</f>
        <v>394</v>
      </c>
      <c r="AE395" t="str">
        <f t="shared" si="159"/>
        <v/>
      </c>
      <c r="AF395" t="str">
        <f t="shared" si="175"/>
        <v>..</v>
      </c>
      <c r="AG395" s="28" t="str">
        <f t="shared" si="151"/>
        <v/>
      </c>
      <c r="AH395" s="28" t="str">
        <f t="shared" si="160"/>
        <v/>
      </c>
      <c r="AI395" t="str">
        <f t="shared" si="161"/>
        <v/>
      </c>
      <c r="AJ395" t="str">
        <f t="shared" si="162"/>
        <v/>
      </c>
      <c r="AK395" t="str">
        <f t="shared" si="163"/>
        <v/>
      </c>
      <c r="AL395" t="str">
        <f t="shared" si="164"/>
        <v/>
      </c>
      <c r="AM395" t="str">
        <f t="shared" si="165"/>
        <v/>
      </c>
      <c r="AN395" t="str">
        <f t="shared" si="166"/>
        <v/>
      </c>
      <c r="AO395" t="str">
        <f t="shared" si="167"/>
        <v/>
      </c>
      <c r="AP395" t="str">
        <f t="shared" si="168"/>
        <v/>
      </c>
      <c r="AQ395" t="str">
        <f t="shared" si="169"/>
        <v/>
      </c>
      <c r="AR395" t="str">
        <f t="shared" si="170"/>
        <v/>
      </c>
      <c r="AS395" t="str">
        <f t="shared" si="171"/>
        <v/>
      </c>
      <c r="AT395" t="str">
        <f t="shared" si="172"/>
        <v/>
      </c>
      <c r="AU395" s="25" t="str">
        <f t="shared" si="176"/>
        <v/>
      </c>
      <c r="BA395">
        <f>'REGISTER SK'!F398</f>
        <v>0</v>
      </c>
    </row>
    <row r="396" spans="1:53" x14ac:dyDescent="0.35">
      <c r="A396" s="18">
        <v>395</v>
      </c>
      <c r="B396" s="18"/>
      <c r="C396" s="18" t="str">
        <f>IF(G396="","",IF(G396="Umum",G396,VLOOKUP(F396,'Data Induk Pegawai'!B:AE,4,FALSE)))</f>
        <v/>
      </c>
      <c r="D396" s="19" t="str">
        <f>IF('REGISTER SK'!A399="","",IF('REGISTER SK'!B399=0,D395,'REGISTER SK'!B399))</f>
        <v/>
      </c>
      <c r="E396" s="19" t="str">
        <f t="shared" si="173"/>
        <v/>
      </c>
      <c r="F396" s="29"/>
      <c r="G396" s="29"/>
      <c r="H396" s="31" t="str">
        <f>IF(F396="","",VLOOKUP(F396,'Data Induk Pegawai'!B:U,2,FALSE))</f>
        <v/>
      </c>
      <c r="I396" s="19" t="str">
        <f>IF('REGISTER SK'!C399="","",'REGISTER SK'!C399)</f>
        <v/>
      </c>
      <c r="J396" s="125"/>
      <c r="K396" s="125"/>
      <c r="L396" s="26" t="str">
        <f>IF('REGISTER SK'!D399="","",'REGISTER SK'!D399)</f>
        <v/>
      </c>
      <c r="M396" s="26" t="str">
        <f>IF('REGISTER SK'!E399="","",'REGISTER SK'!E399)</f>
        <v/>
      </c>
      <c r="N396" s="31" t="str">
        <f>IF(G396="","",IF(OR(G396="GTT",G396="PTT"),"--",VLOOKUP(F396,'Data Induk Pegawai'!B:AE,4,FALSE)))</f>
        <v/>
      </c>
      <c r="O396" s="18" t="str">
        <f>IF(G396="","",VLOOKUP(F396,'Data Induk Pegawai'!B:AE,6,FALSE))</f>
        <v/>
      </c>
      <c r="P396" s="31" t="str">
        <f>IF(G396="","",VLOOKUP(F396,'Data Induk Pegawai'!B:AE,7,FALSE))</f>
        <v/>
      </c>
      <c r="Q396" s="30"/>
      <c r="R396" s="26" t="str">
        <f>IF(G396="","","Nomor "&amp;RIGHT(VLOOKUP(F396,'Data Induk Pegawai'!B:AE,12,FALSE),2)&amp;" Tahun "&amp;MID(VLOOKUP(F396,'Data Induk Pegawai'!B:AE,12,FALSE),5,4))</f>
        <v/>
      </c>
      <c r="S396" s="26" t="str">
        <f>IF(G396="","",VLOOKUP(F396,'Data Induk Pegawai'!B:AE,11,FALSE))</f>
        <v/>
      </c>
      <c r="T396" s="56"/>
      <c r="U396" s="18" t="str">
        <f t="shared" si="155"/>
        <v/>
      </c>
      <c r="V396" s="30"/>
      <c r="W396" s="18" t="str">
        <f t="shared" si="154"/>
        <v/>
      </c>
      <c r="Y396" t="str">
        <f t="shared" si="156"/>
        <v/>
      </c>
      <c r="Z396" t="str">
        <f t="shared" si="157"/>
        <v/>
      </c>
      <c r="AA396" t="str">
        <f t="shared" si="158"/>
        <v/>
      </c>
      <c r="AB396" t="str">
        <f>COUNTIFS(AC396:AC$596,AC396)&amp;AC396</f>
        <v>201</v>
      </c>
      <c r="AC396" t="str">
        <f t="shared" si="174"/>
        <v/>
      </c>
      <c r="AD396" t="str">
        <f>COUNTIFS(AC$2:AC396,AC396)&amp;AC396</f>
        <v>395</v>
      </c>
      <c r="AE396" t="str">
        <f t="shared" si="159"/>
        <v/>
      </c>
      <c r="AF396" t="str">
        <f t="shared" si="175"/>
        <v>..</v>
      </c>
      <c r="AG396" s="28" t="str">
        <f t="shared" si="151"/>
        <v/>
      </c>
      <c r="AH396" s="28" t="str">
        <f t="shared" si="160"/>
        <v/>
      </c>
      <c r="AI396" t="str">
        <f t="shared" si="161"/>
        <v/>
      </c>
      <c r="AJ396" t="str">
        <f t="shared" si="162"/>
        <v/>
      </c>
      <c r="AK396" t="str">
        <f t="shared" si="163"/>
        <v/>
      </c>
      <c r="AL396" t="str">
        <f t="shared" si="164"/>
        <v/>
      </c>
      <c r="AM396" t="str">
        <f t="shared" si="165"/>
        <v/>
      </c>
      <c r="AN396" t="str">
        <f t="shared" si="166"/>
        <v/>
      </c>
      <c r="AO396" t="str">
        <f t="shared" si="167"/>
        <v/>
      </c>
      <c r="AP396" t="str">
        <f t="shared" si="168"/>
        <v/>
      </c>
      <c r="AQ396" t="str">
        <f t="shared" si="169"/>
        <v/>
      </c>
      <c r="AR396" t="str">
        <f t="shared" si="170"/>
        <v/>
      </c>
      <c r="AS396" t="str">
        <f t="shared" si="171"/>
        <v/>
      </c>
      <c r="AT396" t="str">
        <f t="shared" si="172"/>
        <v/>
      </c>
      <c r="AU396" s="25" t="str">
        <f t="shared" si="176"/>
        <v/>
      </c>
      <c r="BA396">
        <f>'REGISTER SK'!F399</f>
        <v>0</v>
      </c>
    </row>
    <row r="397" spans="1:53" x14ac:dyDescent="0.35">
      <c r="A397" s="18">
        <v>396</v>
      </c>
      <c r="B397" s="18"/>
      <c r="C397" s="18" t="str">
        <f>IF(G397="","",IF(G397="Umum",G397,VLOOKUP(F397,'Data Induk Pegawai'!B:AE,4,FALSE)))</f>
        <v/>
      </c>
      <c r="D397" s="19" t="str">
        <f>IF('REGISTER SK'!A400="","",IF('REGISTER SK'!B400=0,D396,'REGISTER SK'!B400))</f>
        <v/>
      </c>
      <c r="E397" s="19" t="str">
        <f t="shared" si="173"/>
        <v/>
      </c>
      <c r="F397" s="29"/>
      <c r="G397" s="29"/>
      <c r="H397" s="31" t="str">
        <f>IF(F397="","",VLOOKUP(F397,'Data Induk Pegawai'!B:U,2,FALSE))</f>
        <v/>
      </c>
      <c r="I397" s="19" t="str">
        <f>IF('REGISTER SK'!C400="","",'REGISTER SK'!C400)</f>
        <v/>
      </c>
      <c r="J397" s="125"/>
      <c r="K397" s="125"/>
      <c r="L397" s="26" t="str">
        <f>IF('REGISTER SK'!D400="","",'REGISTER SK'!D400)</f>
        <v/>
      </c>
      <c r="M397" s="26" t="str">
        <f>IF('REGISTER SK'!E400="","",'REGISTER SK'!E400)</f>
        <v/>
      </c>
      <c r="N397" s="31" t="str">
        <f>IF(G397="","",IF(OR(G397="GTT",G397="PTT"),"--",VLOOKUP(F397,'Data Induk Pegawai'!B:AE,4,FALSE)))</f>
        <v/>
      </c>
      <c r="O397" s="18" t="str">
        <f>IF(G397="","",VLOOKUP(F397,'Data Induk Pegawai'!B:AE,6,FALSE))</f>
        <v/>
      </c>
      <c r="P397" s="31" t="str">
        <f>IF(G397="","",VLOOKUP(F397,'Data Induk Pegawai'!B:AE,7,FALSE))</f>
        <v/>
      </c>
      <c r="Q397" s="30"/>
      <c r="R397" s="26" t="str">
        <f>IF(G397="","","Nomor "&amp;RIGHT(VLOOKUP(F397,'Data Induk Pegawai'!B:AE,12,FALSE),2)&amp;" Tahun "&amp;MID(VLOOKUP(F397,'Data Induk Pegawai'!B:AE,12,FALSE),5,4))</f>
        <v/>
      </c>
      <c r="S397" s="26" t="str">
        <f>IF(G397="","",VLOOKUP(F397,'Data Induk Pegawai'!B:AE,11,FALSE))</f>
        <v/>
      </c>
      <c r="T397" s="56"/>
      <c r="U397" s="18" t="str">
        <f t="shared" si="155"/>
        <v/>
      </c>
      <c r="V397" s="30"/>
      <c r="W397" s="18" t="str">
        <f t="shared" si="154"/>
        <v/>
      </c>
      <c r="Y397" t="str">
        <f t="shared" si="156"/>
        <v/>
      </c>
      <c r="Z397" t="str">
        <f t="shared" si="157"/>
        <v/>
      </c>
      <c r="AA397" t="str">
        <f t="shared" si="158"/>
        <v/>
      </c>
      <c r="AB397" t="str">
        <f>COUNTIFS(AC397:AC$596,AC397)&amp;AC397</f>
        <v>200</v>
      </c>
      <c r="AC397" t="str">
        <f t="shared" si="174"/>
        <v/>
      </c>
      <c r="AD397" t="str">
        <f>COUNTIFS(AC$2:AC397,AC397)&amp;AC397</f>
        <v>396</v>
      </c>
      <c r="AE397" t="str">
        <f t="shared" si="159"/>
        <v/>
      </c>
      <c r="AF397" t="str">
        <f t="shared" si="175"/>
        <v>..</v>
      </c>
      <c r="AG397" s="28" t="str">
        <f t="shared" si="151"/>
        <v/>
      </c>
      <c r="AH397" s="28" t="str">
        <f t="shared" si="160"/>
        <v/>
      </c>
      <c r="AI397" t="str">
        <f t="shared" si="161"/>
        <v/>
      </c>
      <c r="AJ397" t="str">
        <f t="shared" si="162"/>
        <v/>
      </c>
      <c r="AK397" t="str">
        <f t="shared" si="163"/>
        <v/>
      </c>
      <c r="AL397" t="str">
        <f t="shared" si="164"/>
        <v/>
      </c>
      <c r="AM397" t="str">
        <f t="shared" si="165"/>
        <v/>
      </c>
      <c r="AN397" t="str">
        <f t="shared" si="166"/>
        <v/>
      </c>
      <c r="AO397" t="str">
        <f t="shared" si="167"/>
        <v/>
      </c>
      <c r="AP397" t="str">
        <f t="shared" si="168"/>
        <v/>
      </c>
      <c r="AQ397" t="str">
        <f t="shared" si="169"/>
        <v/>
      </c>
      <c r="AR397" t="str">
        <f t="shared" si="170"/>
        <v/>
      </c>
      <c r="AS397" t="str">
        <f t="shared" si="171"/>
        <v/>
      </c>
      <c r="AT397" t="str">
        <f t="shared" si="172"/>
        <v/>
      </c>
      <c r="AU397" s="25" t="str">
        <f t="shared" si="176"/>
        <v/>
      </c>
      <c r="BA397">
        <f>'REGISTER SK'!F400</f>
        <v>0</v>
      </c>
    </row>
    <row r="398" spans="1:53" x14ac:dyDescent="0.35">
      <c r="A398" s="18">
        <v>397</v>
      </c>
      <c r="B398" s="18"/>
      <c r="C398" s="18" t="str">
        <f>IF(G398="","",IF(G398="Umum",G398,VLOOKUP(F398,'Data Induk Pegawai'!B:AE,4,FALSE)))</f>
        <v/>
      </c>
      <c r="D398" s="19" t="str">
        <f>IF('REGISTER SK'!A401="","",IF('REGISTER SK'!B401=0,D397,'REGISTER SK'!B401))</f>
        <v/>
      </c>
      <c r="E398" s="19" t="str">
        <f t="shared" si="173"/>
        <v/>
      </c>
      <c r="F398" s="29"/>
      <c r="G398" s="29"/>
      <c r="H398" s="31" t="str">
        <f>IF(F398="","",VLOOKUP(F398,'Data Induk Pegawai'!B:U,2,FALSE))</f>
        <v/>
      </c>
      <c r="I398" s="19" t="str">
        <f>IF('REGISTER SK'!C401="","",'REGISTER SK'!C401)</f>
        <v/>
      </c>
      <c r="J398" s="125"/>
      <c r="K398" s="125"/>
      <c r="L398" s="26" t="str">
        <f>IF('REGISTER SK'!D401="","",'REGISTER SK'!D401)</f>
        <v/>
      </c>
      <c r="M398" s="26" t="str">
        <f>IF('REGISTER SK'!E401="","",'REGISTER SK'!E401)</f>
        <v/>
      </c>
      <c r="N398" s="31" t="str">
        <f>IF(G398="","",IF(OR(G398="GTT",G398="PTT"),"--",VLOOKUP(F398,'Data Induk Pegawai'!B:AE,4,FALSE)))</f>
        <v/>
      </c>
      <c r="O398" s="18" t="str">
        <f>IF(G398="","",VLOOKUP(F398,'Data Induk Pegawai'!B:AE,6,FALSE))</f>
        <v/>
      </c>
      <c r="P398" s="31" t="str">
        <f>IF(G398="","",VLOOKUP(F398,'Data Induk Pegawai'!B:AE,7,FALSE))</f>
        <v/>
      </c>
      <c r="Q398" s="30"/>
      <c r="R398" s="26" t="str">
        <f>IF(G398="","","Nomor "&amp;RIGHT(VLOOKUP(F398,'Data Induk Pegawai'!B:AE,12,FALSE),2)&amp;" Tahun "&amp;MID(VLOOKUP(F398,'Data Induk Pegawai'!B:AE,12,FALSE),5,4))</f>
        <v/>
      </c>
      <c r="S398" s="26" t="str">
        <f>IF(G398="","",VLOOKUP(F398,'Data Induk Pegawai'!B:AE,11,FALSE))</f>
        <v/>
      </c>
      <c r="T398" s="56"/>
      <c r="U398" s="18" t="str">
        <f t="shared" si="155"/>
        <v/>
      </c>
      <c r="V398" s="30"/>
      <c r="W398" s="18" t="str">
        <f t="shared" si="154"/>
        <v/>
      </c>
      <c r="Y398" t="str">
        <f t="shared" si="156"/>
        <v/>
      </c>
      <c r="Z398" t="str">
        <f t="shared" si="157"/>
        <v/>
      </c>
      <c r="AA398" t="str">
        <f t="shared" si="158"/>
        <v/>
      </c>
      <c r="AB398" t="str">
        <f>COUNTIFS(AC398:AC$596,AC398)&amp;AC398</f>
        <v>199</v>
      </c>
      <c r="AC398" t="str">
        <f t="shared" si="174"/>
        <v/>
      </c>
      <c r="AD398" t="str">
        <f>COUNTIFS(AC$2:AC398,AC398)&amp;AC398</f>
        <v>397</v>
      </c>
      <c r="AE398" t="str">
        <f t="shared" si="159"/>
        <v/>
      </c>
      <c r="AF398" t="str">
        <f t="shared" si="175"/>
        <v>..</v>
      </c>
      <c r="AG398" s="28" t="str">
        <f t="shared" si="151"/>
        <v/>
      </c>
      <c r="AH398" s="28" t="str">
        <f t="shared" si="160"/>
        <v/>
      </c>
      <c r="AI398" t="str">
        <f t="shared" si="161"/>
        <v/>
      </c>
      <c r="AJ398" t="str">
        <f t="shared" si="162"/>
        <v/>
      </c>
      <c r="AK398" t="str">
        <f t="shared" si="163"/>
        <v/>
      </c>
      <c r="AL398" t="str">
        <f t="shared" si="164"/>
        <v/>
      </c>
      <c r="AM398" t="str">
        <f t="shared" si="165"/>
        <v/>
      </c>
      <c r="AN398" t="str">
        <f t="shared" si="166"/>
        <v/>
      </c>
      <c r="AO398" t="str">
        <f t="shared" si="167"/>
        <v/>
      </c>
      <c r="AP398" t="str">
        <f t="shared" si="168"/>
        <v/>
      </c>
      <c r="AQ398" t="str">
        <f t="shared" si="169"/>
        <v/>
      </c>
      <c r="AR398" t="str">
        <f t="shared" si="170"/>
        <v/>
      </c>
      <c r="AS398" t="str">
        <f t="shared" si="171"/>
        <v/>
      </c>
      <c r="AT398" t="str">
        <f t="shared" si="172"/>
        <v/>
      </c>
      <c r="AU398" s="25" t="str">
        <f t="shared" si="176"/>
        <v/>
      </c>
      <c r="BA398">
        <f>'REGISTER SK'!F401</f>
        <v>0</v>
      </c>
    </row>
    <row r="399" spans="1:53" x14ac:dyDescent="0.35">
      <c r="A399" s="18">
        <v>398</v>
      </c>
      <c r="B399" s="18"/>
      <c r="C399" s="18" t="str">
        <f>IF(G399="","",IF(G399="Umum",G399,VLOOKUP(F399,'Data Induk Pegawai'!B:AE,4,FALSE)))</f>
        <v/>
      </c>
      <c r="D399" s="19" t="str">
        <f>IF('REGISTER SK'!A402="","",IF('REGISTER SK'!B402=0,D398,'REGISTER SK'!B402))</f>
        <v/>
      </c>
      <c r="E399" s="19" t="str">
        <f t="shared" si="173"/>
        <v/>
      </c>
      <c r="F399" s="29"/>
      <c r="G399" s="29"/>
      <c r="H399" s="31" t="str">
        <f>IF(F399="","",VLOOKUP(F399,'Data Induk Pegawai'!B:U,2,FALSE))</f>
        <v/>
      </c>
      <c r="I399" s="19" t="str">
        <f>IF('REGISTER SK'!C402="","",'REGISTER SK'!C402)</f>
        <v/>
      </c>
      <c r="J399" s="125"/>
      <c r="K399" s="125"/>
      <c r="L399" s="26" t="str">
        <f>IF('REGISTER SK'!D402="","",'REGISTER SK'!D402)</f>
        <v/>
      </c>
      <c r="M399" s="26" t="str">
        <f>IF('REGISTER SK'!E402="","",'REGISTER SK'!E402)</f>
        <v/>
      </c>
      <c r="N399" s="31" t="str">
        <f>IF(G399="","",IF(OR(G399="GTT",G399="PTT"),"--",VLOOKUP(F399,'Data Induk Pegawai'!B:AE,4,FALSE)))</f>
        <v/>
      </c>
      <c r="O399" s="18" t="str">
        <f>IF(G399="","",VLOOKUP(F399,'Data Induk Pegawai'!B:AE,6,FALSE))</f>
        <v/>
      </c>
      <c r="P399" s="31" t="str">
        <f>IF(G399="","",VLOOKUP(F399,'Data Induk Pegawai'!B:AE,7,FALSE))</f>
        <v/>
      </c>
      <c r="Q399" s="30"/>
      <c r="R399" s="26" t="str">
        <f>IF(G399="","","Nomor "&amp;RIGHT(VLOOKUP(F399,'Data Induk Pegawai'!B:AE,12,FALSE),2)&amp;" Tahun "&amp;MID(VLOOKUP(F399,'Data Induk Pegawai'!B:AE,12,FALSE),5,4))</f>
        <v/>
      </c>
      <c r="S399" s="26" t="str">
        <f>IF(G399="","",VLOOKUP(F399,'Data Induk Pegawai'!B:AE,11,FALSE))</f>
        <v/>
      </c>
      <c r="T399" s="56"/>
      <c r="U399" s="18" t="str">
        <f t="shared" si="155"/>
        <v/>
      </c>
      <c r="V399" s="30"/>
      <c r="W399" s="18" t="str">
        <f t="shared" si="154"/>
        <v/>
      </c>
      <c r="Y399" t="str">
        <f t="shared" si="156"/>
        <v/>
      </c>
      <c r="Z399" t="str">
        <f t="shared" si="157"/>
        <v/>
      </c>
      <c r="AA399" t="str">
        <f t="shared" si="158"/>
        <v/>
      </c>
      <c r="AB399" t="str">
        <f>COUNTIFS(AC399:AC$596,AC399)&amp;AC399</f>
        <v>198</v>
      </c>
      <c r="AC399" t="str">
        <f t="shared" si="174"/>
        <v/>
      </c>
      <c r="AD399" t="str">
        <f>COUNTIFS(AC$2:AC399,AC399)&amp;AC399</f>
        <v>398</v>
      </c>
      <c r="AE399" t="str">
        <f t="shared" si="159"/>
        <v/>
      </c>
      <c r="AF399" t="str">
        <f t="shared" si="175"/>
        <v>..</v>
      </c>
      <c r="AG399" s="28" t="str">
        <f t="shared" si="151"/>
        <v/>
      </c>
      <c r="AH399" s="28" t="str">
        <f t="shared" si="160"/>
        <v/>
      </c>
      <c r="AI399" t="str">
        <f t="shared" si="161"/>
        <v/>
      </c>
      <c r="AJ399" t="str">
        <f t="shared" si="162"/>
        <v/>
      </c>
      <c r="AK399" t="str">
        <f t="shared" si="163"/>
        <v/>
      </c>
      <c r="AL399" t="str">
        <f t="shared" si="164"/>
        <v/>
      </c>
      <c r="AM399" t="str">
        <f t="shared" si="165"/>
        <v/>
      </c>
      <c r="AN399" t="str">
        <f t="shared" si="166"/>
        <v/>
      </c>
      <c r="AO399" t="str">
        <f t="shared" si="167"/>
        <v/>
      </c>
      <c r="AP399" t="str">
        <f t="shared" si="168"/>
        <v/>
      </c>
      <c r="AQ399" t="str">
        <f t="shared" si="169"/>
        <v/>
      </c>
      <c r="AR399" t="str">
        <f t="shared" si="170"/>
        <v/>
      </c>
      <c r="AS399" t="str">
        <f t="shared" si="171"/>
        <v/>
      </c>
      <c r="AT399" t="str">
        <f t="shared" si="172"/>
        <v/>
      </c>
      <c r="AU399" s="25" t="str">
        <f t="shared" si="176"/>
        <v/>
      </c>
      <c r="BA399">
        <f>'REGISTER SK'!F402</f>
        <v>0</v>
      </c>
    </row>
    <row r="400" spans="1:53" x14ac:dyDescent="0.35">
      <c r="A400" s="18">
        <v>399</v>
      </c>
      <c r="B400" s="18"/>
      <c r="C400" s="18" t="str">
        <f>IF(G400="","",IF(G400="Umum",G400,VLOOKUP(F400,'Data Induk Pegawai'!B:AE,4,FALSE)))</f>
        <v/>
      </c>
      <c r="D400" s="19" t="str">
        <f>IF('REGISTER SK'!A403="","",IF('REGISTER SK'!B403=0,D399,'REGISTER SK'!B403))</f>
        <v/>
      </c>
      <c r="E400" s="19" t="str">
        <f t="shared" si="173"/>
        <v/>
      </c>
      <c r="F400" s="29"/>
      <c r="G400" s="29"/>
      <c r="H400" s="31" t="str">
        <f>IF(F400="","",VLOOKUP(F400,'Data Induk Pegawai'!B:U,2,FALSE))</f>
        <v/>
      </c>
      <c r="I400" s="19" t="str">
        <f>IF('REGISTER SK'!C403="","",'REGISTER SK'!C403)</f>
        <v/>
      </c>
      <c r="J400" s="125"/>
      <c r="K400" s="125"/>
      <c r="L400" s="26" t="str">
        <f>IF('REGISTER SK'!D403="","",'REGISTER SK'!D403)</f>
        <v/>
      </c>
      <c r="M400" s="26" t="str">
        <f>IF('REGISTER SK'!E403="","",'REGISTER SK'!E403)</f>
        <v/>
      </c>
      <c r="N400" s="31" t="str">
        <f>IF(G400="","",IF(OR(G400="GTT",G400="PTT"),"--",VLOOKUP(F400,'Data Induk Pegawai'!B:AE,4,FALSE)))</f>
        <v/>
      </c>
      <c r="O400" s="18" t="str">
        <f>IF(G400="","",VLOOKUP(F400,'Data Induk Pegawai'!B:AE,6,FALSE))</f>
        <v/>
      </c>
      <c r="P400" s="31" t="str">
        <f>IF(G400="","",VLOOKUP(F400,'Data Induk Pegawai'!B:AE,7,FALSE))</f>
        <v/>
      </c>
      <c r="Q400" s="30"/>
      <c r="R400" s="26" t="str">
        <f>IF(G400="","","Nomor "&amp;RIGHT(VLOOKUP(F400,'Data Induk Pegawai'!B:AE,12,FALSE),2)&amp;" Tahun "&amp;MID(VLOOKUP(F400,'Data Induk Pegawai'!B:AE,12,FALSE),5,4))</f>
        <v/>
      </c>
      <c r="S400" s="26" t="str">
        <f>IF(G400="","",VLOOKUP(F400,'Data Induk Pegawai'!B:AE,11,FALSE))</f>
        <v/>
      </c>
      <c r="T400" s="56"/>
      <c r="U400" s="18" t="str">
        <f t="shared" si="155"/>
        <v/>
      </c>
      <c r="V400" s="30"/>
      <c r="W400" s="18" t="str">
        <f t="shared" si="154"/>
        <v/>
      </c>
      <c r="Y400" t="str">
        <f t="shared" si="156"/>
        <v/>
      </c>
      <c r="Z400" t="str">
        <f t="shared" si="157"/>
        <v/>
      </c>
      <c r="AA400" t="str">
        <f t="shared" si="158"/>
        <v/>
      </c>
      <c r="AB400" t="str">
        <f>COUNTIFS(AC400:AC$596,AC400)&amp;AC400</f>
        <v>197</v>
      </c>
      <c r="AC400" t="str">
        <f t="shared" si="174"/>
        <v/>
      </c>
      <c r="AD400" t="str">
        <f>COUNTIFS(AC$2:AC400,AC400)&amp;AC400</f>
        <v>399</v>
      </c>
      <c r="AE400" t="str">
        <f t="shared" si="159"/>
        <v/>
      </c>
      <c r="AF400" t="str">
        <f t="shared" si="175"/>
        <v>..</v>
      </c>
      <c r="AG400" s="28" t="str">
        <f t="shared" si="151"/>
        <v/>
      </c>
      <c r="AH400" s="28" t="str">
        <f t="shared" si="160"/>
        <v/>
      </c>
      <c r="AI400" t="str">
        <f t="shared" si="161"/>
        <v/>
      </c>
      <c r="AJ400" t="str">
        <f t="shared" si="162"/>
        <v/>
      </c>
      <c r="AK400" t="str">
        <f t="shared" si="163"/>
        <v/>
      </c>
      <c r="AL400" t="str">
        <f t="shared" si="164"/>
        <v/>
      </c>
      <c r="AM400" t="str">
        <f t="shared" si="165"/>
        <v/>
      </c>
      <c r="AN400" t="str">
        <f t="shared" si="166"/>
        <v/>
      </c>
      <c r="AO400" t="str">
        <f t="shared" si="167"/>
        <v/>
      </c>
      <c r="AP400" t="str">
        <f t="shared" si="168"/>
        <v/>
      </c>
      <c r="AQ400" t="str">
        <f t="shared" si="169"/>
        <v/>
      </c>
      <c r="AR400" t="str">
        <f t="shared" si="170"/>
        <v/>
      </c>
      <c r="AS400" t="str">
        <f t="shared" si="171"/>
        <v/>
      </c>
      <c r="AT400" t="str">
        <f t="shared" si="172"/>
        <v/>
      </c>
      <c r="AU400" s="25" t="str">
        <f t="shared" si="176"/>
        <v/>
      </c>
      <c r="BA400">
        <f>'REGISTER SK'!F403</f>
        <v>0</v>
      </c>
    </row>
    <row r="401" spans="1:53" x14ac:dyDescent="0.35">
      <c r="A401" s="18">
        <v>400</v>
      </c>
      <c r="B401" s="18"/>
      <c r="C401" s="18" t="str">
        <f>IF(G401="","",IF(G401="Umum",G401,VLOOKUP(F401,'Data Induk Pegawai'!B:AE,4,FALSE)))</f>
        <v/>
      </c>
      <c r="D401" s="19" t="str">
        <f>IF('REGISTER SK'!A404="","",IF('REGISTER SK'!B404=0,D400,'REGISTER SK'!B404))</f>
        <v/>
      </c>
      <c r="E401" s="19" t="str">
        <f t="shared" si="173"/>
        <v/>
      </c>
      <c r="F401" s="29"/>
      <c r="G401" s="29"/>
      <c r="H401" s="31" t="str">
        <f>IF(F401="","",VLOOKUP(F401,'Data Induk Pegawai'!B:U,2,FALSE))</f>
        <v/>
      </c>
      <c r="I401" s="19" t="str">
        <f>IF('REGISTER SK'!C404="","",'REGISTER SK'!C404)</f>
        <v/>
      </c>
      <c r="J401" s="125"/>
      <c r="K401" s="125"/>
      <c r="L401" s="26" t="str">
        <f>IF('REGISTER SK'!D404="","",'REGISTER SK'!D404)</f>
        <v/>
      </c>
      <c r="M401" s="26" t="str">
        <f>IF('REGISTER SK'!E404="","",'REGISTER SK'!E404)</f>
        <v/>
      </c>
      <c r="N401" s="31" t="str">
        <f>IF(G401="","",IF(OR(G401="GTT",G401="PTT"),"--",VLOOKUP(F401,'Data Induk Pegawai'!B:AE,4,FALSE)))</f>
        <v/>
      </c>
      <c r="O401" s="18" t="str">
        <f>IF(G401="","",VLOOKUP(F401,'Data Induk Pegawai'!B:AE,6,FALSE))</f>
        <v/>
      </c>
      <c r="P401" s="31" t="str">
        <f>IF(G401="","",VLOOKUP(F401,'Data Induk Pegawai'!B:AE,7,FALSE))</f>
        <v/>
      </c>
      <c r="Q401" s="30"/>
      <c r="R401" s="26" t="str">
        <f>IF(G401="","","Nomor "&amp;RIGHT(VLOOKUP(F401,'Data Induk Pegawai'!B:AE,12,FALSE),2)&amp;" Tahun "&amp;MID(VLOOKUP(F401,'Data Induk Pegawai'!B:AE,12,FALSE),5,4))</f>
        <v/>
      </c>
      <c r="S401" s="26" t="str">
        <f>IF(G401="","",VLOOKUP(F401,'Data Induk Pegawai'!B:AE,11,FALSE))</f>
        <v/>
      </c>
      <c r="T401" s="56"/>
      <c r="U401" s="18" t="str">
        <f t="shared" si="155"/>
        <v/>
      </c>
      <c r="V401" s="30"/>
      <c r="W401" s="18" t="str">
        <f t="shared" si="154"/>
        <v/>
      </c>
      <c r="Y401" t="str">
        <f t="shared" si="156"/>
        <v/>
      </c>
      <c r="Z401" t="str">
        <f t="shared" si="157"/>
        <v/>
      </c>
      <c r="AA401" t="str">
        <f t="shared" si="158"/>
        <v/>
      </c>
      <c r="AB401" t="str">
        <f>COUNTIFS(AC401:AC$596,AC401)&amp;AC401</f>
        <v>196</v>
      </c>
      <c r="AC401" t="str">
        <f t="shared" si="174"/>
        <v/>
      </c>
      <c r="AD401" t="str">
        <f>COUNTIFS(AC$2:AC401,AC401)&amp;AC401</f>
        <v>400</v>
      </c>
      <c r="AE401" t="str">
        <f t="shared" si="159"/>
        <v/>
      </c>
      <c r="AF401" t="str">
        <f t="shared" si="175"/>
        <v>..</v>
      </c>
      <c r="AG401" s="28" t="str">
        <f t="shared" si="151"/>
        <v/>
      </c>
      <c r="AH401" s="28" t="str">
        <f t="shared" si="160"/>
        <v/>
      </c>
      <c r="AI401" t="str">
        <f t="shared" si="161"/>
        <v/>
      </c>
      <c r="AJ401" t="str">
        <f t="shared" si="162"/>
        <v/>
      </c>
      <c r="AK401" t="str">
        <f t="shared" si="163"/>
        <v/>
      </c>
      <c r="AL401" t="str">
        <f t="shared" si="164"/>
        <v/>
      </c>
      <c r="AM401" t="str">
        <f t="shared" si="165"/>
        <v/>
      </c>
      <c r="AN401" t="str">
        <f t="shared" si="166"/>
        <v/>
      </c>
      <c r="AO401" t="str">
        <f t="shared" si="167"/>
        <v/>
      </c>
      <c r="AP401" t="str">
        <f t="shared" si="168"/>
        <v/>
      </c>
      <c r="AQ401" t="str">
        <f t="shared" si="169"/>
        <v/>
      </c>
      <c r="AR401" t="str">
        <f t="shared" si="170"/>
        <v/>
      </c>
      <c r="AS401" t="str">
        <f t="shared" si="171"/>
        <v/>
      </c>
      <c r="AT401" t="str">
        <f t="shared" si="172"/>
        <v/>
      </c>
      <c r="AU401" s="25" t="str">
        <f t="shared" si="176"/>
        <v/>
      </c>
      <c r="BA401">
        <f>'REGISTER SK'!F404</f>
        <v>0</v>
      </c>
    </row>
    <row r="402" spans="1:53" x14ac:dyDescent="0.35">
      <c r="A402" s="18">
        <v>401</v>
      </c>
      <c r="B402" s="18"/>
      <c r="C402" s="18" t="str">
        <f>IF(G402="","",IF(G402="Umum",G402,VLOOKUP(F402,'Data Induk Pegawai'!B:AE,4,FALSE)))</f>
        <v/>
      </c>
      <c r="D402" s="19" t="str">
        <f>IF('REGISTER SK'!A405="","",IF('REGISTER SK'!B405=0,D401,'REGISTER SK'!B405))</f>
        <v/>
      </c>
      <c r="E402" s="19" t="str">
        <f t="shared" si="173"/>
        <v/>
      </c>
      <c r="F402" s="29"/>
      <c r="G402" s="29"/>
      <c r="H402" s="31" t="str">
        <f>IF(F402="","",VLOOKUP(F402,'Data Induk Pegawai'!B:U,2,FALSE))</f>
        <v/>
      </c>
      <c r="I402" s="19" t="str">
        <f>IF('REGISTER SK'!C405="","",'REGISTER SK'!C405)</f>
        <v/>
      </c>
      <c r="J402" s="125"/>
      <c r="K402" s="125"/>
      <c r="L402" s="26" t="str">
        <f>IF('REGISTER SK'!D405="","",'REGISTER SK'!D405)</f>
        <v/>
      </c>
      <c r="M402" s="26" t="str">
        <f>IF('REGISTER SK'!E405="","",'REGISTER SK'!E405)</f>
        <v/>
      </c>
      <c r="N402" s="31" t="str">
        <f>IF(G402="","",IF(OR(G402="GTT",G402="PTT"),"--",VLOOKUP(F402,'Data Induk Pegawai'!B:AE,4,FALSE)))</f>
        <v/>
      </c>
      <c r="O402" s="18" t="str">
        <f>IF(G402="","",VLOOKUP(F402,'Data Induk Pegawai'!B:AE,6,FALSE))</f>
        <v/>
      </c>
      <c r="P402" s="31" t="str">
        <f>IF(G402="","",VLOOKUP(F402,'Data Induk Pegawai'!B:AE,7,FALSE))</f>
        <v/>
      </c>
      <c r="Q402" s="30"/>
      <c r="R402" s="26" t="str">
        <f>IF(G402="","","Nomor "&amp;RIGHT(VLOOKUP(F402,'Data Induk Pegawai'!B:AE,12,FALSE),2)&amp;" Tahun "&amp;MID(VLOOKUP(F402,'Data Induk Pegawai'!B:AE,12,FALSE),5,4))</f>
        <v/>
      </c>
      <c r="S402" s="26" t="str">
        <f>IF(G402="","",VLOOKUP(F402,'Data Induk Pegawai'!B:AE,11,FALSE))</f>
        <v/>
      </c>
      <c r="T402" s="56"/>
      <c r="U402" s="18" t="str">
        <f t="shared" si="155"/>
        <v/>
      </c>
      <c r="V402" s="30"/>
      <c r="W402" s="18" t="str">
        <f t="shared" si="154"/>
        <v/>
      </c>
      <c r="Y402" t="str">
        <f t="shared" si="156"/>
        <v/>
      </c>
      <c r="Z402" t="str">
        <f t="shared" si="157"/>
        <v/>
      </c>
      <c r="AA402" t="str">
        <f t="shared" si="158"/>
        <v/>
      </c>
      <c r="AB402" t="str">
        <f>COUNTIFS(AC402:AC$596,AC402)&amp;AC402</f>
        <v>195</v>
      </c>
      <c r="AC402" t="str">
        <f t="shared" si="174"/>
        <v/>
      </c>
      <c r="AD402" t="str">
        <f>COUNTIFS(AC$2:AC402,AC402)&amp;AC402</f>
        <v>401</v>
      </c>
      <c r="AE402" t="str">
        <f t="shared" si="159"/>
        <v/>
      </c>
      <c r="AF402" t="str">
        <f t="shared" si="175"/>
        <v>..</v>
      </c>
      <c r="AG402" s="28" t="str">
        <f t="shared" si="151"/>
        <v/>
      </c>
      <c r="AH402" s="28" t="str">
        <f t="shared" si="160"/>
        <v/>
      </c>
      <c r="AI402" t="str">
        <f t="shared" si="161"/>
        <v/>
      </c>
      <c r="AJ402" t="str">
        <f t="shared" si="162"/>
        <v/>
      </c>
      <c r="AK402" t="str">
        <f t="shared" si="163"/>
        <v/>
      </c>
      <c r="AL402" t="str">
        <f t="shared" si="164"/>
        <v/>
      </c>
      <c r="AM402" t="str">
        <f t="shared" si="165"/>
        <v/>
      </c>
      <c r="AN402" t="str">
        <f t="shared" si="166"/>
        <v/>
      </c>
      <c r="AO402" t="str">
        <f t="shared" si="167"/>
        <v/>
      </c>
      <c r="AP402" t="str">
        <f t="shared" si="168"/>
        <v/>
      </c>
      <c r="AQ402" t="str">
        <f t="shared" si="169"/>
        <v/>
      </c>
      <c r="AR402" t="str">
        <f t="shared" si="170"/>
        <v/>
      </c>
      <c r="AS402" t="str">
        <f t="shared" si="171"/>
        <v/>
      </c>
      <c r="AT402" t="str">
        <f t="shared" si="172"/>
        <v/>
      </c>
      <c r="AU402" s="25" t="str">
        <f t="shared" si="176"/>
        <v/>
      </c>
      <c r="BA402">
        <f>'REGISTER SK'!F405</f>
        <v>0</v>
      </c>
    </row>
    <row r="403" spans="1:53" x14ac:dyDescent="0.35">
      <c r="A403" s="18">
        <v>402</v>
      </c>
      <c r="B403" s="18"/>
      <c r="C403" s="18" t="str">
        <f>IF(G403="","",IF(G403="Umum",G403,VLOOKUP(F403,'Data Induk Pegawai'!B:AE,4,FALSE)))</f>
        <v/>
      </c>
      <c r="D403" s="19" t="str">
        <f>IF('REGISTER SK'!A406="","",IF('REGISTER SK'!B406=0,D402,'REGISTER SK'!B406))</f>
        <v/>
      </c>
      <c r="E403" s="19" t="str">
        <f t="shared" si="173"/>
        <v/>
      </c>
      <c r="F403" s="29"/>
      <c r="G403" s="29"/>
      <c r="H403" s="31" t="str">
        <f>IF(F403="","",VLOOKUP(F403,'Data Induk Pegawai'!B:U,2,FALSE))</f>
        <v/>
      </c>
      <c r="I403" s="19" t="str">
        <f>IF('REGISTER SK'!C406="","",'REGISTER SK'!C406)</f>
        <v/>
      </c>
      <c r="J403" s="125"/>
      <c r="K403" s="125"/>
      <c r="L403" s="26" t="str">
        <f>IF('REGISTER SK'!D406="","",'REGISTER SK'!D406)</f>
        <v/>
      </c>
      <c r="M403" s="26" t="str">
        <f>IF('REGISTER SK'!E406="","",'REGISTER SK'!E406)</f>
        <v/>
      </c>
      <c r="N403" s="31" t="str">
        <f>IF(G403="","",IF(OR(G403="GTT",G403="PTT"),"--",VLOOKUP(F403,'Data Induk Pegawai'!B:AE,4,FALSE)))</f>
        <v/>
      </c>
      <c r="O403" s="18" t="str">
        <f>IF(G403="","",VLOOKUP(F403,'Data Induk Pegawai'!B:AE,6,FALSE))</f>
        <v/>
      </c>
      <c r="P403" s="31" t="str">
        <f>IF(G403="","",VLOOKUP(F403,'Data Induk Pegawai'!B:AE,7,FALSE))</f>
        <v/>
      </c>
      <c r="Q403" s="30"/>
      <c r="R403" s="26" t="str">
        <f>IF(G403="","","Nomor "&amp;RIGHT(VLOOKUP(F403,'Data Induk Pegawai'!B:AE,12,FALSE),2)&amp;" Tahun "&amp;MID(VLOOKUP(F403,'Data Induk Pegawai'!B:AE,12,FALSE),5,4))</f>
        <v/>
      </c>
      <c r="S403" s="26" t="str">
        <f>IF(G403="","",VLOOKUP(F403,'Data Induk Pegawai'!B:AE,11,FALSE))</f>
        <v/>
      </c>
      <c r="T403" s="56"/>
      <c r="U403" s="18" t="str">
        <f t="shared" si="155"/>
        <v/>
      </c>
      <c r="V403" s="30"/>
      <c r="W403" s="18" t="str">
        <f t="shared" si="154"/>
        <v/>
      </c>
      <c r="Y403" t="str">
        <f t="shared" si="156"/>
        <v/>
      </c>
      <c r="Z403" t="str">
        <f t="shared" si="157"/>
        <v/>
      </c>
      <c r="AA403" t="str">
        <f t="shared" si="158"/>
        <v/>
      </c>
      <c r="AB403" t="str">
        <f>COUNTIFS(AC403:AC$596,AC403)&amp;AC403</f>
        <v>194</v>
      </c>
      <c r="AC403" t="str">
        <f t="shared" si="174"/>
        <v/>
      </c>
      <c r="AD403" t="str">
        <f>COUNTIFS(AC$2:AC403,AC403)&amp;AC403</f>
        <v>402</v>
      </c>
      <c r="AE403" t="str">
        <f t="shared" si="159"/>
        <v/>
      </c>
      <c r="AF403" t="str">
        <f t="shared" si="175"/>
        <v>..</v>
      </c>
      <c r="AG403" s="28" t="str">
        <f t="shared" si="151"/>
        <v/>
      </c>
      <c r="AH403" s="28" t="str">
        <f t="shared" si="160"/>
        <v/>
      </c>
      <c r="AI403" t="str">
        <f t="shared" si="161"/>
        <v/>
      </c>
      <c r="AJ403" t="str">
        <f t="shared" si="162"/>
        <v/>
      </c>
      <c r="AK403" t="str">
        <f t="shared" si="163"/>
        <v/>
      </c>
      <c r="AL403" t="str">
        <f t="shared" si="164"/>
        <v/>
      </c>
      <c r="AM403" t="str">
        <f t="shared" si="165"/>
        <v/>
      </c>
      <c r="AN403" t="str">
        <f t="shared" si="166"/>
        <v/>
      </c>
      <c r="AO403" t="str">
        <f t="shared" si="167"/>
        <v/>
      </c>
      <c r="AP403" t="str">
        <f t="shared" si="168"/>
        <v/>
      </c>
      <c r="AQ403" t="str">
        <f t="shared" si="169"/>
        <v/>
      </c>
      <c r="AR403" t="str">
        <f t="shared" si="170"/>
        <v/>
      </c>
      <c r="AS403" t="str">
        <f t="shared" si="171"/>
        <v/>
      </c>
      <c r="AT403" t="str">
        <f t="shared" si="172"/>
        <v/>
      </c>
      <c r="AU403" s="25" t="str">
        <f t="shared" si="176"/>
        <v/>
      </c>
      <c r="BA403">
        <f>'REGISTER SK'!F406</f>
        <v>0</v>
      </c>
    </row>
    <row r="404" spans="1:53" x14ac:dyDescent="0.35">
      <c r="A404" s="18">
        <v>403</v>
      </c>
      <c r="B404" s="18"/>
      <c r="C404" s="18" t="str">
        <f>IF(G404="","",IF(G404="Umum",G404,VLOOKUP(F404,'Data Induk Pegawai'!B:AE,4,FALSE)))</f>
        <v/>
      </c>
      <c r="D404" s="19" t="str">
        <f>IF('REGISTER SK'!A407="","",IF('REGISTER SK'!B407=0,D403,'REGISTER SK'!B407))</f>
        <v/>
      </c>
      <c r="E404" s="19" t="str">
        <f t="shared" si="173"/>
        <v/>
      </c>
      <c r="F404" s="29"/>
      <c r="G404" s="29"/>
      <c r="H404" s="31" t="str">
        <f>IF(F404="","",VLOOKUP(F404,'Data Induk Pegawai'!B:U,2,FALSE))</f>
        <v/>
      </c>
      <c r="I404" s="19" t="str">
        <f>IF('REGISTER SK'!C407="","",'REGISTER SK'!C407)</f>
        <v/>
      </c>
      <c r="J404" s="125"/>
      <c r="K404" s="125"/>
      <c r="L404" s="26" t="str">
        <f>IF('REGISTER SK'!D407="","",'REGISTER SK'!D407)</f>
        <v/>
      </c>
      <c r="M404" s="26" t="str">
        <f>IF('REGISTER SK'!E407="","",'REGISTER SK'!E407)</f>
        <v/>
      </c>
      <c r="N404" s="31" t="str">
        <f>IF(G404="","",IF(OR(G404="GTT",G404="PTT"),"--",VLOOKUP(F404,'Data Induk Pegawai'!B:AE,4,FALSE)))</f>
        <v/>
      </c>
      <c r="O404" s="18" t="str">
        <f>IF(G404="","",VLOOKUP(F404,'Data Induk Pegawai'!B:AE,6,FALSE))</f>
        <v/>
      </c>
      <c r="P404" s="31" t="str">
        <f>IF(G404="","",VLOOKUP(F404,'Data Induk Pegawai'!B:AE,7,FALSE))</f>
        <v/>
      </c>
      <c r="Q404" s="30"/>
      <c r="R404" s="26" t="str">
        <f>IF(G404="","","Nomor "&amp;RIGHT(VLOOKUP(F404,'Data Induk Pegawai'!B:AE,12,FALSE),2)&amp;" Tahun "&amp;MID(VLOOKUP(F404,'Data Induk Pegawai'!B:AE,12,FALSE),5,4))</f>
        <v/>
      </c>
      <c r="S404" s="26" t="str">
        <f>IF(G404="","",VLOOKUP(F404,'Data Induk Pegawai'!B:AE,11,FALSE))</f>
        <v/>
      </c>
      <c r="T404" s="56"/>
      <c r="U404" s="18" t="str">
        <f t="shared" si="155"/>
        <v/>
      </c>
      <c r="V404" s="30"/>
      <c r="W404" s="18" t="str">
        <f t="shared" si="154"/>
        <v/>
      </c>
      <c r="Y404" t="str">
        <f t="shared" si="156"/>
        <v/>
      </c>
      <c r="Z404" t="str">
        <f t="shared" si="157"/>
        <v/>
      </c>
      <c r="AA404" t="str">
        <f t="shared" si="158"/>
        <v/>
      </c>
      <c r="AB404" t="str">
        <f>COUNTIFS(AC404:AC$596,AC404)&amp;AC404</f>
        <v>193</v>
      </c>
      <c r="AC404" t="str">
        <f t="shared" si="174"/>
        <v/>
      </c>
      <c r="AD404" t="str">
        <f>COUNTIFS(AC$2:AC404,AC404)&amp;AC404</f>
        <v>403</v>
      </c>
      <c r="AE404" t="str">
        <f t="shared" si="159"/>
        <v/>
      </c>
      <c r="AF404" t="str">
        <f t="shared" si="175"/>
        <v>..</v>
      </c>
      <c r="AG404" s="28" t="str">
        <f t="shared" si="151"/>
        <v/>
      </c>
      <c r="AH404" s="28" t="str">
        <f t="shared" si="160"/>
        <v/>
      </c>
      <c r="AI404" t="str">
        <f t="shared" si="161"/>
        <v/>
      </c>
      <c r="AJ404" t="str">
        <f t="shared" si="162"/>
        <v/>
      </c>
      <c r="AK404" t="str">
        <f t="shared" si="163"/>
        <v/>
      </c>
      <c r="AL404" t="str">
        <f t="shared" si="164"/>
        <v/>
      </c>
      <c r="AM404" t="str">
        <f t="shared" si="165"/>
        <v/>
      </c>
      <c r="AN404" t="str">
        <f t="shared" si="166"/>
        <v/>
      </c>
      <c r="AO404" t="str">
        <f t="shared" si="167"/>
        <v/>
      </c>
      <c r="AP404" t="str">
        <f t="shared" si="168"/>
        <v/>
      </c>
      <c r="AQ404" t="str">
        <f t="shared" si="169"/>
        <v/>
      </c>
      <c r="AR404" t="str">
        <f t="shared" si="170"/>
        <v/>
      </c>
      <c r="AS404" t="str">
        <f t="shared" si="171"/>
        <v/>
      </c>
      <c r="AT404" t="str">
        <f t="shared" si="172"/>
        <v/>
      </c>
      <c r="AU404" s="25" t="str">
        <f t="shared" si="176"/>
        <v/>
      </c>
      <c r="BA404">
        <f>'REGISTER SK'!F407</f>
        <v>0</v>
      </c>
    </row>
    <row r="405" spans="1:53" x14ac:dyDescent="0.35">
      <c r="A405" s="18">
        <v>404</v>
      </c>
      <c r="B405" s="18"/>
      <c r="C405" s="18" t="str">
        <f>IF(G405="","",IF(G405="Umum",G405,VLOOKUP(F405,'Data Induk Pegawai'!B:AE,4,FALSE)))</f>
        <v/>
      </c>
      <c r="D405" s="19" t="str">
        <f>IF('REGISTER SK'!A408="","",IF('REGISTER SK'!B408=0,D404,'REGISTER SK'!B408))</f>
        <v/>
      </c>
      <c r="E405" s="19" t="str">
        <f t="shared" si="173"/>
        <v/>
      </c>
      <c r="F405" s="29"/>
      <c r="G405" s="29"/>
      <c r="H405" s="31" t="str">
        <f>IF(F405="","",VLOOKUP(F405,'Data Induk Pegawai'!B:U,2,FALSE))</f>
        <v/>
      </c>
      <c r="I405" s="19" t="str">
        <f>IF('REGISTER SK'!C408="","",'REGISTER SK'!C408)</f>
        <v/>
      </c>
      <c r="J405" s="125"/>
      <c r="K405" s="125"/>
      <c r="L405" s="26" t="str">
        <f>IF('REGISTER SK'!D408="","",'REGISTER SK'!D408)</f>
        <v/>
      </c>
      <c r="M405" s="26" t="str">
        <f>IF('REGISTER SK'!E408="","",'REGISTER SK'!E408)</f>
        <v/>
      </c>
      <c r="N405" s="31" t="str">
        <f>IF(G405="","",IF(OR(G405="GTT",G405="PTT"),"--",VLOOKUP(F405,'Data Induk Pegawai'!B:AE,4,FALSE)))</f>
        <v/>
      </c>
      <c r="O405" s="18" t="str">
        <f>IF(G405="","",VLOOKUP(F405,'Data Induk Pegawai'!B:AE,6,FALSE))</f>
        <v/>
      </c>
      <c r="P405" s="31" t="str">
        <f>IF(G405="","",VLOOKUP(F405,'Data Induk Pegawai'!B:AE,7,FALSE))</f>
        <v/>
      </c>
      <c r="Q405" s="30"/>
      <c r="R405" s="26" t="str">
        <f>IF(G405="","","Nomor "&amp;RIGHT(VLOOKUP(F405,'Data Induk Pegawai'!B:AE,12,FALSE),2)&amp;" Tahun "&amp;MID(VLOOKUP(F405,'Data Induk Pegawai'!B:AE,12,FALSE),5,4))</f>
        <v/>
      </c>
      <c r="S405" s="26" t="str">
        <f>IF(G405="","",VLOOKUP(F405,'Data Induk Pegawai'!B:AE,11,FALSE))</f>
        <v/>
      </c>
      <c r="T405" s="56"/>
      <c r="U405" s="18" t="str">
        <f t="shared" si="155"/>
        <v/>
      </c>
      <c r="V405" s="30"/>
      <c r="W405" s="18" t="str">
        <f t="shared" si="154"/>
        <v/>
      </c>
      <c r="Y405" t="str">
        <f t="shared" si="156"/>
        <v/>
      </c>
      <c r="Z405" t="str">
        <f t="shared" si="157"/>
        <v/>
      </c>
      <c r="AA405" t="str">
        <f t="shared" si="158"/>
        <v/>
      </c>
      <c r="AB405" t="str">
        <f>COUNTIFS(AC405:AC$596,AC405)&amp;AC405</f>
        <v>192</v>
      </c>
      <c r="AC405" t="str">
        <f t="shared" si="174"/>
        <v/>
      </c>
      <c r="AD405" t="str">
        <f>COUNTIFS(AC$2:AC405,AC405)&amp;AC405</f>
        <v>404</v>
      </c>
      <c r="AE405" t="str">
        <f t="shared" si="159"/>
        <v/>
      </c>
      <c r="AF405" t="str">
        <f t="shared" si="175"/>
        <v>..</v>
      </c>
      <c r="AG405" s="28" t="str">
        <f t="shared" si="151"/>
        <v/>
      </c>
      <c r="AH405" s="28" t="str">
        <f t="shared" si="160"/>
        <v/>
      </c>
      <c r="AI405" t="str">
        <f t="shared" si="161"/>
        <v/>
      </c>
      <c r="AJ405" t="str">
        <f t="shared" si="162"/>
        <v/>
      </c>
      <c r="AK405" t="str">
        <f t="shared" si="163"/>
        <v/>
      </c>
      <c r="AL405" t="str">
        <f t="shared" si="164"/>
        <v/>
      </c>
      <c r="AM405" t="str">
        <f t="shared" si="165"/>
        <v/>
      </c>
      <c r="AN405" t="str">
        <f t="shared" si="166"/>
        <v/>
      </c>
      <c r="AO405" t="str">
        <f t="shared" si="167"/>
        <v/>
      </c>
      <c r="AP405" t="str">
        <f t="shared" si="168"/>
        <v/>
      </c>
      <c r="AQ405" t="str">
        <f t="shared" si="169"/>
        <v/>
      </c>
      <c r="AR405" t="str">
        <f t="shared" si="170"/>
        <v/>
      </c>
      <c r="AS405" t="str">
        <f t="shared" si="171"/>
        <v/>
      </c>
      <c r="AT405" t="str">
        <f t="shared" si="172"/>
        <v/>
      </c>
      <c r="AU405" s="25" t="str">
        <f t="shared" si="176"/>
        <v/>
      </c>
      <c r="BA405">
        <f>'REGISTER SK'!F408</f>
        <v>0</v>
      </c>
    </row>
    <row r="406" spans="1:53" x14ac:dyDescent="0.35">
      <c r="A406" s="18">
        <v>405</v>
      </c>
      <c r="B406" s="18"/>
      <c r="C406" s="18" t="str">
        <f>IF(G406="","",IF(G406="Umum",G406,VLOOKUP(F406,'Data Induk Pegawai'!B:AE,4,FALSE)))</f>
        <v/>
      </c>
      <c r="D406" s="19" t="str">
        <f>IF('REGISTER SK'!A409="","",IF('REGISTER SK'!B409=0,D405,'REGISTER SK'!B409))</f>
        <v/>
      </c>
      <c r="E406" s="19" t="str">
        <f t="shared" si="173"/>
        <v/>
      </c>
      <c r="F406" s="29"/>
      <c r="G406" s="29"/>
      <c r="H406" s="31" t="str">
        <f>IF(F406="","",VLOOKUP(F406,'Data Induk Pegawai'!B:U,2,FALSE))</f>
        <v/>
      </c>
      <c r="I406" s="19" t="str">
        <f>IF('REGISTER SK'!C409="","",'REGISTER SK'!C409)</f>
        <v/>
      </c>
      <c r="J406" s="125"/>
      <c r="K406" s="125"/>
      <c r="L406" s="26" t="str">
        <f>IF('REGISTER SK'!D409="","",'REGISTER SK'!D409)</f>
        <v/>
      </c>
      <c r="M406" s="26" t="str">
        <f>IF('REGISTER SK'!E409="","",'REGISTER SK'!E409)</f>
        <v/>
      </c>
      <c r="N406" s="31" t="str">
        <f>IF(G406="","",IF(OR(G406="GTT",G406="PTT"),"--",VLOOKUP(F406,'Data Induk Pegawai'!B:AE,4,FALSE)))</f>
        <v/>
      </c>
      <c r="O406" s="18" t="str">
        <f>IF(G406="","",VLOOKUP(F406,'Data Induk Pegawai'!B:AE,6,FALSE))</f>
        <v/>
      </c>
      <c r="P406" s="31" t="str">
        <f>IF(G406="","",VLOOKUP(F406,'Data Induk Pegawai'!B:AE,7,FALSE))</f>
        <v/>
      </c>
      <c r="Q406" s="30"/>
      <c r="R406" s="26" t="str">
        <f>IF(G406="","","Nomor "&amp;RIGHT(VLOOKUP(F406,'Data Induk Pegawai'!B:AE,12,FALSE),2)&amp;" Tahun "&amp;MID(VLOOKUP(F406,'Data Induk Pegawai'!B:AE,12,FALSE),5,4))</f>
        <v/>
      </c>
      <c r="S406" s="26" t="str">
        <f>IF(G406="","",VLOOKUP(F406,'Data Induk Pegawai'!B:AE,11,FALSE))</f>
        <v/>
      </c>
      <c r="T406" s="56"/>
      <c r="U406" s="18" t="str">
        <f t="shared" si="155"/>
        <v/>
      </c>
      <c r="V406" s="30"/>
      <c r="W406" s="18" t="str">
        <f t="shared" si="154"/>
        <v/>
      </c>
      <c r="Y406" t="str">
        <f t="shared" si="156"/>
        <v/>
      </c>
      <c r="Z406" t="str">
        <f t="shared" si="157"/>
        <v/>
      </c>
      <c r="AA406" t="str">
        <f t="shared" si="158"/>
        <v/>
      </c>
      <c r="AB406" t="str">
        <f>COUNTIFS(AC406:AC$596,AC406)&amp;AC406</f>
        <v>191</v>
      </c>
      <c r="AC406" t="str">
        <f t="shared" si="174"/>
        <v/>
      </c>
      <c r="AD406" t="str">
        <f>COUNTIFS(AC$2:AC406,AC406)&amp;AC406</f>
        <v>405</v>
      </c>
      <c r="AE406" t="str">
        <f t="shared" si="159"/>
        <v/>
      </c>
      <c r="AF406" t="str">
        <f t="shared" si="175"/>
        <v>..</v>
      </c>
      <c r="AG406" s="28" t="str">
        <f t="shared" si="151"/>
        <v/>
      </c>
      <c r="AH406" s="28" t="str">
        <f t="shared" si="160"/>
        <v/>
      </c>
      <c r="AI406" t="str">
        <f t="shared" si="161"/>
        <v/>
      </c>
      <c r="AJ406" t="str">
        <f t="shared" si="162"/>
        <v/>
      </c>
      <c r="AK406" t="str">
        <f t="shared" si="163"/>
        <v/>
      </c>
      <c r="AL406" t="str">
        <f t="shared" si="164"/>
        <v/>
      </c>
      <c r="AM406" t="str">
        <f t="shared" si="165"/>
        <v/>
      </c>
      <c r="AN406" t="str">
        <f t="shared" si="166"/>
        <v/>
      </c>
      <c r="AO406" t="str">
        <f t="shared" si="167"/>
        <v/>
      </c>
      <c r="AP406" t="str">
        <f t="shared" si="168"/>
        <v/>
      </c>
      <c r="AQ406" t="str">
        <f t="shared" si="169"/>
        <v/>
      </c>
      <c r="AR406" t="str">
        <f t="shared" si="170"/>
        <v/>
      </c>
      <c r="AS406" t="str">
        <f t="shared" si="171"/>
        <v/>
      </c>
      <c r="AT406" t="str">
        <f t="shared" si="172"/>
        <v/>
      </c>
      <c r="AU406" s="25" t="str">
        <f t="shared" si="176"/>
        <v/>
      </c>
      <c r="BA406">
        <f>'REGISTER SK'!F409</f>
        <v>0</v>
      </c>
    </row>
    <row r="407" spans="1:53" x14ac:dyDescent="0.35">
      <c r="A407" s="18">
        <v>406</v>
      </c>
      <c r="B407" s="18"/>
      <c r="C407" s="18" t="str">
        <f>IF(G407="","",IF(G407="Umum",G407,VLOOKUP(F407,'Data Induk Pegawai'!B:AE,4,FALSE)))</f>
        <v/>
      </c>
      <c r="D407" s="19" t="str">
        <f>IF('REGISTER SK'!A410="","",IF('REGISTER SK'!B410=0,D406,'REGISTER SK'!B410))</f>
        <v/>
      </c>
      <c r="E407" s="19" t="str">
        <f t="shared" si="173"/>
        <v/>
      </c>
      <c r="F407" s="29"/>
      <c r="G407" s="29"/>
      <c r="H407" s="31" t="str">
        <f>IF(F407="","",VLOOKUP(F407,'Data Induk Pegawai'!B:U,2,FALSE))</f>
        <v/>
      </c>
      <c r="I407" s="19" t="str">
        <f>IF('REGISTER SK'!C410="","",'REGISTER SK'!C410)</f>
        <v/>
      </c>
      <c r="J407" s="125"/>
      <c r="K407" s="125"/>
      <c r="L407" s="26" t="str">
        <f>IF('REGISTER SK'!D410="","",'REGISTER SK'!D410)</f>
        <v/>
      </c>
      <c r="M407" s="26" t="str">
        <f>IF('REGISTER SK'!E410="","",'REGISTER SK'!E410)</f>
        <v/>
      </c>
      <c r="N407" s="31" t="str">
        <f>IF(G407="","",IF(OR(G407="GTT",G407="PTT"),"--",VLOOKUP(F407,'Data Induk Pegawai'!B:AE,4,FALSE)))</f>
        <v/>
      </c>
      <c r="O407" s="18" t="str">
        <f>IF(G407="","",VLOOKUP(F407,'Data Induk Pegawai'!B:AE,6,FALSE))</f>
        <v/>
      </c>
      <c r="P407" s="31" t="str">
        <f>IF(G407="","",VLOOKUP(F407,'Data Induk Pegawai'!B:AE,7,FALSE))</f>
        <v/>
      </c>
      <c r="Q407" s="30"/>
      <c r="R407" s="26" t="str">
        <f>IF(G407="","","Nomor "&amp;RIGHT(VLOOKUP(F407,'Data Induk Pegawai'!B:AE,12,FALSE),2)&amp;" Tahun "&amp;MID(VLOOKUP(F407,'Data Induk Pegawai'!B:AE,12,FALSE),5,4))</f>
        <v/>
      </c>
      <c r="S407" s="26" t="str">
        <f>IF(G407="","",VLOOKUP(F407,'Data Induk Pegawai'!B:AE,11,FALSE))</f>
        <v/>
      </c>
      <c r="T407" s="56"/>
      <c r="U407" s="18" t="str">
        <f t="shared" si="155"/>
        <v/>
      </c>
      <c r="V407" s="30"/>
      <c r="W407" s="18" t="str">
        <f t="shared" si="154"/>
        <v/>
      </c>
      <c r="Y407" t="str">
        <f t="shared" si="156"/>
        <v/>
      </c>
      <c r="Z407" t="str">
        <f t="shared" si="157"/>
        <v/>
      </c>
      <c r="AA407" t="str">
        <f t="shared" si="158"/>
        <v/>
      </c>
      <c r="AB407" t="str">
        <f>COUNTIFS(AC407:AC$596,AC407)&amp;AC407</f>
        <v>190</v>
      </c>
      <c r="AC407" t="str">
        <f t="shared" si="174"/>
        <v/>
      </c>
      <c r="AD407" t="str">
        <f>COUNTIFS(AC$2:AC407,AC407)&amp;AC407</f>
        <v>406</v>
      </c>
      <c r="AE407" t="str">
        <f t="shared" si="159"/>
        <v/>
      </c>
      <c r="AF407" t="str">
        <f t="shared" si="175"/>
        <v>..</v>
      </c>
      <c r="AG407" s="28" t="str">
        <f t="shared" si="151"/>
        <v/>
      </c>
      <c r="AH407" s="28" t="str">
        <f t="shared" si="160"/>
        <v/>
      </c>
      <c r="AI407" t="str">
        <f t="shared" si="161"/>
        <v/>
      </c>
      <c r="AJ407" t="str">
        <f t="shared" si="162"/>
        <v/>
      </c>
      <c r="AK407" t="str">
        <f t="shared" si="163"/>
        <v/>
      </c>
      <c r="AL407" t="str">
        <f t="shared" si="164"/>
        <v/>
      </c>
      <c r="AM407" t="str">
        <f t="shared" si="165"/>
        <v/>
      </c>
      <c r="AN407" t="str">
        <f t="shared" si="166"/>
        <v/>
      </c>
      <c r="AO407" t="str">
        <f t="shared" si="167"/>
        <v/>
      </c>
      <c r="AP407" t="str">
        <f t="shared" si="168"/>
        <v/>
      </c>
      <c r="AQ407" t="str">
        <f t="shared" si="169"/>
        <v/>
      </c>
      <c r="AR407" t="str">
        <f t="shared" si="170"/>
        <v/>
      </c>
      <c r="AS407" t="str">
        <f t="shared" si="171"/>
        <v/>
      </c>
      <c r="AT407" t="str">
        <f t="shared" si="172"/>
        <v/>
      </c>
      <c r="AU407" s="25" t="str">
        <f t="shared" si="176"/>
        <v/>
      </c>
      <c r="BA407">
        <f>'REGISTER SK'!F410</f>
        <v>0</v>
      </c>
    </row>
    <row r="408" spans="1:53" x14ac:dyDescent="0.35">
      <c r="A408" s="18">
        <v>407</v>
      </c>
      <c r="B408" s="18"/>
      <c r="C408" s="18" t="str">
        <f>IF(G408="","",IF(G408="Umum",G408,VLOOKUP(F408,'Data Induk Pegawai'!B:AE,4,FALSE)))</f>
        <v/>
      </c>
      <c r="D408" s="19" t="str">
        <f>IF('REGISTER SK'!A411="","",IF('REGISTER SK'!B411=0,D407,'REGISTER SK'!B411))</f>
        <v/>
      </c>
      <c r="E408" s="19" t="str">
        <f t="shared" si="173"/>
        <v/>
      </c>
      <c r="F408" s="29"/>
      <c r="G408" s="29"/>
      <c r="H408" s="31" t="str">
        <f>IF(F408="","",VLOOKUP(F408,'Data Induk Pegawai'!B:U,2,FALSE))</f>
        <v/>
      </c>
      <c r="I408" s="19" t="str">
        <f>IF('REGISTER SK'!C411="","",'REGISTER SK'!C411)</f>
        <v/>
      </c>
      <c r="J408" s="125"/>
      <c r="K408" s="125"/>
      <c r="L408" s="26" t="str">
        <f>IF('REGISTER SK'!D411="","",'REGISTER SK'!D411)</f>
        <v/>
      </c>
      <c r="M408" s="26" t="str">
        <f>IF('REGISTER SK'!E411="","",'REGISTER SK'!E411)</f>
        <v/>
      </c>
      <c r="N408" s="31" t="str">
        <f>IF(G408="","",IF(OR(G408="GTT",G408="PTT"),"--",VLOOKUP(F408,'Data Induk Pegawai'!B:AE,4,FALSE)))</f>
        <v/>
      </c>
      <c r="O408" s="18" t="str">
        <f>IF(G408="","",VLOOKUP(F408,'Data Induk Pegawai'!B:AE,6,FALSE))</f>
        <v/>
      </c>
      <c r="P408" s="31" t="str">
        <f>IF(G408="","",VLOOKUP(F408,'Data Induk Pegawai'!B:AE,7,FALSE))</f>
        <v/>
      </c>
      <c r="Q408" s="30"/>
      <c r="R408" s="26" t="str">
        <f>IF(G408="","","Nomor "&amp;RIGHT(VLOOKUP(F408,'Data Induk Pegawai'!B:AE,12,FALSE),2)&amp;" Tahun "&amp;MID(VLOOKUP(F408,'Data Induk Pegawai'!B:AE,12,FALSE),5,4))</f>
        <v/>
      </c>
      <c r="S408" s="26" t="str">
        <f>IF(G408="","",VLOOKUP(F408,'Data Induk Pegawai'!B:AE,11,FALSE))</f>
        <v/>
      </c>
      <c r="T408" s="56"/>
      <c r="U408" s="18" t="str">
        <f t="shared" si="155"/>
        <v/>
      </c>
      <c r="V408" s="30"/>
      <c r="W408" s="18" t="str">
        <f t="shared" si="154"/>
        <v/>
      </c>
      <c r="Y408" t="str">
        <f t="shared" si="156"/>
        <v/>
      </c>
      <c r="Z408" t="str">
        <f t="shared" si="157"/>
        <v/>
      </c>
      <c r="AA408" t="str">
        <f t="shared" si="158"/>
        <v/>
      </c>
      <c r="AB408" t="str">
        <f>COUNTIFS(AC408:AC$596,AC408)&amp;AC408</f>
        <v>189</v>
      </c>
      <c r="AC408" t="str">
        <f t="shared" si="174"/>
        <v/>
      </c>
      <c r="AD408" t="str">
        <f>COUNTIFS(AC$2:AC408,AC408)&amp;AC408</f>
        <v>407</v>
      </c>
      <c r="AE408" t="str">
        <f t="shared" si="159"/>
        <v/>
      </c>
      <c r="AF408" t="str">
        <f t="shared" si="175"/>
        <v>..</v>
      </c>
      <c r="AG408" s="28" t="str">
        <f t="shared" si="151"/>
        <v/>
      </c>
      <c r="AH408" s="28" t="str">
        <f t="shared" si="160"/>
        <v/>
      </c>
      <c r="AI408" t="str">
        <f t="shared" si="161"/>
        <v/>
      </c>
      <c r="AJ408" t="str">
        <f t="shared" si="162"/>
        <v/>
      </c>
      <c r="AK408" t="str">
        <f t="shared" si="163"/>
        <v/>
      </c>
      <c r="AL408" t="str">
        <f t="shared" si="164"/>
        <v/>
      </c>
      <c r="AM408" t="str">
        <f t="shared" si="165"/>
        <v/>
      </c>
      <c r="AN408" t="str">
        <f t="shared" si="166"/>
        <v/>
      </c>
      <c r="AO408" t="str">
        <f t="shared" si="167"/>
        <v/>
      </c>
      <c r="AP408" t="str">
        <f t="shared" si="168"/>
        <v/>
      </c>
      <c r="AQ408" t="str">
        <f t="shared" si="169"/>
        <v/>
      </c>
      <c r="AR408" t="str">
        <f t="shared" si="170"/>
        <v/>
      </c>
      <c r="AS408" t="str">
        <f t="shared" si="171"/>
        <v/>
      </c>
      <c r="AT408" t="str">
        <f t="shared" si="172"/>
        <v/>
      </c>
      <c r="AU408" s="25" t="str">
        <f t="shared" si="176"/>
        <v/>
      </c>
      <c r="BA408">
        <f>'REGISTER SK'!F411</f>
        <v>0</v>
      </c>
    </row>
    <row r="409" spans="1:53" x14ac:dyDescent="0.35">
      <c r="A409" s="18">
        <v>408</v>
      </c>
      <c r="B409" s="18"/>
      <c r="C409" s="18" t="str">
        <f>IF(G409="","",IF(G409="Umum",G409,VLOOKUP(F409,'Data Induk Pegawai'!B:AE,4,FALSE)))</f>
        <v/>
      </c>
      <c r="D409" s="19" t="str">
        <f>IF('REGISTER SK'!A412="","",IF('REGISTER SK'!B412=0,D408,'REGISTER SK'!B412))</f>
        <v/>
      </c>
      <c r="E409" s="19" t="str">
        <f t="shared" si="173"/>
        <v/>
      </c>
      <c r="F409" s="29"/>
      <c r="G409" s="29"/>
      <c r="H409" s="31" t="str">
        <f>IF(F409="","",VLOOKUP(F409,'Data Induk Pegawai'!B:U,2,FALSE))</f>
        <v/>
      </c>
      <c r="I409" s="19" t="str">
        <f>IF('REGISTER SK'!C412="","",'REGISTER SK'!C412)</f>
        <v/>
      </c>
      <c r="J409" s="125"/>
      <c r="K409" s="125"/>
      <c r="L409" s="26" t="str">
        <f>IF('REGISTER SK'!D412="","",'REGISTER SK'!D412)</f>
        <v/>
      </c>
      <c r="M409" s="26" t="str">
        <f>IF('REGISTER SK'!E412="","",'REGISTER SK'!E412)</f>
        <v/>
      </c>
      <c r="N409" s="31" t="str">
        <f>IF(G409="","",IF(OR(G409="GTT",G409="PTT"),"--",VLOOKUP(F409,'Data Induk Pegawai'!B:AE,4,FALSE)))</f>
        <v/>
      </c>
      <c r="O409" s="18" t="str">
        <f>IF(G409="","",VLOOKUP(F409,'Data Induk Pegawai'!B:AE,6,FALSE))</f>
        <v/>
      </c>
      <c r="P409" s="31" t="str">
        <f>IF(G409="","",VLOOKUP(F409,'Data Induk Pegawai'!B:AE,7,FALSE))</f>
        <v/>
      </c>
      <c r="Q409" s="30"/>
      <c r="R409" s="26" t="str">
        <f>IF(G409="","","Nomor "&amp;RIGHT(VLOOKUP(F409,'Data Induk Pegawai'!B:AE,12,FALSE),2)&amp;" Tahun "&amp;MID(VLOOKUP(F409,'Data Induk Pegawai'!B:AE,12,FALSE),5,4))</f>
        <v/>
      </c>
      <c r="S409" s="26" t="str">
        <f>IF(G409="","",VLOOKUP(F409,'Data Induk Pegawai'!B:AE,11,FALSE))</f>
        <v/>
      </c>
      <c r="T409" s="56"/>
      <c r="U409" s="18" t="str">
        <f t="shared" si="155"/>
        <v/>
      </c>
      <c r="V409" s="30"/>
      <c r="W409" s="18" t="str">
        <f t="shared" si="154"/>
        <v/>
      </c>
      <c r="Y409" t="str">
        <f t="shared" si="156"/>
        <v/>
      </c>
      <c r="Z409" t="str">
        <f t="shared" si="157"/>
        <v/>
      </c>
      <c r="AA409" t="str">
        <f t="shared" si="158"/>
        <v/>
      </c>
      <c r="AB409" t="str">
        <f>COUNTIFS(AC409:AC$596,AC409)&amp;AC409</f>
        <v>188</v>
      </c>
      <c r="AC409" t="str">
        <f t="shared" si="174"/>
        <v/>
      </c>
      <c r="AD409" t="str">
        <f>COUNTIFS(AC$2:AC409,AC409)&amp;AC409</f>
        <v>408</v>
      </c>
      <c r="AE409" t="str">
        <f t="shared" si="159"/>
        <v/>
      </c>
      <c r="AF409" t="str">
        <f t="shared" si="175"/>
        <v>..</v>
      </c>
      <c r="AG409" s="28" t="str">
        <f t="shared" si="151"/>
        <v/>
      </c>
      <c r="AH409" s="28" t="str">
        <f t="shared" si="160"/>
        <v/>
      </c>
      <c r="AI409" t="str">
        <f t="shared" si="161"/>
        <v/>
      </c>
      <c r="AJ409" t="str">
        <f t="shared" si="162"/>
        <v/>
      </c>
      <c r="AK409" t="str">
        <f t="shared" si="163"/>
        <v/>
      </c>
      <c r="AL409" t="str">
        <f t="shared" si="164"/>
        <v/>
      </c>
      <c r="AM409" t="str">
        <f t="shared" si="165"/>
        <v/>
      </c>
      <c r="AN409" t="str">
        <f t="shared" si="166"/>
        <v/>
      </c>
      <c r="AO409" t="str">
        <f t="shared" si="167"/>
        <v/>
      </c>
      <c r="AP409" t="str">
        <f t="shared" si="168"/>
        <v/>
      </c>
      <c r="AQ409" t="str">
        <f t="shared" si="169"/>
        <v/>
      </c>
      <c r="AR409" t="str">
        <f t="shared" si="170"/>
        <v/>
      </c>
      <c r="AS409" t="str">
        <f t="shared" si="171"/>
        <v/>
      </c>
      <c r="AT409" t="str">
        <f t="shared" si="172"/>
        <v/>
      </c>
      <c r="AU409" s="25" t="str">
        <f t="shared" si="176"/>
        <v/>
      </c>
      <c r="BA409">
        <f>'REGISTER SK'!F412</f>
        <v>0</v>
      </c>
    </row>
    <row r="410" spans="1:53" x14ac:dyDescent="0.35">
      <c r="A410" s="18">
        <v>409</v>
      </c>
      <c r="B410" s="18"/>
      <c r="C410" s="18" t="str">
        <f>IF(G410="","",IF(G410="Umum",G410,VLOOKUP(F410,'Data Induk Pegawai'!B:AE,4,FALSE)))</f>
        <v/>
      </c>
      <c r="D410" s="19" t="str">
        <f>IF('REGISTER SK'!A413="","",IF('REGISTER SK'!B413=0,D409,'REGISTER SK'!B413))</f>
        <v/>
      </c>
      <c r="E410" s="19" t="str">
        <f t="shared" si="173"/>
        <v/>
      </c>
      <c r="F410" s="29"/>
      <c r="G410" s="29"/>
      <c r="H410" s="31" t="str">
        <f>IF(F410="","",VLOOKUP(F410,'Data Induk Pegawai'!B:U,2,FALSE))</f>
        <v/>
      </c>
      <c r="I410" s="19" t="str">
        <f>IF('REGISTER SK'!C413="","",'REGISTER SK'!C413)</f>
        <v/>
      </c>
      <c r="J410" s="125"/>
      <c r="K410" s="125"/>
      <c r="L410" s="26" t="str">
        <f>IF('REGISTER SK'!D413="","",'REGISTER SK'!D413)</f>
        <v/>
      </c>
      <c r="M410" s="26" t="str">
        <f>IF('REGISTER SK'!E413="","",'REGISTER SK'!E413)</f>
        <v/>
      </c>
      <c r="N410" s="31" t="str">
        <f>IF(G410="","",IF(OR(G410="GTT",G410="PTT"),"--",VLOOKUP(F410,'Data Induk Pegawai'!B:AE,4,FALSE)))</f>
        <v/>
      </c>
      <c r="O410" s="18" t="str">
        <f>IF(G410="","",VLOOKUP(F410,'Data Induk Pegawai'!B:AE,6,FALSE))</f>
        <v/>
      </c>
      <c r="P410" s="31" t="str">
        <f>IF(G410="","",VLOOKUP(F410,'Data Induk Pegawai'!B:AE,7,FALSE))</f>
        <v/>
      </c>
      <c r="Q410" s="30"/>
      <c r="R410" s="26" t="str">
        <f>IF(G410="","","Nomor "&amp;RIGHT(VLOOKUP(F410,'Data Induk Pegawai'!B:AE,12,FALSE),2)&amp;" Tahun "&amp;MID(VLOOKUP(F410,'Data Induk Pegawai'!B:AE,12,FALSE),5,4))</f>
        <v/>
      </c>
      <c r="S410" s="26" t="str">
        <f>IF(G410="","",VLOOKUP(F410,'Data Induk Pegawai'!B:AE,11,FALSE))</f>
        <v/>
      </c>
      <c r="T410" s="56"/>
      <c r="U410" s="18" t="str">
        <f t="shared" si="155"/>
        <v/>
      </c>
      <c r="V410" s="30"/>
      <c r="W410" s="18" t="str">
        <f t="shared" si="154"/>
        <v/>
      </c>
      <c r="Y410" t="str">
        <f t="shared" si="156"/>
        <v/>
      </c>
      <c r="Z410" t="str">
        <f t="shared" si="157"/>
        <v/>
      </c>
      <c r="AA410" t="str">
        <f t="shared" si="158"/>
        <v/>
      </c>
      <c r="AB410" t="str">
        <f>COUNTIFS(AC410:AC$596,AC410)&amp;AC410</f>
        <v>187</v>
      </c>
      <c r="AC410" t="str">
        <f t="shared" si="174"/>
        <v/>
      </c>
      <c r="AD410" t="str">
        <f>COUNTIFS(AC$2:AC410,AC410)&amp;AC410</f>
        <v>409</v>
      </c>
      <c r="AE410" t="str">
        <f t="shared" si="159"/>
        <v/>
      </c>
      <c r="AF410" t="str">
        <f t="shared" si="175"/>
        <v>..</v>
      </c>
      <c r="AG410" s="28" t="str">
        <f t="shared" si="151"/>
        <v/>
      </c>
      <c r="AH410" s="28" t="str">
        <f t="shared" si="160"/>
        <v/>
      </c>
      <c r="AI410" t="str">
        <f t="shared" si="161"/>
        <v/>
      </c>
      <c r="AJ410" t="str">
        <f t="shared" si="162"/>
        <v/>
      </c>
      <c r="AK410" t="str">
        <f t="shared" si="163"/>
        <v/>
      </c>
      <c r="AL410" t="str">
        <f t="shared" si="164"/>
        <v/>
      </c>
      <c r="AM410" t="str">
        <f t="shared" si="165"/>
        <v/>
      </c>
      <c r="AN410" t="str">
        <f t="shared" si="166"/>
        <v/>
      </c>
      <c r="AO410" t="str">
        <f t="shared" si="167"/>
        <v/>
      </c>
      <c r="AP410" t="str">
        <f t="shared" si="168"/>
        <v/>
      </c>
      <c r="AQ410" t="str">
        <f t="shared" si="169"/>
        <v/>
      </c>
      <c r="AR410" t="str">
        <f t="shared" si="170"/>
        <v/>
      </c>
      <c r="AS410" t="str">
        <f t="shared" si="171"/>
        <v/>
      </c>
      <c r="AT410" t="str">
        <f t="shared" si="172"/>
        <v/>
      </c>
      <c r="AU410" s="25" t="str">
        <f t="shared" si="176"/>
        <v/>
      </c>
      <c r="BA410">
        <f>'REGISTER SK'!F413</f>
        <v>0</v>
      </c>
    </row>
    <row r="411" spans="1:53" x14ac:dyDescent="0.35">
      <c r="A411" s="18">
        <v>410</v>
      </c>
      <c r="B411" s="18"/>
      <c r="C411" s="18" t="str">
        <f>IF(G411="","",IF(G411="Umum",G411,VLOOKUP(F411,'Data Induk Pegawai'!B:AE,4,FALSE)))</f>
        <v/>
      </c>
      <c r="D411" s="19" t="str">
        <f>IF('REGISTER SK'!A414="","",IF('REGISTER SK'!B414=0,D410,'REGISTER SK'!B414))</f>
        <v/>
      </c>
      <c r="E411" s="19" t="str">
        <f t="shared" si="173"/>
        <v/>
      </c>
      <c r="F411" s="29"/>
      <c r="G411" s="29"/>
      <c r="H411" s="31" t="str">
        <f>IF(F411="","",VLOOKUP(F411,'Data Induk Pegawai'!B:U,2,FALSE))</f>
        <v/>
      </c>
      <c r="I411" s="19" t="str">
        <f>IF('REGISTER SK'!C414="","",'REGISTER SK'!C414)</f>
        <v/>
      </c>
      <c r="J411" s="125"/>
      <c r="K411" s="125"/>
      <c r="L411" s="26" t="str">
        <f>IF('REGISTER SK'!D414="","",'REGISTER SK'!D414)</f>
        <v/>
      </c>
      <c r="M411" s="26" t="str">
        <f>IF('REGISTER SK'!E414="","",'REGISTER SK'!E414)</f>
        <v/>
      </c>
      <c r="N411" s="31" t="str">
        <f>IF(G411="","",IF(OR(G411="GTT",G411="PTT"),"--",VLOOKUP(F411,'Data Induk Pegawai'!B:AE,4,FALSE)))</f>
        <v/>
      </c>
      <c r="O411" s="18" t="str">
        <f>IF(G411="","",VLOOKUP(F411,'Data Induk Pegawai'!B:AE,6,FALSE))</f>
        <v/>
      </c>
      <c r="P411" s="31" t="str">
        <f>IF(G411="","",VLOOKUP(F411,'Data Induk Pegawai'!B:AE,7,FALSE))</f>
        <v/>
      </c>
      <c r="Q411" s="30"/>
      <c r="R411" s="26" t="str">
        <f>IF(G411="","","Nomor "&amp;RIGHT(VLOOKUP(F411,'Data Induk Pegawai'!B:AE,12,FALSE),2)&amp;" Tahun "&amp;MID(VLOOKUP(F411,'Data Induk Pegawai'!B:AE,12,FALSE),5,4))</f>
        <v/>
      </c>
      <c r="S411" s="26" t="str">
        <f>IF(G411="","",VLOOKUP(F411,'Data Induk Pegawai'!B:AE,11,FALSE))</f>
        <v/>
      </c>
      <c r="T411" s="56"/>
      <c r="U411" s="18" t="str">
        <f t="shared" si="155"/>
        <v/>
      </c>
      <c r="V411" s="30"/>
      <c r="W411" s="18" t="str">
        <f t="shared" si="154"/>
        <v/>
      </c>
      <c r="Y411" t="str">
        <f t="shared" si="156"/>
        <v/>
      </c>
      <c r="Z411" t="str">
        <f t="shared" si="157"/>
        <v/>
      </c>
      <c r="AA411" t="str">
        <f t="shared" si="158"/>
        <v/>
      </c>
      <c r="AB411" t="str">
        <f>COUNTIFS(AC411:AC$596,AC411)&amp;AC411</f>
        <v>186</v>
      </c>
      <c r="AC411" t="str">
        <f t="shared" si="174"/>
        <v/>
      </c>
      <c r="AD411" t="str">
        <f>COUNTIFS(AC$2:AC411,AC411)&amp;AC411</f>
        <v>410</v>
      </c>
      <c r="AE411" t="str">
        <f t="shared" si="159"/>
        <v/>
      </c>
      <c r="AF411" t="str">
        <f t="shared" si="175"/>
        <v>..</v>
      </c>
      <c r="AG411" s="28" t="str">
        <f t="shared" si="151"/>
        <v/>
      </c>
      <c r="AH411" s="28" t="str">
        <f t="shared" si="160"/>
        <v/>
      </c>
      <c r="AI411" t="str">
        <f t="shared" si="161"/>
        <v/>
      </c>
      <c r="AJ411" t="str">
        <f t="shared" si="162"/>
        <v/>
      </c>
      <c r="AK411" t="str">
        <f t="shared" si="163"/>
        <v/>
      </c>
      <c r="AL411" t="str">
        <f t="shared" si="164"/>
        <v/>
      </c>
      <c r="AM411" t="str">
        <f t="shared" si="165"/>
        <v/>
      </c>
      <c r="AN411" t="str">
        <f t="shared" si="166"/>
        <v/>
      </c>
      <c r="AO411" t="str">
        <f t="shared" si="167"/>
        <v/>
      </c>
      <c r="AP411" t="str">
        <f t="shared" si="168"/>
        <v/>
      </c>
      <c r="AQ411" t="str">
        <f t="shared" si="169"/>
        <v/>
      </c>
      <c r="AR411" t="str">
        <f t="shared" si="170"/>
        <v/>
      </c>
      <c r="AS411" t="str">
        <f t="shared" si="171"/>
        <v/>
      </c>
      <c r="AT411" t="str">
        <f t="shared" si="172"/>
        <v/>
      </c>
      <c r="AU411" s="25" t="str">
        <f t="shared" si="176"/>
        <v/>
      </c>
      <c r="BA411">
        <f>'REGISTER SK'!F414</f>
        <v>0</v>
      </c>
    </row>
    <row r="412" spans="1:53" x14ac:dyDescent="0.35">
      <c r="A412" s="18">
        <v>411</v>
      </c>
      <c r="B412" s="18"/>
      <c r="C412" s="18" t="str">
        <f>IF(G412="","",IF(G412="Umum",G412,VLOOKUP(F412,'Data Induk Pegawai'!B:AE,4,FALSE)))</f>
        <v/>
      </c>
      <c r="D412" s="19" t="str">
        <f>IF('REGISTER SK'!A415="","",IF('REGISTER SK'!B415=0,D411,'REGISTER SK'!B415))</f>
        <v/>
      </c>
      <c r="E412" s="19" t="str">
        <f t="shared" si="173"/>
        <v/>
      </c>
      <c r="F412" s="29"/>
      <c r="G412" s="29"/>
      <c r="H412" s="31" t="str">
        <f>IF(F412="","",VLOOKUP(F412,'Data Induk Pegawai'!B:U,2,FALSE))</f>
        <v/>
      </c>
      <c r="I412" s="19" t="str">
        <f>IF('REGISTER SK'!C415="","",'REGISTER SK'!C415)</f>
        <v/>
      </c>
      <c r="J412" s="125"/>
      <c r="K412" s="125"/>
      <c r="L412" s="26" t="str">
        <f>IF('REGISTER SK'!D415="","",'REGISTER SK'!D415)</f>
        <v/>
      </c>
      <c r="M412" s="26" t="str">
        <f>IF('REGISTER SK'!E415="","",'REGISTER SK'!E415)</f>
        <v/>
      </c>
      <c r="N412" s="31" t="str">
        <f>IF(G412="","",IF(OR(G412="GTT",G412="PTT"),"--",VLOOKUP(F412,'Data Induk Pegawai'!B:AE,4,FALSE)))</f>
        <v/>
      </c>
      <c r="O412" s="18" t="str">
        <f>IF(G412="","",VLOOKUP(F412,'Data Induk Pegawai'!B:AE,6,FALSE))</f>
        <v/>
      </c>
      <c r="P412" s="31" t="str">
        <f>IF(G412="","",VLOOKUP(F412,'Data Induk Pegawai'!B:AE,7,FALSE))</f>
        <v/>
      </c>
      <c r="Q412" s="30"/>
      <c r="R412" s="26" t="str">
        <f>IF(G412="","","Nomor "&amp;RIGHT(VLOOKUP(F412,'Data Induk Pegawai'!B:AE,12,FALSE),2)&amp;" Tahun "&amp;MID(VLOOKUP(F412,'Data Induk Pegawai'!B:AE,12,FALSE),5,4))</f>
        <v/>
      </c>
      <c r="S412" s="26" t="str">
        <f>IF(G412="","",VLOOKUP(F412,'Data Induk Pegawai'!B:AE,11,FALSE))</f>
        <v/>
      </c>
      <c r="T412" s="56"/>
      <c r="U412" s="18" t="str">
        <f t="shared" si="155"/>
        <v/>
      </c>
      <c r="V412" s="30"/>
      <c r="W412" s="18" t="str">
        <f t="shared" si="154"/>
        <v/>
      </c>
      <c r="Y412" t="str">
        <f t="shared" si="156"/>
        <v/>
      </c>
      <c r="Z412" t="str">
        <f t="shared" si="157"/>
        <v/>
      </c>
      <c r="AA412" t="str">
        <f t="shared" si="158"/>
        <v/>
      </c>
      <c r="AB412" t="str">
        <f>COUNTIFS(AC412:AC$596,AC412)&amp;AC412</f>
        <v>185</v>
      </c>
      <c r="AC412" t="str">
        <f t="shared" si="174"/>
        <v/>
      </c>
      <c r="AD412" t="str">
        <f>COUNTIFS(AC$2:AC412,AC412)&amp;AC412</f>
        <v>411</v>
      </c>
      <c r="AE412" t="str">
        <f t="shared" si="159"/>
        <v/>
      </c>
      <c r="AF412" t="str">
        <f t="shared" si="175"/>
        <v>..</v>
      </c>
      <c r="AG412" s="28" t="str">
        <f t="shared" si="151"/>
        <v/>
      </c>
      <c r="AH412" s="28" t="str">
        <f t="shared" si="160"/>
        <v/>
      </c>
      <c r="AI412" t="str">
        <f t="shared" si="161"/>
        <v/>
      </c>
      <c r="AJ412" t="str">
        <f t="shared" si="162"/>
        <v/>
      </c>
      <c r="AK412" t="str">
        <f t="shared" si="163"/>
        <v/>
      </c>
      <c r="AL412" t="str">
        <f t="shared" si="164"/>
        <v/>
      </c>
      <c r="AM412" t="str">
        <f t="shared" si="165"/>
        <v/>
      </c>
      <c r="AN412" t="str">
        <f t="shared" si="166"/>
        <v/>
      </c>
      <c r="AO412" t="str">
        <f t="shared" si="167"/>
        <v/>
      </c>
      <c r="AP412" t="str">
        <f t="shared" si="168"/>
        <v/>
      </c>
      <c r="AQ412" t="str">
        <f t="shared" si="169"/>
        <v/>
      </c>
      <c r="AR412" t="str">
        <f t="shared" si="170"/>
        <v/>
      </c>
      <c r="AS412" t="str">
        <f t="shared" si="171"/>
        <v/>
      </c>
      <c r="AT412" t="str">
        <f t="shared" si="172"/>
        <v/>
      </c>
      <c r="AU412" s="25" t="str">
        <f t="shared" si="176"/>
        <v/>
      </c>
      <c r="BA412">
        <f>'REGISTER SK'!F415</f>
        <v>0</v>
      </c>
    </row>
    <row r="413" spans="1:53" x14ac:dyDescent="0.35">
      <c r="A413" s="18">
        <v>412</v>
      </c>
      <c r="B413" s="18"/>
      <c r="C413" s="18" t="str">
        <f>IF(G413="","",IF(G413="Umum",G413,VLOOKUP(F413,'Data Induk Pegawai'!B:AE,4,FALSE)))</f>
        <v/>
      </c>
      <c r="D413" s="19" t="str">
        <f>IF('REGISTER SK'!A416="","",IF('REGISTER SK'!B416=0,D412,'REGISTER SK'!B416))</f>
        <v/>
      </c>
      <c r="E413" s="19" t="str">
        <f t="shared" si="173"/>
        <v/>
      </c>
      <c r="F413" s="29"/>
      <c r="G413" s="29"/>
      <c r="H413" s="31" t="str">
        <f>IF(F413="","",VLOOKUP(F413,'Data Induk Pegawai'!B:U,2,FALSE))</f>
        <v/>
      </c>
      <c r="I413" s="19" t="str">
        <f>IF('REGISTER SK'!C416="","",'REGISTER SK'!C416)</f>
        <v/>
      </c>
      <c r="J413" s="125"/>
      <c r="K413" s="125"/>
      <c r="L413" s="26" t="str">
        <f>IF('REGISTER SK'!D416="","",'REGISTER SK'!D416)</f>
        <v/>
      </c>
      <c r="M413" s="26" t="str">
        <f>IF('REGISTER SK'!E416="","",'REGISTER SK'!E416)</f>
        <v/>
      </c>
      <c r="N413" s="31" t="str">
        <f>IF(G413="","",IF(OR(G413="GTT",G413="PTT"),"--",VLOOKUP(F413,'Data Induk Pegawai'!B:AE,4,FALSE)))</f>
        <v/>
      </c>
      <c r="O413" s="18" t="str">
        <f>IF(G413="","",VLOOKUP(F413,'Data Induk Pegawai'!B:AE,6,FALSE))</f>
        <v/>
      </c>
      <c r="P413" s="31" t="str">
        <f>IF(G413="","",VLOOKUP(F413,'Data Induk Pegawai'!B:AE,7,FALSE))</f>
        <v/>
      </c>
      <c r="Q413" s="30"/>
      <c r="R413" s="26" t="str">
        <f>IF(G413="","","Nomor "&amp;RIGHT(VLOOKUP(F413,'Data Induk Pegawai'!B:AE,12,FALSE),2)&amp;" Tahun "&amp;MID(VLOOKUP(F413,'Data Induk Pegawai'!B:AE,12,FALSE),5,4))</f>
        <v/>
      </c>
      <c r="S413" s="26" t="str">
        <f>IF(G413="","",VLOOKUP(F413,'Data Induk Pegawai'!B:AE,11,FALSE))</f>
        <v/>
      </c>
      <c r="T413" s="56"/>
      <c r="U413" s="18" t="str">
        <f t="shared" si="155"/>
        <v/>
      </c>
      <c r="V413" s="30"/>
      <c r="W413" s="18" t="str">
        <f t="shared" si="154"/>
        <v/>
      </c>
      <c r="Y413" t="str">
        <f t="shared" si="156"/>
        <v/>
      </c>
      <c r="Z413" t="str">
        <f t="shared" si="157"/>
        <v/>
      </c>
      <c r="AA413" t="str">
        <f t="shared" si="158"/>
        <v/>
      </c>
      <c r="AB413" t="str">
        <f>COUNTIFS(AC413:AC$596,AC413)&amp;AC413</f>
        <v>184</v>
      </c>
      <c r="AC413" t="str">
        <f t="shared" si="174"/>
        <v/>
      </c>
      <c r="AD413" t="str">
        <f>COUNTIFS(AC$2:AC413,AC413)&amp;AC413</f>
        <v>412</v>
      </c>
      <c r="AE413" t="str">
        <f t="shared" si="159"/>
        <v/>
      </c>
      <c r="AF413" t="str">
        <f t="shared" si="175"/>
        <v>..</v>
      </c>
      <c r="AG413" s="28" t="str">
        <f t="shared" si="151"/>
        <v/>
      </c>
      <c r="AH413" s="28" t="str">
        <f t="shared" si="160"/>
        <v/>
      </c>
      <c r="AI413" t="str">
        <f t="shared" si="161"/>
        <v/>
      </c>
      <c r="AJ413" t="str">
        <f t="shared" si="162"/>
        <v/>
      </c>
      <c r="AK413" t="str">
        <f t="shared" si="163"/>
        <v/>
      </c>
      <c r="AL413" t="str">
        <f t="shared" si="164"/>
        <v/>
      </c>
      <c r="AM413" t="str">
        <f t="shared" si="165"/>
        <v/>
      </c>
      <c r="AN413" t="str">
        <f t="shared" si="166"/>
        <v/>
      </c>
      <c r="AO413" t="str">
        <f t="shared" si="167"/>
        <v/>
      </c>
      <c r="AP413" t="str">
        <f t="shared" si="168"/>
        <v/>
      </c>
      <c r="AQ413" t="str">
        <f t="shared" si="169"/>
        <v/>
      </c>
      <c r="AR413" t="str">
        <f t="shared" si="170"/>
        <v/>
      </c>
      <c r="AS413" t="str">
        <f t="shared" si="171"/>
        <v/>
      </c>
      <c r="AT413" t="str">
        <f t="shared" si="172"/>
        <v/>
      </c>
      <c r="AU413" s="25" t="str">
        <f t="shared" si="176"/>
        <v/>
      </c>
      <c r="BA413">
        <f>'REGISTER SK'!F416</f>
        <v>0</v>
      </c>
    </row>
    <row r="414" spans="1:53" x14ac:dyDescent="0.35">
      <c r="A414" s="18">
        <v>413</v>
      </c>
      <c r="B414" s="18"/>
      <c r="C414" s="18" t="str">
        <f>IF(G414="","",IF(G414="Umum",G414,VLOOKUP(F414,'Data Induk Pegawai'!B:AE,4,FALSE)))</f>
        <v/>
      </c>
      <c r="D414" s="19" t="str">
        <f>IF('REGISTER SK'!A417="","",IF('REGISTER SK'!B417=0,D413,'REGISTER SK'!B417))</f>
        <v/>
      </c>
      <c r="E414" s="19" t="str">
        <f t="shared" si="173"/>
        <v/>
      </c>
      <c r="F414" s="29"/>
      <c r="G414" s="29"/>
      <c r="H414" s="31" t="str">
        <f>IF(F414="","",VLOOKUP(F414,'Data Induk Pegawai'!B:U,2,FALSE))</f>
        <v/>
      </c>
      <c r="I414" s="19" t="str">
        <f>IF('REGISTER SK'!C417="","",'REGISTER SK'!C417)</f>
        <v/>
      </c>
      <c r="J414" s="125"/>
      <c r="K414" s="125"/>
      <c r="L414" s="26" t="str">
        <f>IF('REGISTER SK'!D417="","",'REGISTER SK'!D417)</f>
        <v/>
      </c>
      <c r="M414" s="26" t="str">
        <f>IF('REGISTER SK'!E417="","",'REGISTER SK'!E417)</f>
        <v/>
      </c>
      <c r="N414" s="31" t="str">
        <f>IF(G414="","",IF(OR(G414="GTT",G414="PTT"),"--",VLOOKUP(F414,'Data Induk Pegawai'!B:AE,4,FALSE)))</f>
        <v/>
      </c>
      <c r="O414" s="18" t="str">
        <f>IF(G414="","",VLOOKUP(F414,'Data Induk Pegawai'!B:AE,6,FALSE))</f>
        <v/>
      </c>
      <c r="P414" s="31" t="str">
        <f>IF(G414="","",VLOOKUP(F414,'Data Induk Pegawai'!B:AE,7,FALSE))</f>
        <v/>
      </c>
      <c r="Q414" s="30"/>
      <c r="R414" s="26" t="str">
        <f>IF(G414="","","Nomor "&amp;RIGHT(VLOOKUP(F414,'Data Induk Pegawai'!B:AE,12,FALSE),2)&amp;" Tahun "&amp;MID(VLOOKUP(F414,'Data Induk Pegawai'!B:AE,12,FALSE),5,4))</f>
        <v/>
      </c>
      <c r="S414" s="26" t="str">
        <f>IF(G414="","",VLOOKUP(F414,'Data Induk Pegawai'!B:AE,11,FALSE))</f>
        <v/>
      </c>
      <c r="T414" s="56"/>
      <c r="U414" s="18" t="str">
        <f t="shared" si="155"/>
        <v/>
      </c>
      <c r="V414" s="30"/>
      <c r="W414" s="18" t="str">
        <f t="shared" si="154"/>
        <v/>
      </c>
      <c r="Y414" t="str">
        <f t="shared" si="156"/>
        <v/>
      </c>
      <c r="Z414" t="str">
        <f t="shared" si="157"/>
        <v/>
      </c>
      <c r="AA414" t="str">
        <f t="shared" si="158"/>
        <v/>
      </c>
      <c r="AB414" t="str">
        <f>COUNTIFS(AC414:AC$596,AC414)&amp;AC414</f>
        <v>183</v>
      </c>
      <c r="AC414" t="str">
        <f t="shared" si="174"/>
        <v/>
      </c>
      <c r="AD414" t="str">
        <f>COUNTIFS(AC$2:AC414,AC414)&amp;AC414</f>
        <v>413</v>
      </c>
      <c r="AE414" t="str">
        <f t="shared" si="159"/>
        <v/>
      </c>
      <c r="AF414" t="str">
        <f t="shared" si="175"/>
        <v>..</v>
      </c>
      <c r="AG414" s="28" t="str">
        <f t="shared" si="151"/>
        <v/>
      </c>
      <c r="AH414" s="28" t="str">
        <f t="shared" si="160"/>
        <v/>
      </c>
      <c r="AI414" t="str">
        <f t="shared" si="161"/>
        <v/>
      </c>
      <c r="AJ414" t="str">
        <f t="shared" si="162"/>
        <v/>
      </c>
      <c r="AK414" t="str">
        <f t="shared" si="163"/>
        <v/>
      </c>
      <c r="AL414" t="str">
        <f t="shared" si="164"/>
        <v/>
      </c>
      <c r="AM414" t="str">
        <f t="shared" si="165"/>
        <v/>
      </c>
      <c r="AN414" t="str">
        <f t="shared" si="166"/>
        <v/>
      </c>
      <c r="AO414" t="str">
        <f t="shared" si="167"/>
        <v/>
      </c>
      <c r="AP414" t="str">
        <f t="shared" si="168"/>
        <v/>
      </c>
      <c r="AQ414" t="str">
        <f t="shared" si="169"/>
        <v/>
      </c>
      <c r="AR414" t="str">
        <f t="shared" si="170"/>
        <v/>
      </c>
      <c r="AS414" t="str">
        <f t="shared" si="171"/>
        <v/>
      </c>
      <c r="AT414" t="str">
        <f t="shared" si="172"/>
        <v/>
      </c>
      <c r="AU414" s="25" t="str">
        <f t="shared" si="176"/>
        <v/>
      </c>
      <c r="BA414">
        <f>'REGISTER SK'!F417</f>
        <v>0</v>
      </c>
    </row>
    <row r="415" spans="1:53" x14ac:dyDescent="0.35">
      <c r="A415" s="18">
        <v>414</v>
      </c>
      <c r="B415" s="18"/>
      <c r="C415" s="18" t="str">
        <f>IF(G415="","",IF(G415="Umum",G415,VLOOKUP(F415,'Data Induk Pegawai'!B:AE,4,FALSE)))</f>
        <v/>
      </c>
      <c r="D415" s="19" t="str">
        <f>IF('REGISTER SK'!A418="","",IF('REGISTER SK'!B418=0,D414,'REGISTER SK'!B418))</f>
        <v/>
      </c>
      <c r="E415" s="19" t="str">
        <f t="shared" si="173"/>
        <v/>
      </c>
      <c r="F415" s="29"/>
      <c r="G415" s="29"/>
      <c r="H415" s="31" t="str">
        <f>IF(F415="","",VLOOKUP(F415,'Data Induk Pegawai'!B:U,2,FALSE))</f>
        <v/>
      </c>
      <c r="I415" s="19" t="str">
        <f>IF('REGISTER SK'!C418="","",'REGISTER SK'!C418)</f>
        <v/>
      </c>
      <c r="J415" s="125"/>
      <c r="K415" s="125"/>
      <c r="L415" s="26" t="str">
        <f>IF('REGISTER SK'!D418="","",'REGISTER SK'!D418)</f>
        <v/>
      </c>
      <c r="M415" s="26" t="str">
        <f>IF('REGISTER SK'!E418="","",'REGISTER SK'!E418)</f>
        <v/>
      </c>
      <c r="N415" s="31" t="str">
        <f>IF(G415="","",IF(OR(G415="GTT",G415="PTT"),"--",VLOOKUP(F415,'Data Induk Pegawai'!B:AE,4,FALSE)))</f>
        <v/>
      </c>
      <c r="O415" s="18" t="str">
        <f>IF(G415="","",VLOOKUP(F415,'Data Induk Pegawai'!B:AE,6,FALSE))</f>
        <v/>
      </c>
      <c r="P415" s="31" t="str">
        <f>IF(G415="","",VLOOKUP(F415,'Data Induk Pegawai'!B:AE,7,FALSE))</f>
        <v/>
      </c>
      <c r="Q415" s="30"/>
      <c r="R415" s="26" t="str">
        <f>IF(G415="","","Nomor "&amp;RIGHT(VLOOKUP(F415,'Data Induk Pegawai'!B:AE,12,FALSE),2)&amp;" Tahun "&amp;MID(VLOOKUP(F415,'Data Induk Pegawai'!B:AE,12,FALSE),5,4))</f>
        <v/>
      </c>
      <c r="S415" s="26" t="str">
        <f>IF(G415="","",VLOOKUP(F415,'Data Induk Pegawai'!B:AE,11,FALSE))</f>
        <v/>
      </c>
      <c r="T415" s="56"/>
      <c r="U415" s="18" t="str">
        <f t="shared" si="155"/>
        <v/>
      </c>
      <c r="V415" s="30"/>
      <c r="W415" s="18" t="str">
        <f t="shared" si="154"/>
        <v/>
      </c>
      <c r="Y415" t="str">
        <f t="shared" si="156"/>
        <v/>
      </c>
      <c r="Z415" t="str">
        <f t="shared" si="157"/>
        <v/>
      </c>
      <c r="AA415" t="str">
        <f t="shared" si="158"/>
        <v/>
      </c>
      <c r="AB415" t="str">
        <f>COUNTIFS(AC415:AC$596,AC415)&amp;AC415</f>
        <v>182</v>
      </c>
      <c r="AC415" t="str">
        <f t="shared" si="174"/>
        <v/>
      </c>
      <c r="AD415" t="str">
        <f>COUNTIFS(AC$2:AC415,AC415)&amp;AC415</f>
        <v>414</v>
      </c>
      <c r="AE415" t="str">
        <f t="shared" si="159"/>
        <v/>
      </c>
      <c r="AF415" t="str">
        <f t="shared" si="175"/>
        <v>..</v>
      </c>
      <c r="AG415" s="28" t="str">
        <f t="shared" si="151"/>
        <v/>
      </c>
      <c r="AH415" s="28" t="str">
        <f t="shared" si="160"/>
        <v/>
      </c>
      <c r="AI415" t="str">
        <f t="shared" si="161"/>
        <v/>
      </c>
      <c r="AJ415" t="str">
        <f t="shared" si="162"/>
        <v/>
      </c>
      <c r="AK415" t="str">
        <f t="shared" si="163"/>
        <v/>
      </c>
      <c r="AL415" t="str">
        <f t="shared" si="164"/>
        <v/>
      </c>
      <c r="AM415" t="str">
        <f t="shared" si="165"/>
        <v/>
      </c>
      <c r="AN415" t="str">
        <f t="shared" si="166"/>
        <v/>
      </c>
      <c r="AO415" t="str">
        <f t="shared" si="167"/>
        <v/>
      </c>
      <c r="AP415" t="str">
        <f t="shared" si="168"/>
        <v/>
      </c>
      <c r="AQ415" t="str">
        <f t="shared" si="169"/>
        <v/>
      </c>
      <c r="AR415" t="str">
        <f t="shared" si="170"/>
        <v/>
      </c>
      <c r="AS415" t="str">
        <f t="shared" si="171"/>
        <v/>
      </c>
      <c r="AT415" t="str">
        <f t="shared" si="172"/>
        <v/>
      </c>
      <c r="AU415" s="25" t="str">
        <f t="shared" si="176"/>
        <v/>
      </c>
      <c r="BA415">
        <f>'REGISTER SK'!F418</f>
        <v>0</v>
      </c>
    </row>
    <row r="416" spans="1:53" x14ac:dyDescent="0.35">
      <c r="A416" s="18">
        <v>415</v>
      </c>
      <c r="B416" s="18"/>
      <c r="C416" s="18" t="str">
        <f>IF(G416="","",IF(G416="Umum",G416,VLOOKUP(F416,'Data Induk Pegawai'!B:AE,4,FALSE)))</f>
        <v/>
      </c>
      <c r="D416" s="19" t="str">
        <f>IF('REGISTER SK'!A419="","",IF('REGISTER SK'!B419=0,D415,'REGISTER SK'!B419))</f>
        <v/>
      </c>
      <c r="E416" s="19" t="str">
        <f t="shared" si="173"/>
        <v/>
      </c>
      <c r="F416" s="29"/>
      <c r="G416" s="29"/>
      <c r="H416" s="31" t="str">
        <f>IF(F416="","",VLOOKUP(F416,'Data Induk Pegawai'!B:U,2,FALSE))</f>
        <v/>
      </c>
      <c r="I416" s="19" t="str">
        <f>IF('REGISTER SK'!C419="","",'REGISTER SK'!C419)</f>
        <v/>
      </c>
      <c r="J416" s="125"/>
      <c r="K416" s="125"/>
      <c r="L416" s="26" t="str">
        <f>IF('REGISTER SK'!D419="","",'REGISTER SK'!D419)</f>
        <v/>
      </c>
      <c r="M416" s="26" t="str">
        <f>IF('REGISTER SK'!E419="","",'REGISTER SK'!E419)</f>
        <v/>
      </c>
      <c r="N416" s="31" t="str">
        <f>IF(G416="","",IF(OR(G416="GTT",G416="PTT"),"--",VLOOKUP(F416,'Data Induk Pegawai'!B:AE,4,FALSE)))</f>
        <v/>
      </c>
      <c r="O416" s="18" t="str">
        <f>IF(G416="","",VLOOKUP(F416,'Data Induk Pegawai'!B:AE,6,FALSE))</f>
        <v/>
      </c>
      <c r="P416" s="31" t="str">
        <f>IF(G416="","",VLOOKUP(F416,'Data Induk Pegawai'!B:AE,7,FALSE))</f>
        <v/>
      </c>
      <c r="Q416" s="30"/>
      <c r="R416" s="26" t="str">
        <f>IF(G416="","","Nomor "&amp;RIGHT(VLOOKUP(F416,'Data Induk Pegawai'!B:AE,12,FALSE),2)&amp;" Tahun "&amp;MID(VLOOKUP(F416,'Data Induk Pegawai'!B:AE,12,FALSE),5,4))</f>
        <v/>
      </c>
      <c r="S416" s="26" t="str">
        <f>IF(G416="","",VLOOKUP(F416,'Data Induk Pegawai'!B:AE,11,FALSE))</f>
        <v/>
      </c>
      <c r="T416" s="56"/>
      <c r="U416" s="18" t="str">
        <f t="shared" si="155"/>
        <v/>
      </c>
      <c r="V416" s="30"/>
      <c r="W416" s="18" t="str">
        <f t="shared" si="154"/>
        <v/>
      </c>
      <c r="Y416" t="str">
        <f t="shared" si="156"/>
        <v/>
      </c>
      <c r="Z416" t="str">
        <f t="shared" si="157"/>
        <v/>
      </c>
      <c r="AA416" t="str">
        <f t="shared" si="158"/>
        <v/>
      </c>
      <c r="AB416" t="str">
        <f>COUNTIFS(AC416:AC$596,AC416)&amp;AC416</f>
        <v>181</v>
      </c>
      <c r="AC416" t="str">
        <f t="shared" si="174"/>
        <v/>
      </c>
      <c r="AD416" t="str">
        <f>COUNTIFS(AC$2:AC416,AC416)&amp;AC416</f>
        <v>415</v>
      </c>
      <c r="AE416" t="str">
        <f t="shared" si="159"/>
        <v/>
      </c>
      <c r="AF416" t="str">
        <f t="shared" si="175"/>
        <v>..</v>
      </c>
      <c r="AG416" s="28" t="str">
        <f t="shared" si="151"/>
        <v/>
      </c>
      <c r="AH416" s="28" t="str">
        <f t="shared" si="160"/>
        <v/>
      </c>
      <c r="AI416" t="str">
        <f t="shared" si="161"/>
        <v/>
      </c>
      <c r="AJ416" t="str">
        <f t="shared" si="162"/>
        <v/>
      </c>
      <c r="AK416" t="str">
        <f t="shared" si="163"/>
        <v/>
      </c>
      <c r="AL416" t="str">
        <f t="shared" si="164"/>
        <v/>
      </c>
      <c r="AM416" t="str">
        <f t="shared" si="165"/>
        <v/>
      </c>
      <c r="AN416" t="str">
        <f t="shared" si="166"/>
        <v/>
      </c>
      <c r="AO416" t="str">
        <f t="shared" si="167"/>
        <v/>
      </c>
      <c r="AP416" t="str">
        <f t="shared" si="168"/>
        <v/>
      </c>
      <c r="AQ416" t="str">
        <f t="shared" si="169"/>
        <v/>
      </c>
      <c r="AR416" t="str">
        <f t="shared" si="170"/>
        <v/>
      </c>
      <c r="AS416" t="str">
        <f t="shared" si="171"/>
        <v/>
      </c>
      <c r="AT416" t="str">
        <f t="shared" si="172"/>
        <v/>
      </c>
      <c r="AU416" s="25" t="str">
        <f t="shared" si="176"/>
        <v/>
      </c>
      <c r="BA416">
        <f>'REGISTER SK'!F419</f>
        <v>0</v>
      </c>
    </row>
    <row r="417" spans="1:53" x14ac:dyDescent="0.35">
      <c r="A417" s="18">
        <v>416</v>
      </c>
      <c r="B417" s="18"/>
      <c r="C417" s="18" t="str">
        <f>IF(G417="","",IF(G417="Umum",G417,VLOOKUP(F417,'Data Induk Pegawai'!B:AE,4,FALSE)))</f>
        <v/>
      </c>
      <c r="D417" s="19" t="str">
        <f>IF('REGISTER SK'!A420="","",IF('REGISTER SK'!B420=0,D416,'REGISTER SK'!B420))</f>
        <v/>
      </c>
      <c r="E417" s="19" t="str">
        <f t="shared" si="173"/>
        <v/>
      </c>
      <c r="F417" s="29"/>
      <c r="G417" s="29"/>
      <c r="H417" s="31" t="str">
        <f>IF(F417="","",VLOOKUP(F417,'Data Induk Pegawai'!B:U,2,FALSE))</f>
        <v/>
      </c>
      <c r="I417" s="19" t="str">
        <f>IF('REGISTER SK'!C420="","",'REGISTER SK'!C420)</f>
        <v/>
      </c>
      <c r="J417" s="125"/>
      <c r="K417" s="125"/>
      <c r="L417" s="26" t="str">
        <f>IF('REGISTER SK'!D420="","",'REGISTER SK'!D420)</f>
        <v/>
      </c>
      <c r="M417" s="26" t="str">
        <f>IF('REGISTER SK'!E420="","",'REGISTER SK'!E420)</f>
        <v/>
      </c>
      <c r="N417" s="31" t="str">
        <f>IF(G417="","",IF(OR(G417="GTT",G417="PTT"),"--",VLOOKUP(F417,'Data Induk Pegawai'!B:AE,4,FALSE)))</f>
        <v/>
      </c>
      <c r="O417" s="18" t="str">
        <f>IF(G417="","",VLOOKUP(F417,'Data Induk Pegawai'!B:AE,6,FALSE))</f>
        <v/>
      </c>
      <c r="P417" s="31" t="str">
        <f>IF(G417="","",VLOOKUP(F417,'Data Induk Pegawai'!B:AE,7,FALSE))</f>
        <v/>
      </c>
      <c r="Q417" s="30"/>
      <c r="R417" s="26" t="str">
        <f>IF(G417="","","Nomor "&amp;RIGHT(VLOOKUP(F417,'Data Induk Pegawai'!B:AE,12,FALSE),2)&amp;" Tahun "&amp;MID(VLOOKUP(F417,'Data Induk Pegawai'!B:AE,12,FALSE),5,4))</f>
        <v/>
      </c>
      <c r="S417" s="26" t="str">
        <f>IF(G417="","",VLOOKUP(F417,'Data Induk Pegawai'!B:AE,11,FALSE))</f>
        <v/>
      </c>
      <c r="T417" s="56"/>
      <c r="U417" s="18" t="str">
        <f t="shared" si="155"/>
        <v/>
      </c>
      <c r="V417" s="30"/>
      <c r="W417" s="18" t="str">
        <f t="shared" si="154"/>
        <v/>
      </c>
      <c r="Y417" t="str">
        <f t="shared" si="156"/>
        <v/>
      </c>
      <c r="Z417" t="str">
        <f t="shared" si="157"/>
        <v/>
      </c>
      <c r="AA417" t="str">
        <f t="shared" si="158"/>
        <v/>
      </c>
      <c r="AB417" t="str">
        <f>COUNTIFS(AC417:AC$596,AC417)&amp;AC417</f>
        <v>180</v>
      </c>
      <c r="AC417" t="str">
        <f t="shared" si="174"/>
        <v/>
      </c>
      <c r="AD417" t="str">
        <f>COUNTIFS(AC$2:AC417,AC417)&amp;AC417</f>
        <v>416</v>
      </c>
      <c r="AE417" t="str">
        <f t="shared" si="159"/>
        <v/>
      </c>
      <c r="AF417" t="str">
        <f t="shared" si="175"/>
        <v>..</v>
      </c>
      <c r="AG417" s="28" t="str">
        <f t="shared" si="151"/>
        <v/>
      </c>
      <c r="AH417" s="28" t="str">
        <f t="shared" si="160"/>
        <v/>
      </c>
      <c r="AI417" t="str">
        <f t="shared" si="161"/>
        <v/>
      </c>
      <c r="AJ417" t="str">
        <f t="shared" si="162"/>
        <v/>
      </c>
      <c r="AK417" t="str">
        <f t="shared" si="163"/>
        <v/>
      </c>
      <c r="AL417" t="str">
        <f t="shared" si="164"/>
        <v/>
      </c>
      <c r="AM417" t="str">
        <f t="shared" si="165"/>
        <v/>
      </c>
      <c r="AN417" t="str">
        <f t="shared" si="166"/>
        <v/>
      </c>
      <c r="AO417" t="str">
        <f t="shared" si="167"/>
        <v/>
      </c>
      <c r="AP417" t="str">
        <f t="shared" si="168"/>
        <v/>
      </c>
      <c r="AQ417" t="str">
        <f t="shared" si="169"/>
        <v/>
      </c>
      <c r="AR417" t="str">
        <f t="shared" si="170"/>
        <v/>
      </c>
      <c r="AS417" t="str">
        <f t="shared" si="171"/>
        <v/>
      </c>
      <c r="AT417" t="str">
        <f t="shared" si="172"/>
        <v/>
      </c>
      <c r="AU417" s="25" t="str">
        <f t="shared" si="176"/>
        <v/>
      </c>
      <c r="BA417">
        <f>'REGISTER SK'!F420</f>
        <v>0</v>
      </c>
    </row>
    <row r="418" spans="1:53" x14ac:dyDescent="0.35">
      <c r="A418" s="18">
        <v>417</v>
      </c>
      <c r="B418" s="18"/>
      <c r="C418" s="18" t="str">
        <f>IF(G418="","",IF(G418="Umum",G418,VLOOKUP(F418,'Data Induk Pegawai'!B:AE,4,FALSE)))</f>
        <v/>
      </c>
      <c r="D418" s="19" t="str">
        <f>IF('REGISTER SK'!A421="","",IF('REGISTER SK'!B421=0,D417,'REGISTER SK'!B421))</f>
        <v/>
      </c>
      <c r="E418" s="19" t="str">
        <f t="shared" si="173"/>
        <v/>
      </c>
      <c r="F418" s="29"/>
      <c r="G418" s="29"/>
      <c r="H418" s="31" t="str">
        <f>IF(F418="","",VLOOKUP(F418,'Data Induk Pegawai'!B:U,2,FALSE))</f>
        <v/>
      </c>
      <c r="I418" s="19" t="str">
        <f>IF('REGISTER SK'!C421="","",'REGISTER SK'!C421)</f>
        <v/>
      </c>
      <c r="J418" s="125"/>
      <c r="K418" s="125"/>
      <c r="L418" s="26" t="str">
        <f>IF('REGISTER SK'!D421="","",'REGISTER SK'!D421)</f>
        <v/>
      </c>
      <c r="M418" s="26" t="str">
        <f>IF('REGISTER SK'!E421="","",'REGISTER SK'!E421)</f>
        <v/>
      </c>
      <c r="N418" s="31" t="str">
        <f>IF(G418="","",IF(OR(G418="GTT",G418="PTT"),"--",VLOOKUP(F418,'Data Induk Pegawai'!B:AE,4,FALSE)))</f>
        <v/>
      </c>
      <c r="O418" s="18" t="str">
        <f>IF(G418="","",VLOOKUP(F418,'Data Induk Pegawai'!B:AE,6,FALSE))</f>
        <v/>
      </c>
      <c r="P418" s="31" t="str">
        <f>IF(G418="","",VLOOKUP(F418,'Data Induk Pegawai'!B:AE,7,FALSE))</f>
        <v/>
      </c>
      <c r="Q418" s="30"/>
      <c r="R418" s="26" t="str">
        <f>IF(G418="","","Nomor "&amp;RIGHT(VLOOKUP(F418,'Data Induk Pegawai'!B:AE,12,FALSE),2)&amp;" Tahun "&amp;MID(VLOOKUP(F418,'Data Induk Pegawai'!B:AE,12,FALSE),5,4))</f>
        <v/>
      </c>
      <c r="S418" s="26" t="str">
        <f>IF(G418="","",VLOOKUP(F418,'Data Induk Pegawai'!B:AE,11,FALSE))</f>
        <v/>
      </c>
      <c r="T418" s="56"/>
      <c r="U418" s="18" t="str">
        <f t="shared" si="155"/>
        <v/>
      </c>
      <c r="V418" s="30"/>
      <c r="W418" s="18" t="str">
        <f t="shared" si="154"/>
        <v/>
      </c>
      <c r="Y418" t="str">
        <f t="shared" si="156"/>
        <v/>
      </c>
      <c r="Z418" t="str">
        <f t="shared" si="157"/>
        <v/>
      </c>
      <c r="AA418" t="str">
        <f t="shared" si="158"/>
        <v/>
      </c>
      <c r="AB418" t="str">
        <f>COUNTIFS(AC418:AC$596,AC418)&amp;AC418</f>
        <v>179</v>
      </c>
      <c r="AC418" t="str">
        <f t="shared" si="174"/>
        <v/>
      </c>
      <c r="AD418" t="str">
        <f>COUNTIFS(AC$2:AC418,AC418)&amp;AC418</f>
        <v>417</v>
      </c>
      <c r="AE418" t="str">
        <f t="shared" si="159"/>
        <v/>
      </c>
      <c r="AF418" t="str">
        <f t="shared" si="175"/>
        <v>..</v>
      </c>
      <c r="AG418" s="28" t="str">
        <f t="shared" si="151"/>
        <v/>
      </c>
      <c r="AH418" s="28" t="str">
        <f t="shared" si="160"/>
        <v/>
      </c>
      <c r="AI418" t="str">
        <f t="shared" si="161"/>
        <v/>
      </c>
      <c r="AJ418" t="str">
        <f t="shared" si="162"/>
        <v/>
      </c>
      <c r="AK418" t="str">
        <f t="shared" si="163"/>
        <v/>
      </c>
      <c r="AL418" t="str">
        <f t="shared" si="164"/>
        <v/>
      </c>
      <c r="AM418" t="str">
        <f t="shared" si="165"/>
        <v/>
      </c>
      <c r="AN418" t="str">
        <f t="shared" si="166"/>
        <v/>
      </c>
      <c r="AO418" t="str">
        <f t="shared" si="167"/>
        <v/>
      </c>
      <c r="AP418" t="str">
        <f t="shared" si="168"/>
        <v/>
      </c>
      <c r="AQ418" t="str">
        <f t="shared" si="169"/>
        <v/>
      </c>
      <c r="AR418" t="str">
        <f t="shared" si="170"/>
        <v/>
      </c>
      <c r="AS418" t="str">
        <f t="shared" si="171"/>
        <v/>
      </c>
      <c r="AT418" t="str">
        <f t="shared" si="172"/>
        <v/>
      </c>
      <c r="AU418" s="25" t="str">
        <f t="shared" si="176"/>
        <v/>
      </c>
      <c r="BA418">
        <f>'REGISTER SK'!F421</f>
        <v>0</v>
      </c>
    </row>
    <row r="419" spans="1:53" x14ac:dyDescent="0.35">
      <c r="A419" s="18">
        <v>418</v>
      </c>
      <c r="B419" s="18"/>
      <c r="C419" s="18" t="str">
        <f>IF(G419="","",IF(G419="Umum",G419,VLOOKUP(F419,'Data Induk Pegawai'!B:AE,4,FALSE)))</f>
        <v/>
      </c>
      <c r="D419" s="19" t="str">
        <f>IF('REGISTER SK'!A422="","",IF('REGISTER SK'!B422=0,D418,'REGISTER SK'!B422))</f>
        <v/>
      </c>
      <c r="E419" s="19" t="str">
        <f t="shared" si="173"/>
        <v/>
      </c>
      <c r="F419" s="29"/>
      <c r="G419" s="29"/>
      <c r="H419" s="31" t="str">
        <f>IF(F419="","",VLOOKUP(F419,'Data Induk Pegawai'!B:U,2,FALSE))</f>
        <v/>
      </c>
      <c r="I419" s="19" t="str">
        <f>IF('REGISTER SK'!C422="","",'REGISTER SK'!C422)</f>
        <v/>
      </c>
      <c r="J419" s="125"/>
      <c r="K419" s="125"/>
      <c r="L419" s="26" t="str">
        <f>IF('REGISTER SK'!D422="","",'REGISTER SK'!D422)</f>
        <v/>
      </c>
      <c r="M419" s="26" t="str">
        <f>IF('REGISTER SK'!E422="","",'REGISTER SK'!E422)</f>
        <v/>
      </c>
      <c r="N419" s="31" t="str">
        <f>IF(G419="","",IF(OR(G419="GTT",G419="PTT"),"--",VLOOKUP(F419,'Data Induk Pegawai'!B:AE,4,FALSE)))</f>
        <v/>
      </c>
      <c r="O419" s="18" t="str">
        <f>IF(G419="","",VLOOKUP(F419,'Data Induk Pegawai'!B:AE,6,FALSE))</f>
        <v/>
      </c>
      <c r="P419" s="31" t="str">
        <f>IF(G419="","",VLOOKUP(F419,'Data Induk Pegawai'!B:AE,7,FALSE))</f>
        <v/>
      </c>
      <c r="Q419" s="30"/>
      <c r="R419" s="26" t="str">
        <f>IF(G419="","","Nomor "&amp;RIGHT(VLOOKUP(F419,'Data Induk Pegawai'!B:AE,12,FALSE),2)&amp;" Tahun "&amp;MID(VLOOKUP(F419,'Data Induk Pegawai'!B:AE,12,FALSE),5,4))</f>
        <v/>
      </c>
      <c r="S419" s="26" t="str">
        <f>IF(G419="","",VLOOKUP(F419,'Data Induk Pegawai'!B:AE,11,FALSE))</f>
        <v/>
      </c>
      <c r="T419" s="56"/>
      <c r="U419" s="18" t="str">
        <f t="shared" si="155"/>
        <v/>
      </c>
      <c r="V419" s="30"/>
      <c r="W419" s="18" t="str">
        <f t="shared" si="154"/>
        <v/>
      </c>
      <c r="Y419" t="str">
        <f t="shared" si="156"/>
        <v/>
      </c>
      <c r="Z419" t="str">
        <f t="shared" si="157"/>
        <v/>
      </c>
      <c r="AA419" t="str">
        <f t="shared" si="158"/>
        <v/>
      </c>
      <c r="AB419" t="str">
        <f>COUNTIFS(AC419:AC$596,AC419)&amp;AC419</f>
        <v>178</v>
      </c>
      <c r="AC419" t="str">
        <f t="shared" si="174"/>
        <v/>
      </c>
      <c r="AD419" t="str">
        <f>COUNTIFS(AC$2:AC419,AC419)&amp;AC419</f>
        <v>418</v>
      </c>
      <c r="AE419" t="str">
        <f t="shared" si="159"/>
        <v/>
      </c>
      <c r="AF419" t="str">
        <f t="shared" si="175"/>
        <v>..</v>
      </c>
      <c r="AG419" s="28" t="str">
        <f t="shared" si="151"/>
        <v/>
      </c>
      <c r="AH419" s="28" t="str">
        <f t="shared" si="160"/>
        <v/>
      </c>
      <c r="AI419" t="str">
        <f t="shared" si="161"/>
        <v/>
      </c>
      <c r="AJ419" t="str">
        <f t="shared" si="162"/>
        <v/>
      </c>
      <c r="AK419" t="str">
        <f t="shared" si="163"/>
        <v/>
      </c>
      <c r="AL419" t="str">
        <f t="shared" si="164"/>
        <v/>
      </c>
      <c r="AM419" t="str">
        <f t="shared" si="165"/>
        <v/>
      </c>
      <c r="AN419" t="str">
        <f t="shared" si="166"/>
        <v/>
      </c>
      <c r="AO419" t="str">
        <f t="shared" si="167"/>
        <v/>
      </c>
      <c r="AP419" t="str">
        <f t="shared" si="168"/>
        <v/>
      </c>
      <c r="AQ419" t="str">
        <f t="shared" si="169"/>
        <v/>
      </c>
      <c r="AR419" t="str">
        <f t="shared" si="170"/>
        <v/>
      </c>
      <c r="AS419" t="str">
        <f t="shared" si="171"/>
        <v/>
      </c>
      <c r="AT419" t="str">
        <f t="shared" si="172"/>
        <v/>
      </c>
      <c r="AU419" s="25" t="str">
        <f t="shared" si="176"/>
        <v/>
      </c>
      <c r="BA419">
        <f>'REGISTER SK'!F422</f>
        <v>0</v>
      </c>
    </row>
    <row r="420" spans="1:53" x14ac:dyDescent="0.35">
      <c r="A420" s="18">
        <v>419</v>
      </c>
      <c r="B420" s="18"/>
      <c r="C420" s="18" t="str">
        <f>IF(G420="","",IF(G420="Umum",G420,VLOOKUP(F420,'Data Induk Pegawai'!B:AE,4,FALSE)))</f>
        <v/>
      </c>
      <c r="D420" s="19" t="str">
        <f>IF('REGISTER SK'!A423="","",IF('REGISTER SK'!B423=0,D419,'REGISTER SK'!B423))</f>
        <v/>
      </c>
      <c r="E420" s="19" t="str">
        <f t="shared" si="173"/>
        <v/>
      </c>
      <c r="F420" s="29"/>
      <c r="G420" s="29"/>
      <c r="H420" s="31" t="str">
        <f>IF(F420="","",VLOOKUP(F420,'Data Induk Pegawai'!B:U,2,FALSE))</f>
        <v/>
      </c>
      <c r="I420" s="19" t="str">
        <f>IF('REGISTER SK'!C423="","",'REGISTER SK'!C423)</f>
        <v/>
      </c>
      <c r="J420" s="125"/>
      <c r="K420" s="125"/>
      <c r="L420" s="26" t="str">
        <f>IF('REGISTER SK'!D423="","",'REGISTER SK'!D423)</f>
        <v/>
      </c>
      <c r="M420" s="26" t="str">
        <f>IF('REGISTER SK'!E423="","",'REGISTER SK'!E423)</f>
        <v/>
      </c>
      <c r="N420" s="31" t="str">
        <f>IF(G420="","",IF(OR(G420="GTT",G420="PTT"),"--",VLOOKUP(F420,'Data Induk Pegawai'!B:AE,4,FALSE)))</f>
        <v/>
      </c>
      <c r="O420" s="18" t="str">
        <f>IF(G420="","",VLOOKUP(F420,'Data Induk Pegawai'!B:AE,6,FALSE))</f>
        <v/>
      </c>
      <c r="P420" s="31" t="str">
        <f>IF(G420="","",VLOOKUP(F420,'Data Induk Pegawai'!B:AE,7,FALSE))</f>
        <v/>
      </c>
      <c r="Q420" s="30"/>
      <c r="R420" s="26" t="str">
        <f>IF(G420="","","Nomor "&amp;RIGHT(VLOOKUP(F420,'Data Induk Pegawai'!B:AE,12,FALSE),2)&amp;" Tahun "&amp;MID(VLOOKUP(F420,'Data Induk Pegawai'!B:AE,12,FALSE),5,4))</f>
        <v/>
      </c>
      <c r="S420" s="26" t="str">
        <f>IF(G420="","",VLOOKUP(F420,'Data Induk Pegawai'!B:AE,11,FALSE))</f>
        <v/>
      </c>
      <c r="T420" s="56"/>
      <c r="U420" s="18" t="str">
        <f t="shared" si="155"/>
        <v/>
      </c>
      <c r="V420" s="30"/>
      <c r="W420" s="18" t="str">
        <f t="shared" si="154"/>
        <v/>
      </c>
      <c r="Y420" t="str">
        <f t="shared" si="156"/>
        <v/>
      </c>
      <c r="Z420" t="str">
        <f t="shared" si="157"/>
        <v/>
      </c>
      <c r="AA420" t="str">
        <f t="shared" si="158"/>
        <v/>
      </c>
      <c r="AB420" t="str">
        <f>COUNTIFS(AC420:AC$596,AC420)&amp;AC420</f>
        <v>177</v>
      </c>
      <c r="AC420" t="str">
        <f t="shared" si="174"/>
        <v/>
      </c>
      <c r="AD420" t="str">
        <f>COUNTIFS(AC$2:AC420,AC420)&amp;AC420</f>
        <v>419</v>
      </c>
      <c r="AE420" t="str">
        <f t="shared" si="159"/>
        <v/>
      </c>
      <c r="AF420" t="str">
        <f t="shared" si="175"/>
        <v>..</v>
      </c>
      <c r="AG420" s="28" t="str">
        <f t="shared" si="151"/>
        <v/>
      </c>
      <c r="AH420" s="28" t="str">
        <f t="shared" si="160"/>
        <v/>
      </c>
      <c r="AI420" t="str">
        <f t="shared" si="161"/>
        <v/>
      </c>
      <c r="AJ420" t="str">
        <f t="shared" si="162"/>
        <v/>
      </c>
      <c r="AK420" t="str">
        <f t="shared" si="163"/>
        <v/>
      </c>
      <c r="AL420" t="str">
        <f t="shared" si="164"/>
        <v/>
      </c>
      <c r="AM420" t="str">
        <f t="shared" si="165"/>
        <v/>
      </c>
      <c r="AN420" t="str">
        <f t="shared" si="166"/>
        <v/>
      </c>
      <c r="AO420" t="str">
        <f t="shared" si="167"/>
        <v/>
      </c>
      <c r="AP420" t="str">
        <f t="shared" si="168"/>
        <v/>
      </c>
      <c r="AQ420" t="str">
        <f t="shared" si="169"/>
        <v/>
      </c>
      <c r="AR420" t="str">
        <f t="shared" si="170"/>
        <v/>
      </c>
      <c r="AS420" t="str">
        <f t="shared" si="171"/>
        <v/>
      </c>
      <c r="AT420" t="str">
        <f t="shared" si="172"/>
        <v/>
      </c>
      <c r="AU420" s="25" t="str">
        <f t="shared" si="176"/>
        <v/>
      </c>
      <c r="BA420">
        <f>'REGISTER SK'!F423</f>
        <v>0</v>
      </c>
    </row>
    <row r="421" spans="1:53" x14ac:dyDescent="0.35">
      <c r="A421" s="18">
        <v>420</v>
      </c>
      <c r="B421" s="18"/>
      <c r="C421" s="18" t="str">
        <f>IF(G421="","",IF(G421="Umum",G421,VLOOKUP(F421,'Data Induk Pegawai'!B:AE,4,FALSE)))</f>
        <v/>
      </c>
      <c r="D421" s="19" t="str">
        <f>IF('REGISTER SK'!A424="","",IF('REGISTER SK'!B424=0,D420,'REGISTER SK'!B424))</f>
        <v/>
      </c>
      <c r="E421" s="19" t="str">
        <f t="shared" si="173"/>
        <v/>
      </c>
      <c r="F421" s="29"/>
      <c r="G421" s="29"/>
      <c r="H421" s="31" t="str">
        <f>IF(F421="","",VLOOKUP(F421,'Data Induk Pegawai'!B:U,2,FALSE))</f>
        <v/>
      </c>
      <c r="I421" s="19" t="str">
        <f>IF('REGISTER SK'!C424="","",'REGISTER SK'!C424)</f>
        <v/>
      </c>
      <c r="J421" s="125"/>
      <c r="K421" s="125"/>
      <c r="L421" s="26" t="str">
        <f>IF('REGISTER SK'!D424="","",'REGISTER SK'!D424)</f>
        <v/>
      </c>
      <c r="M421" s="26" t="str">
        <f>IF('REGISTER SK'!E424="","",'REGISTER SK'!E424)</f>
        <v/>
      </c>
      <c r="N421" s="31" t="str">
        <f>IF(G421="","",IF(OR(G421="GTT",G421="PTT"),"--",VLOOKUP(F421,'Data Induk Pegawai'!B:AE,4,FALSE)))</f>
        <v/>
      </c>
      <c r="O421" s="18" t="str">
        <f>IF(G421="","",VLOOKUP(F421,'Data Induk Pegawai'!B:AE,6,FALSE))</f>
        <v/>
      </c>
      <c r="P421" s="31" t="str">
        <f>IF(G421="","",VLOOKUP(F421,'Data Induk Pegawai'!B:AE,7,FALSE))</f>
        <v/>
      </c>
      <c r="Q421" s="30"/>
      <c r="R421" s="26" t="str">
        <f>IF(G421="","","Nomor "&amp;RIGHT(VLOOKUP(F421,'Data Induk Pegawai'!B:AE,12,FALSE),2)&amp;" Tahun "&amp;MID(VLOOKUP(F421,'Data Induk Pegawai'!B:AE,12,FALSE),5,4))</f>
        <v/>
      </c>
      <c r="S421" s="26" t="str">
        <f>IF(G421="","",VLOOKUP(F421,'Data Induk Pegawai'!B:AE,11,FALSE))</f>
        <v/>
      </c>
      <c r="T421" s="56"/>
      <c r="U421" s="18" t="str">
        <f t="shared" si="155"/>
        <v/>
      </c>
      <c r="V421" s="30"/>
      <c r="W421" s="18" t="str">
        <f t="shared" si="154"/>
        <v/>
      </c>
      <c r="Y421" t="str">
        <f t="shared" si="156"/>
        <v/>
      </c>
      <c r="Z421" t="str">
        <f t="shared" si="157"/>
        <v/>
      </c>
      <c r="AA421" t="str">
        <f t="shared" si="158"/>
        <v/>
      </c>
      <c r="AB421" t="str">
        <f>COUNTIFS(AC421:AC$596,AC421)&amp;AC421</f>
        <v>176</v>
      </c>
      <c r="AC421" t="str">
        <f t="shared" si="174"/>
        <v/>
      </c>
      <c r="AD421" t="str">
        <f>COUNTIFS(AC$2:AC421,AC421)&amp;AC421</f>
        <v>420</v>
      </c>
      <c r="AE421" t="str">
        <f t="shared" si="159"/>
        <v/>
      </c>
      <c r="AF421" t="str">
        <f t="shared" si="175"/>
        <v>..</v>
      </c>
      <c r="AG421" s="28" t="str">
        <f t="shared" si="151"/>
        <v/>
      </c>
      <c r="AH421" s="28" t="str">
        <f t="shared" si="160"/>
        <v/>
      </c>
      <c r="AI421" t="str">
        <f t="shared" si="161"/>
        <v/>
      </c>
      <c r="AJ421" t="str">
        <f t="shared" si="162"/>
        <v/>
      </c>
      <c r="AK421" t="str">
        <f t="shared" si="163"/>
        <v/>
      </c>
      <c r="AL421" t="str">
        <f t="shared" si="164"/>
        <v/>
      </c>
      <c r="AM421" t="str">
        <f t="shared" si="165"/>
        <v/>
      </c>
      <c r="AN421" t="str">
        <f t="shared" si="166"/>
        <v/>
      </c>
      <c r="AO421" t="str">
        <f t="shared" si="167"/>
        <v/>
      </c>
      <c r="AP421" t="str">
        <f t="shared" si="168"/>
        <v/>
      </c>
      <c r="AQ421" t="str">
        <f t="shared" si="169"/>
        <v/>
      </c>
      <c r="AR421" t="str">
        <f t="shared" si="170"/>
        <v/>
      </c>
      <c r="AS421" t="str">
        <f t="shared" si="171"/>
        <v/>
      </c>
      <c r="AT421" t="str">
        <f t="shared" si="172"/>
        <v/>
      </c>
      <c r="AU421" s="25" t="str">
        <f t="shared" si="176"/>
        <v/>
      </c>
      <c r="BA421">
        <f>'REGISTER SK'!F424</f>
        <v>0</v>
      </c>
    </row>
    <row r="422" spans="1:53" x14ac:dyDescent="0.35">
      <c r="A422" s="18">
        <v>421</v>
      </c>
      <c r="B422" s="18"/>
      <c r="C422" s="18" t="str">
        <f>IF(G422="","",IF(G422="Umum",G422,VLOOKUP(F422,'Data Induk Pegawai'!B:AE,4,FALSE)))</f>
        <v/>
      </c>
      <c r="D422" s="19" t="str">
        <f>IF('REGISTER SK'!A425="","",IF('REGISTER SK'!B425=0,D421,'REGISTER SK'!B425))</f>
        <v/>
      </c>
      <c r="E422" s="19" t="str">
        <f t="shared" si="173"/>
        <v/>
      </c>
      <c r="F422" s="29"/>
      <c r="G422" s="29"/>
      <c r="H422" s="31" t="str">
        <f>IF(F422="","",VLOOKUP(F422,'Data Induk Pegawai'!B:U,2,FALSE))</f>
        <v/>
      </c>
      <c r="I422" s="19" t="str">
        <f>IF('REGISTER SK'!C425="","",'REGISTER SK'!C425)</f>
        <v/>
      </c>
      <c r="J422" s="125"/>
      <c r="K422" s="125"/>
      <c r="L422" s="26" t="str">
        <f>IF('REGISTER SK'!D425="","",'REGISTER SK'!D425)</f>
        <v/>
      </c>
      <c r="M422" s="26" t="str">
        <f>IF('REGISTER SK'!E425="","",'REGISTER SK'!E425)</f>
        <v/>
      </c>
      <c r="N422" s="31" t="str">
        <f>IF(G422="","",IF(OR(G422="GTT",G422="PTT"),"--",VLOOKUP(F422,'Data Induk Pegawai'!B:AE,4,FALSE)))</f>
        <v/>
      </c>
      <c r="O422" s="18" t="str">
        <f>IF(G422="","",VLOOKUP(F422,'Data Induk Pegawai'!B:AE,6,FALSE))</f>
        <v/>
      </c>
      <c r="P422" s="31" t="str">
        <f>IF(G422="","",VLOOKUP(F422,'Data Induk Pegawai'!B:AE,7,FALSE))</f>
        <v/>
      </c>
      <c r="Q422" s="30"/>
      <c r="R422" s="26" t="str">
        <f>IF(G422="","","Nomor "&amp;RIGHT(VLOOKUP(F422,'Data Induk Pegawai'!B:AE,12,FALSE),2)&amp;" Tahun "&amp;MID(VLOOKUP(F422,'Data Induk Pegawai'!B:AE,12,FALSE),5,4))</f>
        <v/>
      </c>
      <c r="S422" s="26" t="str">
        <f>IF(G422="","",VLOOKUP(F422,'Data Induk Pegawai'!B:AE,11,FALSE))</f>
        <v/>
      </c>
      <c r="T422" s="56"/>
      <c r="U422" s="18" t="str">
        <f t="shared" si="155"/>
        <v/>
      </c>
      <c r="V422" s="30"/>
      <c r="W422" s="18" t="str">
        <f t="shared" si="154"/>
        <v/>
      </c>
      <c r="Y422" t="str">
        <f t="shared" si="156"/>
        <v/>
      </c>
      <c r="Z422" t="str">
        <f t="shared" si="157"/>
        <v/>
      </c>
      <c r="AA422" t="str">
        <f t="shared" si="158"/>
        <v/>
      </c>
      <c r="AB422" t="str">
        <f>COUNTIFS(AC422:AC$596,AC422)&amp;AC422</f>
        <v>175</v>
      </c>
      <c r="AC422" t="str">
        <f t="shared" si="174"/>
        <v/>
      </c>
      <c r="AD422" t="str">
        <f>COUNTIFS(AC$2:AC422,AC422)&amp;AC422</f>
        <v>421</v>
      </c>
      <c r="AE422" t="str">
        <f t="shared" si="159"/>
        <v/>
      </c>
      <c r="AF422" t="str">
        <f t="shared" si="175"/>
        <v>..</v>
      </c>
      <c r="AG422" s="28" t="str">
        <f t="shared" si="151"/>
        <v/>
      </c>
      <c r="AH422" s="28" t="str">
        <f t="shared" si="160"/>
        <v/>
      </c>
      <c r="AI422" t="str">
        <f t="shared" si="161"/>
        <v/>
      </c>
      <c r="AJ422" t="str">
        <f t="shared" si="162"/>
        <v/>
      </c>
      <c r="AK422" t="str">
        <f t="shared" si="163"/>
        <v/>
      </c>
      <c r="AL422" t="str">
        <f t="shared" si="164"/>
        <v/>
      </c>
      <c r="AM422" t="str">
        <f t="shared" si="165"/>
        <v/>
      </c>
      <c r="AN422" t="str">
        <f t="shared" si="166"/>
        <v/>
      </c>
      <c r="AO422" t="str">
        <f t="shared" si="167"/>
        <v/>
      </c>
      <c r="AP422" t="str">
        <f t="shared" si="168"/>
        <v/>
      </c>
      <c r="AQ422" t="str">
        <f t="shared" si="169"/>
        <v/>
      </c>
      <c r="AR422" t="str">
        <f t="shared" si="170"/>
        <v/>
      </c>
      <c r="AS422" t="str">
        <f t="shared" si="171"/>
        <v/>
      </c>
      <c r="AT422" t="str">
        <f t="shared" si="172"/>
        <v/>
      </c>
      <c r="AU422" s="25" t="str">
        <f t="shared" si="176"/>
        <v/>
      </c>
      <c r="BA422">
        <f>'REGISTER SK'!F425</f>
        <v>0</v>
      </c>
    </row>
    <row r="423" spans="1:53" x14ac:dyDescent="0.35">
      <c r="A423" s="18">
        <v>422</v>
      </c>
      <c r="B423" s="18"/>
      <c r="C423" s="18" t="str">
        <f>IF(G423="","",IF(G423="Umum",G423,VLOOKUP(F423,'Data Induk Pegawai'!B:AE,4,FALSE)))</f>
        <v/>
      </c>
      <c r="D423" s="19" t="str">
        <f>IF('REGISTER SK'!A426="","",IF('REGISTER SK'!B426=0,D422,'REGISTER SK'!B426))</f>
        <v/>
      </c>
      <c r="E423" s="19" t="str">
        <f t="shared" si="173"/>
        <v/>
      </c>
      <c r="F423" s="29"/>
      <c r="G423" s="29"/>
      <c r="H423" s="31" t="str">
        <f>IF(F423="","",VLOOKUP(F423,'Data Induk Pegawai'!B:U,2,FALSE))</f>
        <v/>
      </c>
      <c r="I423" s="19" t="str">
        <f>IF('REGISTER SK'!C426="","",'REGISTER SK'!C426)</f>
        <v/>
      </c>
      <c r="J423" s="125"/>
      <c r="K423" s="125"/>
      <c r="L423" s="26" t="str">
        <f>IF('REGISTER SK'!D426="","",'REGISTER SK'!D426)</f>
        <v/>
      </c>
      <c r="M423" s="26" t="str">
        <f>IF('REGISTER SK'!E426="","",'REGISTER SK'!E426)</f>
        <v/>
      </c>
      <c r="N423" s="31" t="str">
        <f>IF(G423="","",IF(OR(G423="GTT",G423="PTT"),"--",VLOOKUP(F423,'Data Induk Pegawai'!B:AE,4,FALSE)))</f>
        <v/>
      </c>
      <c r="O423" s="18" t="str">
        <f>IF(G423="","",VLOOKUP(F423,'Data Induk Pegawai'!B:AE,6,FALSE))</f>
        <v/>
      </c>
      <c r="P423" s="31" t="str">
        <f>IF(G423="","",VLOOKUP(F423,'Data Induk Pegawai'!B:AE,7,FALSE))</f>
        <v/>
      </c>
      <c r="Q423" s="30"/>
      <c r="R423" s="26" t="str">
        <f>IF(G423="","","Nomor "&amp;RIGHT(VLOOKUP(F423,'Data Induk Pegawai'!B:AE,12,FALSE),2)&amp;" Tahun "&amp;MID(VLOOKUP(F423,'Data Induk Pegawai'!B:AE,12,FALSE),5,4))</f>
        <v/>
      </c>
      <c r="S423" s="26" t="str">
        <f>IF(G423="","",VLOOKUP(F423,'Data Induk Pegawai'!B:AE,11,FALSE))</f>
        <v/>
      </c>
      <c r="T423" s="56"/>
      <c r="U423" s="18" t="str">
        <f t="shared" si="155"/>
        <v/>
      </c>
      <c r="V423" s="30"/>
      <c r="W423" s="18" t="str">
        <f t="shared" si="154"/>
        <v/>
      </c>
      <c r="Y423" t="str">
        <f t="shared" si="156"/>
        <v/>
      </c>
      <c r="Z423" t="str">
        <f t="shared" si="157"/>
        <v/>
      </c>
      <c r="AA423" t="str">
        <f t="shared" si="158"/>
        <v/>
      </c>
      <c r="AB423" t="str">
        <f>COUNTIFS(AC423:AC$596,AC423)&amp;AC423</f>
        <v>174</v>
      </c>
      <c r="AC423" t="str">
        <f t="shared" si="174"/>
        <v/>
      </c>
      <c r="AD423" t="str">
        <f>COUNTIFS(AC$2:AC423,AC423)&amp;AC423</f>
        <v>422</v>
      </c>
      <c r="AE423" t="str">
        <f t="shared" si="159"/>
        <v/>
      </c>
      <c r="AF423" t="str">
        <f t="shared" si="175"/>
        <v>..</v>
      </c>
      <c r="AG423" s="28" t="str">
        <f t="shared" si="151"/>
        <v/>
      </c>
      <c r="AH423" s="28" t="str">
        <f t="shared" si="160"/>
        <v/>
      </c>
      <c r="AI423" t="str">
        <f t="shared" si="161"/>
        <v/>
      </c>
      <c r="AJ423" t="str">
        <f t="shared" si="162"/>
        <v/>
      </c>
      <c r="AK423" t="str">
        <f t="shared" si="163"/>
        <v/>
      </c>
      <c r="AL423" t="str">
        <f t="shared" si="164"/>
        <v/>
      </c>
      <c r="AM423" t="str">
        <f t="shared" si="165"/>
        <v/>
      </c>
      <c r="AN423" t="str">
        <f t="shared" si="166"/>
        <v/>
      </c>
      <c r="AO423" t="str">
        <f t="shared" si="167"/>
        <v/>
      </c>
      <c r="AP423" t="str">
        <f t="shared" si="168"/>
        <v/>
      </c>
      <c r="AQ423" t="str">
        <f t="shared" si="169"/>
        <v/>
      </c>
      <c r="AR423" t="str">
        <f t="shared" si="170"/>
        <v/>
      </c>
      <c r="AS423" t="str">
        <f t="shared" si="171"/>
        <v/>
      </c>
      <c r="AT423" t="str">
        <f t="shared" si="172"/>
        <v/>
      </c>
      <c r="AU423" s="25" t="str">
        <f t="shared" si="176"/>
        <v/>
      </c>
      <c r="BA423">
        <f>'REGISTER SK'!F426</f>
        <v>0</v>
      </c>
    </row>
    <row r="424" spans="1:53" x14ac:dyDescent="0.35">
      <c r="A424" s="18">
        <v>423</v>
      </c>
      <c r="B424" s="18"/>
      <c r="C424" s="18" t="str">
        <f>IF(G424="","",IF(G424="Umum",G424,VLOOKUP(F424,'Data Induk Pegawai'!B:AE,4,FALSE)))</f>
        <v/>
      </c>
      <c r="D424" s="19" t="str">
        <f>IF('REGISTER SK'!A427="","",IF('REGISTER SK'!B427=0,D423,'REGISTER SK'!B427))</f>
        <v/>
      </c>
      <c r="E424" s="19" t="str">
        <f t="shared" si="173"/>
        <v/>
      </c>
      <c r="F424" s="29"/>
      <c r="G424" s="29"/>
      <c r="H424" s="31" t="str">
        <f>IF(F424="","",VLOOKUP(F424,'Data Induk Pegawai'!B:U,2,FALSE))</f>
        <v/>
      </c>
      <c r="I424" s="19" t="str">
        <f>IF('REGISTER SK'!C427="","",'REGISTER SK'!C427)</f>
        <v/>
      </c>
      <c r="J424" s="125"/>
      <c r="K424" s="125"/>
      <c r="L424" s="26" t="str">
        <f>IF('REGISTER SK'!D427="","",'REGISTER SK'!D427)</f>
        <v/>
      </c>
      <c r="M424" s="26" t="str">
        <f>IF('REGISTER SK'!E427="","",'REGISTER SK'!E427)</f>
        <v/>
      </c>
      <c r="N424" s="31" t="str">
        <f>IF(G424="","",IF(OR(G424="GTT",G424="PTT"),"--",VLOOKUP(F424,'Data Induk Pegawai'!B:AE,4,FALSE)))</f>
        <v/>
      </c>
      <c r="O424" s="18" t="str">
        <f>IF(G424="","",VLOOKUP(F424,'Data Induk Pegawai'!B:AE,6,FALSE))</f>
        <v/>
      </c>
      <c r="P424" s="31" t="str">
        <f>IF(G424="","",VLOOKUP(F424,'Data Induk Pegawai'!B:AE,7,FALSE))</f>
        <v/>
      </c>
      <c r="Q424" s="30"/>
      <c r="R424" s="26" t="str">
        <f>IF(G424="","","Nomor "&amp;RIGHT(VLOOKUP(F424,'Data Induk Pegawai'!B:AE,12,FALSE),2)&amp;" Tahun "&amp;MID(VLOOKUP(F424,'Data Induk Pegawai'!B:AE,12,FALSE),5,4))</f>
        <v/>
      </c>
      <c r="S424" s="26" t="str">
        <f>IF(G424="","",VLOOKUP(F424,'Data Induk Pegawai'!B:AE,11,FALSE))</f>
        <v/>
      </c>
      <c r="T424" s="56"/>
      <c r="U424" s="18" t="str">
        <f t="shared" si="155"/>
        <v/>
      </c>
      <c r="V424" s="30"/>
      <c r="W424" s="18" t="str">
        <f t="shared" si="154"/>
        <v/>
      </c>
      <c r="Y424" t="str">
        <f t="shared" si="156"/>
        <v/>
      </c>
      <c r="Z424" t="str">
        <f t="shared" si="157"/>
        <v/>
      </c>
      <c r="AA424" t="str">
        <f t="shared" si="158"/>
        <v/>
      </c>
      <c r="AB424" t="str">
        <f>COUNTIFS(AC424:AC$596,AC424)&amp;AC424</f>
        <v>173</v>
      </c>
      <c r="AC424" t="str">
        <f t="shared" si="174"/>
        <v/>
      </c>
      <c r="AD424" t="str">
        <f>COUNTIFS(AC$2:AC424,AC424)&amp;AC424</f>
        <v>423</v>
      </c>
      <c r="AE424" t="str">
        <f t="shared" si="159"/>
        <v/>
      </c>
      <c r="AF424" t="str">
        <f t="shared" si="175"/>
        <v>..</v>
      </c>
      <c r="AG424" s="28" t="str">
        <f t="shared" si="151"/>
        <v/>
      </c>
      <c r="AH424" s="28" t="str">
        <f t="shared" si="160"/>
        <v/>
      </c>
      <c r="AI424" t="str">
        <f t="shared" si="161"/>
        <v/>
      </c>
      <c r="AJ424" t="str">
        <f t="shared" si="162"/>
        <v/>
      </c>
      <c r="AK424" t="str">
        <f t="shared" si="163"/>
        <v/>
      </c>
      <c r="AL424" t="str">
        <f t="shared" si="164"/>
        <v/>
      </c>
      <c r="AM424" t="str">
        <f t="shared" si="165"/>
        <v/>
      </c>
      <c r="AN424" t="str">
        <f t="shared" si="166"/>
        <v/>
      </c>
      <c r="AO424" t="str">
        <f t="shared" si="167"/>
        <v/>
      </c>
      <c r="AP424" t="str">
        <f t="shared" si="168"/>
        <v/>
      </c>
      <c r="AQ424" t="str">
        <f t="shared" si="169"/>
        <v/>
      </c>
      <c r="AR424" t="str">
        <f t="shared" si="170"/>
        <v/>
      </c>
      <c r="AS424" t="str">
        <f t="shared" si="171"/>
        <v/>
      </c>
      <c r="AT424" t="str">
        <f t="shared" si="172"/>
        <v/>
      </c>
      <c r="AU424" s="25" t="str">
        <f t="shared" si="176"/>
        <v/>
      </c>
      <c r="BA424">
        <f>'REGISTER SK'!F427</f>
        <v>0</v>
      </c>
    </row>
    <row r="425" spans="1:53" x14ac:dyDescent="0.35">
      <c r="A425" s="18">
        <v>424</v>
      </c>
      <c r="B425" s="18"/>
      <c r="C425" s="18" t="str">
        <f>IF(G425="","",IF(G425="Umum",G425,VLOOKUP(F425,'Data Induk Pegawai'!B:AE,4,FALSE)))</f>
        <v/>
      </c>
      <c r="D425" s="19" t="str">
        <f>IF('REGISTER SK'!A428="","",IF('REGISTER SK'!B428=0,D424,'REGISTER SK'!B428))</f>
        <v/>
      </c>
      <c r="E425" s="19" t="str">
        <f t="shared" si="173"/>
        <v/>
      </c>
      <c r="F425" s="29"/>
      <c r="G425" s="29"/>
      <c r="H425" s="31" t="str">
        <f>IF(F425="","",VLOOKUP(F425,'Data Induk Pegawai'!B:U,2,FALSE))</f>
        <v/>
      </c>
      <c r="I425" s="19" t="str">
        <f>IF('REGISTER SK'!C428="","",'REGISTER SK'!C428)</f>
        <v/>
      </c>
      <c r="J425" s="125"/>
      <c r="K425" s="125"/>
      <c r="L425" s="26" t="str">
        <f>IF('REGISTER SK'!D428="","",'REGISTER SK'!D428)</f>
        <v/>
      </c>
      <c r="M425" s="26" t="str">
        <f>IF('REGISTER SK'!E428="","",'REGISTER SK'!E428)</f>
        <v/>
      </c>
      <c r="N425" s="31" t="str">
        <f>IF(G425="","",IF(OR(G425="GTT",G425="PTT"),"--",VLOOKUP(F425,'Data Induk Pegawai'!B:AE,4,FALSE)))</f>
        <v/>
      </c>
      <c r="O425" s="18" t="str">
        <f>IF(G425="","",VLOOKUP(F425,'Data Induk Pegawai'!B:AE,6,FALSE))</f>
        <v/>
      </c>
      <c r="P425" s="31" t="str">
        <f>IF(G425="","",VLOOKUP(F425,'Data Induk Pegawai'!B:AE,7,FALSE))</f>
        <v/>
      </c>
      <c r="Q425" s="30"/>
      <c r="R425" s="26" t="str">
        <f>IF(G425="","","Nomor "&amp;RIGHT(VLOOKUP(F425,'Data Induk Pegawai'!B:AE,12,FALSE),2)&amp;" Tahun "&amp;MID(VLOOKUP(F425,'Data Induk Pegawai'!B:AE,12,FALSE),5,4))</f>
        <v/>
      </c>
      <c r="S425" s="26" t="str">
        <f>IF(G425="","",VLOOKUP(F425,'Data Induk Pegawai'!B:AE,11,FALSE))</f>
        <v/>
      </c>
      <c r="T425" s="56"/>
      <c r="U425" s="18" t="str">
        <f t="shared" si="155"/>
        <v/>
      </c>
      <c r="V425" s="30"/>
      <c r="W425" s="18" t="str">
        <f t="shared" si="154"/>
        <v/>
      </c>
      <c r="Y425" t="str">
        <f t="shared" si="156"/>
        <v/>
      </c>
      <c r="Z425" t="str">
        <f t="shared" si="157"/>
        <v/>
      </c>
      <c r="AA425" t="str">
        <f t="shared" si="158"/>
        <v/>
      </c>
      <c r="AB425" t="str">
        <f>COUNTIFS(AC425:AC$596,AC425)&amp;AC425</f>
        <v>172</v>
      </c>
      <c r="AC425" t="str">
        <f t="shared" si="174"/>
        <v/>
      </c>
      <c r="AD425" t="str">
        <f>COUNTIFS(AC$2:AC425,AC425)&amp;AC425</f>
        <v>424</v>
      </c>
      <c r="AE425" t="str">
        <f t="shared" si="159"/>
        <v/>
      </c>
      <c r="AF425" t="str">
        <f t="shared" si="175"/>
        <v>..</v>
      </c>
      <c r="AG425" s="28" t="str">
        <f t="shared" si="151"/>
        <v/>
      </c>
      <c r="AH425" s="28" t="str">
        <f t="shared" si="160"/>
        <v/>
      </c>
      <c r="AI425" t="str">
        <f t="shared" si="161"/>
        <v/>
      </c>
      <c r="AJ425" t="str">
        <f t="shared" si="162"/>
        <v/>
      </c>
      <c r="AK425" t="str">
        <f t="shared" si="163"/>
        <v/>
      </c>
      <c r="AL425" t="str">
        <f t="shared" si="164"/>
        <v/>
      </c>
      <c r="AM425" t="str">
        <f t="shared" si="165"/>
        <v/>
      </c>
      <c r="AN425" t="str">
        <f t="shared" si="166"/>
        <v/>
      </c>
      <c r="AO425" t="str">
        <f t="shared" si="167"/>
        <v/>
      </c>
      <c r="AP425" t="str">
        <f t="shared" si="168"/>
        <v/>
      </c>
      <c r="AQ425" t="str">
        <f t="shared" si="169"/>
        <v/>
      </c>
      <c r="AR425" t="str">
        <f t="shared" si="170"/>
        <v/>
      </c>
      <c r="AS425" t="str">
        <f t="shared" si="171"/>
        <v/>
      </c>
      <c r="AT425" t="str">
        <f t="shared" si="172"/>
        <v/>
      </c>
      <c r="AU425" s="25" t="str">
        <f t="shared" si="176"/>
        <v/>
      </c>
      <c r="BA425">
        <f>'REGISTER SK'!F428</f>
        <v>0</v>
      </c>
    </row>
    <row r="426" spans="1:53" x14ac:dyDescent="0.35">
      <c r="A426" s="18">
        <v>425</v>
      </c>
      <c r="B426" s="18"/>
      <c r="C426" s="18" t="str">
        <f>IF(G426="","",IF(G426="Umum",G426,VLOOKUP(F426,'Data Induk Pegawai'!B:AE,4,FALSE)))</f>
        <v/>
      </c>
      <c r="D426" s="19" t="str">
        <f>IF('REGISTER SK'!A429="","",IF('REGISTER SK'!B429=0,D425,'REGISTER SK'!B429))</f>
        <v/>
      </c>
      <c r="E426" s="19" t="str">
        <f t="shared" si="173"/>
        <v/>
      </c>
      <c r="F426" s="29"/>
      <c r="G426" s="29"/>
      <c r="H426" s="31" t="str">
        <f>IF(F426="","",VLOOKUP(F426,'Data Induk Pegawai'!B:U,2,FALSE))</f>
        <v/>
      </c>
      <c r="I426" s="19" t="str">
        <f>IF('REGISTER SK'!C429="","",'REGISTER SK'!C429)</f>
        <v/>
      </c>
      <c r="J426" s="125"/>
      <c r="K426" s="125"/>
      <c r="L426" s="26" t="str">
        <f>IF('REGISTER SK'!D429="","",'REGISTER SK'!D429)</f>
        <v/>
      </c>
      <c r="M426" s="26" t="str">
        <f>IF('REGISTER SK'!E429="","",'REGISTER SK'!E429)</f>
        <v/>
      </c>
      <c r="N426" s="31" t="str">
        <f>IF(G426="","",IF(OR(G426="GTT",G426="PTT"),"--",VLOOKUP(F426,'Data Induk Pegawai'!B:AE,4,FALSE)))</f>
        <v/>
      </c>
      <c r="O426" s="18" t="str">
        <f>IF(G426="","",VLOOKUP(F426,'Data Induk Pegawai'!B:AE,6,FALSE))</f>
        <v/>
      </c>
      <c r="P426" s="31" t="str">
        <f>IF(G426="","",VLOOKUP(F426,'Data Induk Pegawai'!B:AE,7,FALSE))</f>
        <v/>
      </c>
      <c r="Q426" s="30"/>
      <c r="R426" s="26" t="str">
        <f>IF(G426="","","Nomor "&amp;RIGHT(VLOOKUP(F426,'Data Induk Pegawai'!B:AE,12,FALSE),2)&amp;" Tahun "&amp;MID(VLOOKUP(F426,'Data Induk Pegawai'!B:AE,12,FALSE),5,4))</f>
        <v/>
      </c>
      <c r="S426" s="26" t="str">
        <f>IF(G426="","",VLOOKUP(F426,'Data Induk Pegawai'!B:AE,11,FALSE))</f>
        <v/>
      </c>
      <c r="T426" s="56"/>
      <c r="U426" s="18" t="str">
        <f t="shared" si="155"/>
        <v/>
      </c>
      <c r="V426" s="30"/>
      <c r="W426" s="18" t="str">
        <f t="shared" si="154"/>
        <v/>
      </c>
      <c r="Y426" t="str">
        <f t="shared" si="156"/>
        <v/>
      </c>
      <c r="Z426" t="str">
        <f t="shared" si="157"/>
        <v/>
      </c>
      <c r="AA426" t="str">
        <f t="shared" si="158"/>
        <v/>
      </c>
      <c r="AB426" t="str">
        <f>COUNTIFS(AC426:AC$596,AC426)&amp;AC426</f>
        <v>171</v>
      </c>
      <c r="AC426" t="str">
        <f t="shared" si="174"/>
        <v/>
      </c>
      <c r="AD426" t="str">
        <f>COUNTIFS(AC$2:AC426,AC426)&amp;AC426</f>
        <v>425</v>
      </c>
      <c r="AE426" t="str">
        <f t="shared" si="159"/>
        <v/>
      </c>
      <c r="AF426" t="str">
        <f t="shared" si="175"/>
        <v>..</v>
      </c>
      <c r="AG426" s="28" t="str">
        <f t="shared" si="151"/>
        <v/>
      </c>
      <c r="AH426" s="28" t="str">
        <f t="shared" si="160"/>
        <v/>
      </c>
      <c r="AI426" t="str">
        <f t="shared" si="161"/>
        <v/>
      </c>
      <c r="AJ426" t="str">
        <f t="shared" si="162"/>
        <v/>
      </c>
      <c r="AK426" t="str">
        <f t="shared" si="163"/>
        <v/>
      </c>
      <c r="AL426" t="str">
        <f t="shared" si="164"/>
        <v/>
      </c>
      <c r="AM426" t="str">
        <f t="shared" si="165"/>
        <v/>
      </c>
      <c r="AN426" t="str">
        <f t="shared" si="166"/>
        <v/>
      </c>
      <c r="AO426" t="str">
        <f t="shared" si="167"/>
        <v/>
      </c>
      <c r="AP426" t="str">
        <f t="shared" si="168"/>
        <v/>
      </c>
      <c r="AQ426" t="str">
        <f t="shared" si="169"/>
        <v/>
      </c>
      <c r="AR426" t="str">
        <f t="shared" si="170"/>
        <v/>
      </c>
      <c r="AS426" t="str">
        <f t="shared" si="171"/>
        <v/>
      </c>
      <c r="AT426" t="str">
        <f t="shared" si="172"/>
        <v/>
      </c>
      <c r="AU426" s="25" t="str">
        <f t="shared" si="176"/>
        <v/>
      </c>
      <c r="BA426">
        <f>'REGISTER SK'!F429</f>
        <v>0</v>
      </c>
    </row>
    <row r="427" spans="1:53" x14ac:dyDescent="0.35">
      <c r="A427" s="18">
        <v>426</v>
      </c>
      <c r="B427" s="18"/>
      <c r="C427" s="18" t="str">
        <f>IF(G427="","",IF(G427="Umum",G427,VLOOKUP(F427,'Data Induk Pegawai'!B:AE,4,FALSE)))</f>
        <v/>
      </c>
      <c r="D427" s="19" t="str">
        <f>IF('REGISTER SK'!A430="","",IF('REGISTER SK'!B430=0,D426,'REGISTER SK'!B430))</f>
        <v/>
      </c>
      <c r="E427" s="19" t="str">
        <f t="shared" si="173"/>
        <v/>
      </c>
      <c r="F427" s="29"/>
      <c r="G427" s="29"/>
      <c r="H427" s="31" t="str">
        <f>IF(F427="","",VLOOKUP(F427,'Data Induk Pegawai'!B:U,2,FALSE))</f>
        <v/>
      </c>
      <c r="I427" s="19" t="str">
        <f>IF('REGISTER SK'!C430="","",'REGISTER SK'!C430)</f>
        <v/>
      </c>
      <c r="J427" s="125"/>
      <c r="K427" s="125"/>
      <c r="L427" s="26" t="str">
        <f>IF('REGISTER SK'!D430="","",'REGISTER SK'!D430)</f>
        <v/>
      </c>
      <c r="M427" s="26" t="str">
        <f>IF('REGISTER SK'!E430="","",'REGISTER SK'!E430)</f>
        <v/>
      </c>
      <c r="N427" s="31" t="str">
        <f>IF(G427="","",IF(OR(G427="GTT",G427="PTT"),"--",VLOOKUP(F427,'Data Induk Pegawai'!B:AE,4,FALSE)))</f>
        <v/>
      </c>
      <c r="O427" s="18" t="str">
        <f>IF(G427="","",VLOOKUP(F427,'Data Induk Pegawai'!B:AE,6,FALSE))</f>
        <v/>
      </c>
      <c r="P427" s="31" t="str">
        <f>IF(G427="","",VLOOKUP(F427,'Data Induk Pegawai'!B:AE,7,FALSE))</f>
        <v/>
      </c>
      <c r="Q427" s="30"/>
      <c r="R427" s="26" t="str">
        <f>IF(G427="","","Nomor "&amp;RIGHT(VLOOKUP(F427,'Data Induk Pegawai'!B:AE,12,FALSE),2)&amp;" Tahun "&amp;MID(VLOOKUP(F427,'Data Induk Pegawai'!B:AE,12,FALSE),5,4))</f>
        <v/>
      </c>
      <c r="S427" s="26" t="str">
        <f>IF(G427="","",VLOOKUP(F427,'Data Induk Pegawai'!B:AE,11,FALSE))</f>
        <v/>
      </c>
      <c r="T427" s="56"/>
      <c r="U427" s="18" t="str">
        <f t="shared" si="155"/>
        <v/>
      </c>
      <c r="V427" s="30"/>
      <c r="W427" s="18" t="str">
        <f t="shared" si="154"/>
        <v/>
      </c>
      <c r="Y427" t="str">
        <f t="shared" si="156"/>
        <v/>
      </c>
      <c r="Z427" t="str">
        <f t="shared" si="157"/>
        <v/>
      </c>
      <c r="AA427" t="str">
        <f t="shared" si="158"/>
        <v/>
      </c>
      <c r="AB427" t="str">
        <f>COUNTIFS(AC427:AC$596,AC427)&amp;AC427</f>
        <v>170</v>
      </c>
      <c r="AC427" t="str">
        <f t="shared" si="174"/>
        <v/>
      </c>
      <c r="AD427" t="str">
        <f>COUNTIFS(AC$2:AC427,AC427)&amp;AC427</f>
        <v>426</v>
      </c>
      <c r="AE427" t="str">
        <f t="shared" si="159"/>
        <v/>
      </c>
      <c r="AF427" t="str">
        <f t="shared" si="175"/>
        <v>..</v>
      </c>
      <c r="AG427" s="28" t="str">
        <f t="shared" si="151"/>
        <v/>
      </c>
      <c r="AH427" s="28" t="str">
        <f t="shared" si="160"/>
        <v/>
      </c>
      <c r="AI427" t="str">
        <f t="shared" si="161"/>
        <v/>
      </c>
      <c r="AJ427" t="str">
        <f t="shared" si="162"/>
        <v/>
      </c>
      <c r="AK427" t="str">
        <f t="shared" si="163"/>
        <v/>
      </c>
      <c r="AL427" t="str">
        <f t="shared" si="164"/>
        <v/>
      </c>
      <c r="AM427" t="str">
        <f t="shared" si="165"/>
        <v/>
      </c>
      <c r="AN427" t="str">
        <f t="shared" si="166"/>
        <v/>
      </c>
      <c r="AO427" t="str">
        <f t="shared" si="167"/>
        <v/>
      </c>
      <c r="AP427" t="str">
        <f t="shared" si="168"/>
        <v/>
      </c>
      <c r="AQ427" t="str">
        <f t="shared" si="169"/>
        <v/>
      </c>
      <c r="AR427" t="str">
        <f t="shared" si="170"/>
        <v/>
      </c>
      <c r="AS427" t="str">
        <f t="shared" si="171"/>
        <v/>
      </c>
      <c r="AT427" t="str">
        <f t="shared" si="172"/>
        <v/>
      </c>
      <c r="AU427" s="25" t="str">
        <f t="shared" si="176"/>
        <v/>
      </c>
      <c r="BA427">
        <f>'REGISTER SK'!F430</f>
        <v>0</v>
      </c>
    </row>
    <row r="428" spans="1:53" x14ac:dyDescent="0.35">
      <c r="A428" s="18">
        <v>427</v>
      </c>
      <c r="B428" s="18"/>
      <c r="C428" s="18" t="str">
        <f>IF(G428="","",IF(G428="Umum",G428,VLOOKUP(F428,'Data Induk Pegawai'!B:AE,4,FALSE)))</f>
        <v/>
      </c>
      <c r="D428" s="19" t="str">
        <f>IF('REGISTER SK'!A431="","",IF('REGISTER SK'!B431=0,D427,'REGISTER SK'!B431))</f>
        <v/>
      </c>
      <c r="E428" s="19" t="str">
        <f t="shared" si="173"/>
        <v/>
      </c>
      <c r="F428" s="29"/>
      <c r="G428" s="29"/>
      <c r="H428" s="31" t="str">
        <f>IF(F428="","",VLOOKUP(F428,'Data Induk Pegawai'!B:U,2,FALSE))</f>
        <v/>
      </c>
      <c r="I428" s="19" t="str">
        <f>IF('REGISTER SK'!C431="","",'REGISTER SK'!C431)</f>
        <v/>
      </c>
      <c r="J428" s="125"/>
      <c r="K428" s="125"/>
      <c r="L428" s="26" t="str">
        <f>IF('REGISTER SK'!D431="","",'REGISTER SK'!D431)</f>
        <v/>
      </c>
      <c r="M428" s="26" t="str">
        <f>IF('REGISTER SK'!E431="","",'REGISTER SK'!E431)</f>
        <v/>
      </c>
      <c r="N428" s="31" t="str">
        <f>IF(G428="","",IF(OR(G428="GTT",G428="PTT"),"--",VLOOKUP(F428,'Data Induk Pegawai'!B:AE,4,FALSE)))</f>
        <v/>
      </c>
      <c r="O428" s="18" t="str">
        <f>IF(G428="","",VLOOKUP(F428,'Data Induk Pegawai'!B:AE,6,FALSE))</f>
        <v/>
      </c>
      <c r="P428" s="31" t="str">
        <f>IF(G428="","",VLOOKUP(F428,'Data Induk Pegawai'!B:AE,7,FALSE))</f>
        <v/>
      </c>
      <c r="Q428" s="30"/>
      <c r="R428" s="26" t="str">
        <f>IF(G428="","","Nomor "&amp;RIGHT(VLOOKUP(F428,'Data Induk Pegawai'!B:AE,12,FALSE),2)&amp;" Tahun "&amp;MID(VLOOKUP(F428,'Data Induk Pegawai'!B:AE,12,FALSE),5,4))</f>
        <v/>
      </c>
      <c r="S428" s="26" t="str">
        <f>IF(G428="","",VLOOKUP(F428,'Data Induk Pegawai'!B:AE,11,FALSE))</f>
        <v/>
      </c>
      <c r="T428" s="56"/>
      <c r="U428" s="18" t="str">
        <f t="shared" si="155"/>
        <v/>
      </c>
      <c r="V428" s="30"/>
      <c r="W428" s="18" t="str">
        <f t="shared" si="154"/>
        <v/>
      </c>
      <c r="Y428" t="str">
        <f t="shared" si="156"/>
        <v/>
      </c>
      <c r="Z428" t="str">
        <f t="shared" si="157"/>
        <v/>
      </c>
      <c r="AA428" t="str">
        <f t="shared" si="158"/>
        <v/>
      </c>
      <c r="AB428" t="str">
        <f>COUNTIFS(AC428:AC$596,AC428)&amp;AC428</f>
        <v>169</v>
      </c>
      <c r="AC428" t="str">
        <f t="shared" si="174"/>
        <v/>
      </c>
      <c r="AD428" t="str">
        <f>COUNTIFS(AC$2:AC428,AC428)&amp;AC428</f>
        <v>427</v>
      </c>
      <c r="AE428" t="str">
        <f t="shared" si="159"/>
        <v/>
      </c>
      <c r="AF428" t="str">
        <f t="shared" si="175"/>
        <v>..</v>
      </c>
      <c r="AG428" s="28" t="str">
        <f t="shared" si="151"/>
        <v/>
      </c>
      <c r="AH428" s="28" t="str">
        <f t="shared" si="160"/>
        <v/>
      </c>
      <c r="AI428" t="str">
        <f t="shared" si="161"/>
        <v/>
      </c>
      <c r="AJ428" t="str">
        <f t="shared" si="162"/>
        <v/>
      </c>
      <c r="AK428" t="str">
        <f t="shared" si="163"/>
        <v/>
      </c>
      <c r="AL428" t="str">
        <f t="shared" si="164"/>
        <v/>
      </c>
      <c r="AM428" t="str">
        <f t="shared" si="165"/>
        <v/>
      </c>
      <c r="AN428" t="str">
        <f t="shared" si="166"/>
        <v/>
      </c>
      <c r="AO428" t="str">
        <f t="shared" si="167"/>
        <v/>
      </c>
      <c r="AP428" t="str">
        <f t="shared" si="168"/>
        <v/>
      </c>
      <c r="AQ428" t="str">
        <f t="shared" si="169"/>
        <v/>
      </c>
      <c r="AR428" t="str">
        <f t="shared" si="170"/>
        <v/>
      </c>
      <c r="AS428" t="str">
        <f t="shared" si="171"/>
        <v/>
      </c>
      <c r="AT428" t="str">
        <f t="shared" si="172"/>
        <v/>
      </c>
      <c r="AU428" s="25" t="str">
        <f t="shared" si="176"/>
        <v/>
      </c>
      <c r="BA428">
        <f>'REGISTER SK'!F431</f>
        <v>0</v>
      </c>
    </row>
    <row r="429" spans="1:53" x14ac:dyDescent="0.35">
      <c r="A429" s="18">
        <v>428</v>
      </c>
      <c r="B429" s="18"/>
      <c r="C429" s="18" t="str">
        <f>IF(G429="","",IF(G429="Umum",G429,VLOOKUP(F429,'Data Induk Pegawai'!B:AE,4,FALSE)))</f>
        <v/>
      </c>
      <c r="D429" s="19" t="str">
        <f>IF('REGISTER SK'!A432="","",IF('REGISTER SK'!B432=0,D428,'REGISTER SK'!B432))</f>
        <v/>
      </c>
      <c r="E429" s="19" t="str">
        <f t="shared" si="173"/>
        <v/>
      </c>
      <c r="F429" s="29"/>
      <c r="G429" s="29"/>
      <c r="H429" s="31" t="str">
        <f>IF(F429="","",VLOOKUP(F429,'Data Induk Pegawai'!B:U,2,FALSE))</f>
        <v/>
      </c>
      <c r="I429" s="19" t="str">
        <f>IF('REGISTER SK'!C432="","",'REGISTER SK'!C432)</f>
        <v/>
      </c>
      <c r="J429" s="125"/>
      <c r="K429" s="125"/>
      <c r="L429" s="26" t="str">
        <f>IF('REGISTER SK'!D432="","",'REGISTER SK'!D432)</f>
        <v/>
      </c>
      <c r="M429" s="26" t="str">
        <f>IF('REGISTER SK'!E432="","",'REGISTER SK'!E432)</f>
        <v/>
      </c>
      <c r="N429" s="31" t="str">
        <f>IF(G429="","",IF(OR(G429="GTT",G429="PTT"),"--",VLOOKUP(F429,'Data Induk Pegawai'!B:AE,4,FALSE)))</f>
        <v/>
      </c>
      <c r="O429" s="18" t="str">
        <f>IF(G429="","",VLOOKUP(F429,'Data Induk Pegawai'!B:AE,6,FALSE))</f>
        <v/>
      </c>
      <c r="P429" s="31" t="str">
        <f>IF(G429="","",VLOOKUP(F429,'Data Induk Pegawai'!B:AE,7,FALSE))</f>
        <v/>
      </c>
      <c r="Q429" s="30"/>
      <c r="R429" s="26" t="str">
        <f>IF(G429="","","Nomor "&amp;RIGHT(VLOOKUP(F429,'Data Induk Pegawai'!B:AE,12,FALSE),2)&amp;" Tahun "&amp;MID(VLOOKUP(F429,'Data Induk Pegawai'!B:AE,12,FALSE),5,4))</f>
        <v/>
      </c>
      <c r="S429" s="26" t="str">
        <f>IF(G429="","",VLOOKUP(F429,'Data Induk Pegawai'!B:AE,11,FALSE))</f>
        <v/>
      </c>
      <c r="T429" s="56"/>
      <c r="U429" s="18" t="str">
        <f t="shared" si="155"/>
        <v/>
      </c>
      <c r="V429" s="30"/>
      <c r="W429" s="18" t="str">
        <f t="shared" si="154"/>
        <v/>
      </c>
      <c r="Y429" t="str">
        <f t="shared" si="156"/>
        <v/>
      </c>
      <c r="Z429" t="str">
        <f t="shared" si="157"/>
        <v/>
      </c>
      <c r="AA429" t="str">
        <f t="shared" si="158"/>
        <v/>
      </c>
      <c r="AB429" t="str">
        <f>COUNTIFS(AC429:AC$596,AC429)&amp;AC429</f>
        <v>168</v>
      </c>
      <c r="AC429" t="str">
        <f t="shared" si="174"/>
        <v/>
      </c>
      <c r="AD429" t="str">
        <f>COUNTIFS(AC$2:AC429,AC429)&amp;AC429</f>
        <v>428</v>
      </c>
      <c r="AE429" t="str">
        <f t="shared" si="159"/>
        <v/>
      </c>
      <c r="AF429" t="str">
        <f t="shared" si="175"/>
        <v>..</v>
      </c>
      <c r="AG429" s="28" t="str">
        <f t="shared" si="151"/>
        <v/>
      </c>
      <c r="AH429" s="28" t="str">
        <f t="shared" si="160"/>
        <v/>
      </c>
      <c r="AI429" t="str">
        <f t="shared" si="161"/>
        <v/>
      </c>
      <c r="AJ429" t="str">
        <f t="shared" si="162"/>
        <v/>
      </c>
      <c r="AK429" t="str">
        <f t="shared" si="163"/>
        <v/>
      </c>
      <c r="AL429" t="str">
        <f t="shared" si="164"/>
        <v/>
      </c>
      <c r="AM429" t="str">
        <f t="shared" si="165"/>
        <v/>
      </c>
      <c r="AN429" t="str">
        <f t="shared" si="166"/>
        <v/>
      </c>
      <c r="AO429" t="str">
        <f t="shared" si="167"/>
        <v/>
      </c>
      <c r="AP429" t="str">
        <f t="shared" si="168"/>
        <v/>
      </c>
      <c r="AQ429" t="str">
        <f t="shared" si="169"/>
        <v/>
      </c>
      <c r="AR429" t="str">
        <f t="shared" si="170"/>
        <v/>
      </c>
      <c r="AS429" t="str">
        <f t="shared" si="171"/>
        <v/>
      </c>
      <c r="AT429" t="str">
        <f t="shared" si="172"/>
        <v/>
      </c>
      <c r="AU429" s="25" t="str">
        <f t="shared" si="176"/>
        <v/>
      </c>
      <c r="BA429">
        <f>'REGISTER SK'!F432</f>
        <v>0</v>
      </c>
    </row>
    <row r="430" spans="1:53" x14ac:dyDescent="0.35">
      <c r="A430" s="18">
        <v>429</v>
      </c>
      <c r="B430" s="18"/>
      <c r="C430" s="18" t="str">
        <f>IF(G430="","",IF(G430="Umum",G430,VLOOKUP(F430,'Data Induk Pegawai'!B:AE,4,FALSE)))</f>
        <v/>
      </c>
      <c r="D430" s="19" t="str">
        <f>IF('REGISTER SK'!A433="","",IF('REGISTER SK'!B433=0,D429,'REGISTER SK'!B433))</f>
        <v/>
      </c>
      <c r="E430" s="19" t="str">
        <f t="shared" si="173"/>
        <v/>
      </c>
      <c r="F430" s="29"/>
      <c r="G430" s="29"/>
      <c r="H430" s="31" t="str">
        <f>IF(F430="","",VLOOKUP(F430,'Data Induk Pegawai'!B:U,2,FALSE))</f>
        <v/>
      </c>
      <c r="I430" s="19" t="str">
        <f>IF('REGISTER SK'!C433="","",'REGISTER SK'!C433)</f>
        <v/>
      </c>
      <c r="J430" s="125"/>
      <c r="K430" s="125"/>
      <c r="L430" s="26" t="str">
        <f>IF('REGISTER SK'!D433="","",'REGISTER SK'!D433)</f>
        <v/>
      </c>
      <c r="M430" s="26" t="str">
        <f>IF('REGISTER SK'!E433="","",'REGISTER SK'!E433)</f>
        <v/>
      </c>
      <c r="N430" s="31" t="str">
        <f>IF(G430="","",IF(OR(G430="GTT",G430="PTT"),"--",VLOOKUP(F430,'Data Induk Pegawai'!B:AE,4,FALSE)))</f>
        <v/>
      </c>
      <c r="O430" s="18" t="str">
        <f>IF(G430="","",VLOOKUP(F430,'Data Induk Pegawai'!B:AE,6,FALSE))</f>
        <v/>
      </c>
      <c r="P430" s="31" t="str">
        <f>IF(G430="","",VLOOKUP(F430,'Data Induk Pegawai'!B:AE,7,FALSE))</f>
        <v/>
      </c>
      <c r="Q430" s="30"/>
      <c r="R430" s="26" t="str">
        <f>IF(G430="","","Nomor "&amp;RIGHT(VLOOKUP(F430,'Data Induk Pegawai'!B:AE,12,FALSE),2)&amp;" Tahun "&amp;MID(VLOOKUP(F430,'Data Induk Pegawai'!B:AE,12,FALSE),5,4))</f>
        <v/>
      </c>
      <c r="S430" s="26" t="str">
        <f>IF(G430="","",VLOOKUP(F430,'Data Induk Pegawai'!B:AE,11,FALSE))</f>
        <v/>
      </c>
      <c r="T430" s="56"/>
      <c r="U430" s="18" t="str">
        <f t="shared" si="155"/>
        <v/>
      </c>
      <c r="V430" s="30"/>
      <c r="W430" s="18" t="str">
        <f t="shared" si="154"/>
        <v/>
      </c>
      <c r="Y430" t="str">
        <f t="shared" si="156"/>
        <v/>
      </c>
      <c r="Z430" t="str">
        <f t="shared" si="157"/>
        <v/>
      </c>
      <c r="AA430" t="str">
        <f t="shared" si="158"/>
        <v/>
      </c>
      <c r="AB430" t="str">
        <f>COUNTIFS(AC430:AC$596,AC430)&amp;AC430</f>
        <v>167</v>
      </c>
      <c r="AC430" t="str">
        <f t="shared" si="174"/>
        <v/>
      </c>
      <c r="AD430" t="str">
        <f>COUNTIFS(AC$2:AC430,AC430)&amp;AC430</f>
        <v>429</v>
      </c>
      <c r="AE430" t="str">
        <f t="shared" si="159"/>
        <v/>
      </c>
      <c r="AF430" t="str">
        <f t="shared" si="175"/>
        <v>..</v>
      </c>
      <c r="AG430" s="28" t="str">
        <f t="shared" ref="AG430:AG469" si="177">L430</f>
        <v/>
      </c>
      <c r="AH430" s="28" t="str">
        <f t="shared" si="160"/>
        <v/>
      </c>
      <c r="AI430" t="str">
        <f t="shared" si="161"/>
        <v/>
      </c>
      <c r="AJ430" t="str">
        <f t="shared" si="162"/>
        <v/>
      </c>
      <c r="AK430" t="str">
        <f t="shared" si="163"/>
        <v/>
      </c>
      <c r="AL430" t="str">
        <f t="shared" si="164"/>
        <v/>
      </c>
      <c r="AM430" t="str">
        <f t="shared" si="165"/>
        <v/>
      </c>
      <c r="AN430" t="str">
        <f t="shared" si="166"/>
        <v/>
      </c>
      <c r="AO430" t="str">
        <f t="shared" si="167"/>
        <v/>
      </c>
      <c r="AP430" t="str">
        <f t="shared" si="168"/>
        <v/>
      </c>
      <c r="AQ430" t="str">
        <f t="shared" si="169"/>
        <v/>
      </c>
      <c r="AR430" t="str">
        <f t="shared" si="170"/>
        <v/>
      </c>
      <c r="AS430" t="str">
        <f t="shared" si="171"/>
        <v/>
      </c>
      <c r="AT430" t="str">
        <f t="shared" si="172"/>
        <v/>
      </c>
      <c r="AU430" s="25" t="str">
        <f t="shared" si="176"/>
        <v/>
      </c>
      <c r="BA430">
        <f>'REGISTER SK'!F433</f>
        <v>0</v>
      </c>
    </row>
    <row r="431" spans="1:53" x14ac:dyDescent="0.35">
      <c r="A431" s="18">
        <v>430</v>
      </c>
      <c r="B431" s="18"/>
      <c r="C431" s="18" t="str">
        <f>IF(G431="","",IF(G431="Umum",G431,VLOOKUP(F431,'Data Induk Pegawai'!B:AE,4,FALSE)))</f>
        <v/>
      </c>
      <c r="D431" s="19" t="str">
        <f>IF('REGISTER SK'!A434="","",IF('REGISTER SK'!B434=0,D430,'REGISTER SK'!B434))</f>
        <v/>
      </c>
      <c r="E431" s="19" t="str">
        <f t="shared" si="173"/>
        <v/>
      </c>
      <c r="F431" s="29"/>
      <c r="G431" s="29"/>
      <c r="H431" s="31" t="str">
        <f>IF(F431="","",VLOOKUP(F431,'Data Induk Pegawai'!B:U,2,FALSE))</f>
        <v/>
      </c>
      <c r="I431" s="19" t="str">
        <f>IF('REGISTER SK'!C434="","",'REGISTER SK'!C434)</f>
        <v/>
      </c>
      <c r="J431" s="125"/>
      <c r="K431" s="125"/>
      <c r="L431" s="26" t="str">
        <f>IF('REGISTER SK'!D434="","",'REGISTER SK'!D434)</f>
        <v/>
      </c>
      <c r="M431" s="26" t="str">
        <f>IF('REGISTER SK'!E434="","",'REGISTER SK'!E434)</f>
        <v/>
      </c>
      <c r="N431" s="31" t="str">
        <f>IF(G431="","",IF(OR(G431="GTT",G431="PTT"),"--",VLOOKUP(F431,'Data Induk Pegawai'!B:AE,4,FALSE)))</f>
        <v/>
      </c>
      <c r="O431" s="18" t="str">
        <f>IF(G431="","",VLOOKUP(F431,'Data Induk Pegawai'!B:AE,6,FALSE))</f>
        <v/>
      </c>
      <c r="P431" s="31" t="str">
        <f>IF(G431="","",VLOOKUP(F431,'Data Induk Pegawai'!B:AE,7,FALSE))</f>
        <v/>
      </c>
      <c r="Q431" s="30"/>
      <c r="R431" s="26" t="str">
        <f>IF(G431="","","Nomor "&amp;RIGHT(VLOOKUP(F431,'Data Induk Pegawai'!B:AE,12,FALSE),2)&amp;" Tahun "&amp;MID(VLOOKUP(F431,'Data Induk Pegawai'!B:AE,12,FALSE),5,4))</f>
        <v/>
      </c>
      <c r="S431" s="26" t="str">
        <f>IF(G431="","",VLOOKUP(F431,'Data Induk Pegawai'!B:AE,11,FALSE))</f>
        <v/>
      </c>
      <c r="T431" s="56"/>
      <c r="U431" s="18" t="str">
        <f t="shared" si="155"/>
        <v/>
      </c>
      <c r="V431" s="30"/>
      <c r="W431" s="18" t="str">
        <f t="shared" si="154"/>
        <v/>
      </c>
      <c r="Y431" t="str">
        <f t="shared" si="156"/>
        <v/>
      </c>
      <c r="Z431" t="str">
        <f t="shared" si="157"/>
        <v/>
      </c>
      <c r="AA431" t="str">
        <f t="shared" si="158"/>
        <v/>
      </c>
      <c r="AB431" t="str">
        <f>COUNTIFS(AC431:AC$596,AC431)&amp;AC431</f>
        <v>166</v>
      </c>
      <c r="AC431" t="str">
        <f t="shared" si="174"/>
        <v/>
      </c>
      <c r="AD431" t="str">
        <f>COUNTIFS(AC$2:AC431,AC431)&amp;AC431</f>
        <v>430</v>
      </c>
      <c r="AE431" t="str">
        <f t="shared" si="159"/>
        <v/>
      </c>
      <c r="AF431" t="str">
        <f t="shared" si="175"/>
        <v>..</v>
      </c>
      <c r="AG431" s="28" t="str">
        <f t="shared" si="177"/>
        <v/>
      </c>
      <c r="AH431" s="28" t="str">
        <f t="shared" si="160"/>
        <v/>
      </c>
      <c r="AI431" t="str">
        <f t="shared" si="161"/>
        <v/>
      </c>
      <c r="AJ431" t="str">
        <f t="shared" si="162"/>
        <v/>
      </c>
      <c r="AK431" t="str">
        <f t="shared" si="163"/>
        <v/>
      </c>
      <c r="AL431" t="str">
        <f t="shared" si="164"/>
        <v/>
      </c>
      <c r="AM431" t="str">
        <f t="shared" si="165"/>
        <v/>
      </c>
      <c r="AN431" t="str">
        <f t="shared" si="166"/>
        <v/>
      </c>
      <c r="AO431" t="str">
        <f t="shared" si="167"/>
        <v/>
      </c>
      <c r="AP431" t="str">
        <f t="shared" si="168"/>
        <v/>
      </c>
      <c r="AQ431" t="str">
        <f t="shared" si="169"/>
        <v/>
      </c>
      <c r="AR431" t="str">
        <f t="shared" si="170"/>
        <v/>
      </c>
      <c r="AS431" t="str">
        <f t="shared" si="171"/>
        <v/>
      </c>
      <c r="AT431" t="str">
        <f t="shared" si="172"/>
        <v/>
      </c>
      <c r="AU431" s="25" t="str">
        <f t="shared" si="176"/>
        <v/>
      </c>
      <c r="BA431">
        <f>'REGISTER SK'!F434</f>
        <v>0</v>
      </c>
    </row>
    <row r="432" spans="1:53" x14ac:dyDescent="0.35">
      <c r="A432" s="18">
        <v>431</v>
      </c>
      <c r="B432" s="18"/>
      <c r="C432" s="18" t="str">
        <f>IF(G432="","",IF(G432="Umum",G432,VLOOKUP(F432,'Data Induk Pegawai'!B:AE,4,FALSE)))</f>
        <v/>
      </c>
      <c r="D432" s="19" t="str">
        <f>IF('REGISTER SK'!A435="","",IF('REGISTER SK'!B435=0,D431,'REGISTER SK'!B435))</f>
        <v/>
      </c>
      <c r="E432" s="19" t="str">
        <f t="shared" si="173"/>
        <v/>
      </c>
      <c r="F432" s="29"/>
      <c r="G432" s="29"/>
      <c r="H432" s="31" t="str">
        <f>IF(F432="","",VLOOKUP(F432,'Data Induk Pegawai'!B:U,2,FALSE))</f>
        <v/>
      </c>
      <c r="I432" s="19" t="str">
        <f>IF('REGISTER SK'!C435="","",'REGISTER SK'!C435)</f>
        <v/>
      </c>
      <c r="J432" s="125"/>
      <c r="K432" s="125"/>
      <c r="L432" s="26" t="str">
        <f>IF('REGISTER SK'!D435="","",'REGISTER SK'!D435)</f>
        <v/>
      </c>
      <c r="M432" s="26" t="str">
        <f>IF('REGISTER SK'!E435="","",'REGISTER SK'!E435)</f>
        <v/>
      </c>
      <c r="N432" s="31" t="str">
        <f>IF(G432="","",IF(OR(G432="GTT",G432="PTT"),"--",VLOOKUP(F432,'Data Induk Pegawai'!B:AE,4,FALSE)))</f>
        <v/>
      </c>
      <c r="O432" s="18" t="str">
        <f>IF(G432="","",VLOOKUP(F432,'Data Induk Pegawai'!B:AE,6,FALSE))</f>
        <v/>
      </c>
      <c r="P432" s="31" t="str">
        <f>IF(G432="","",VLOOKUP(F432,'Data Induk Pegawai'!B:AE,7,FALSE))</f>
        <v/>
      </c>
      <c r="Q432" s="30"/>
      <c r="R432" s="26" t="str">
        <f>IF(G432="","","Nomor "&amp;RIGHT(VLOOKUP(F432,'Data Induk Pegawai'!B:AE,12,FALSE),2)&amp;" Tahun "&amp;MID(VLOOKUP(F432,'Data Induk Pegawai'!B:AE,12,FALSE),5,4))</f>
        <v/>
      </c>
      <c r="S432" s="26" t="str">
        <f>IF(G432="","",VLOOKUP(F432,'Data Induk Pegawai'!B:AE,11,FALSE))</f>
        <v/>
      </c>
      <c r="T432" s="56"/>
      <c r="U432" s="18" t="str">
        <f t="shared" si="155"/>
        <v/>
      </c>
      <c r="V432" s="30"/>
      <c r="W432" s="18" t="str">
        <f t="shared" si="154"/>
        <v/>
      </c>
      <c r="Y432" t="str">
        <f t="shared" si="156"/>
        <v/>
      </c>
      <c r="Z432" t="str">
        <f t="shared" si="157"/>
        <v/>
      </c>
      <c r="AA432" t="str">
        <f t="shared" si="158"/>
        <v/>
      </c>
      <c r="AB432" t="str">
        <f>COUNTIFS(AC432:AC$596,AC432)&amp;AC432</f>
        <v>165</v>
      </c>
      <c r="AC432" t="str">
        <f t="shared" si="174"/>
        <v/>
      </c>
      <c r="AD432" t="str">
        <f>COUNTIFS(AC$2:AC432,AC432)&amp;AC432</f>
        <v>431</v>
      </c>
      <c r="AE432" t="str">
        <f t="shared" si="159"/>
        <v/>
      </c>
      <c r="AF432" t="str">
        <f t="shared" si="175"/>
        <v>..</v>
      </c>
      <c r="AG432" s="28" t="str">
        <f t="shared" si="177"/>
        <v/>
      </c>
      <c r="AH432" s="28" t="str">
        <f t="shared" si="160"/>
        <v/>
      </c>
      <c r="AI432" t="str">
        <f t="shared" si="161"/>
        <v/>
      </c>
      <c r="AJ432" t="str">
        <f t="shared" si="162"/>
        <v/>
      </c>
      <c r="AK432" t="str">
        <f t="shared" si="163"/>
        <v/>
      </c>
      <c r="AL432" t="str">
        <f t="shared" si="164"/>
        <v/>
      </c>
      <c r="AM432" t="str">
        <f t="shared" si="165"/>
        <v/>
      </c>
      <c r="AN432" t="str">
        <f t="shared" si="166"/>
        <v/>
      </c>
      <c r="AO432" t="str">
        <f t="shared" si="167"/>
        <v/>
      </c>
      <c r="AP432" t="str">
        <f t="shared" si="168"/>
        <v/>
      </c>
      <c r="AQ432" t="str">
        <f t="shared" si="169"/>
        <v/>
      </c>
      <c r="AR432" t="str">
        <f t="shared" si="170"/>
        <v/>
      </c>
      <c r="AS432" t="str">
        <f t="shared" si="171"/>
        <v/>
      </c>
      <c r="AT432" t="str">
        <f t="shared" si="172"/>
        <v/>
      </c>
      <c r="AU432" s="25" t="str">
        <f t="shared" si="176"/>
        <v/>
      </c>
      <c r="BA432">
        <f>'REGISTER SK'!F435</f>
        <v>0</v>
      </c>
    </row>
    <row r="433" spans="1:53" x14ac:dyDescent="0.35">
      <c r="A433" s="18">
        <v>432</v>
      </c>
      <c r="B433" s="18"/>
      <c r="C433" s="18" t="str">
        <f>IF(G433="","",IF(G433="Umum",G433,VLOOKUP(F433,'Data Induk Pegawai'!B:AE,4,FALSE)))</f>
        <v/>
      </c>
      <c r="D433" s="19" t="str">
        <f>IF('REGISTER SK'!A436="","",IF('REGISTER SK'!B436=0,D432,'REGISTER SK'!B436))</f>
        <v/>
      </c>
      <c r="E433" s="19" t="str">
        <f t="shared" si="173"/>
        <v/>
      </c>
      <c r="F433" s="29"/>
      <c r="G433" s="29"/>
      <c r="H433" s="31" t="str">
        <f>IF(F433="","",VLOOKUP(F433,'Data Induk Pegawai'!B:U,2,FALSE))</f>
        <v/>
      </c>
      <c r="I433" s="19" t="str">
        <f>IF('REGISTER SK'!C436="","",'REGISTER SK'!C436)</f>
        <v/>
      </c>
      <c r="J433" s="125"/>
      <c r="K433" s="125"/>
      <c r="L433" s="26" t="str">
        <f>IF('REGISTER SK'!D436="","",'REGISTER SK'!D436)</f>
        <v/>
      </c>
      <c r="M433" s="26" t="str">
        <f>IF('REGISTER SK'!E436="","",'REGISTER SK'!E436)</f>
        <v/>
      </c>
      <c r="N433" s="31" t="str">
        <f>IF(G433="","",IF(OR(G433="GTT",G433="PTT"),"--",VLOOKUP(F433,'Data Induk Pegawai'!B:AE,4,FALSE)))</f>
        <v/>
      </c>
      <c r="O433" s="18" t="str">
        <f>IF(G433="","",VLOOKUP(F433,'Data Induk Pegawai'!B:AE,6,FALSE))</f>
        <v/>
      </c>
      <c r="P433" s="31" t="str">
        <f>IF(G433="","",VLOOKUP(F433,'Data Induk Pegawai'!B:AE,7,FALSE))</f>
        <v/>
      </c>
      <c r="Q433" s="30"/>
      <c r="R433" s="26" t="str">
        <f>IF(G433="","","Nomor "&amp;RIGHT(VLOOKUP(F433,'Data Induk Pegawai'!B:AE,12,FALSE),2)&amp;" Tahun "&amp;MID(VLOOKUP(F433,'Data Induk Pegawai'!B:AE,12,FALSE),5,4))</f>
        <v/>
      </c>
      <c r="S433" s="26" t="str">
        <f>IF(G433="","",VLOOKUP(F433,'Data Induk Pegawai'!B:AE,11,FALSE))</f>
        <v/>
      </c>
      <c r="T433" s="56"/>
      <c r="U433" s="18" t="str">
        <f t="shared" si="155"/>
        <v/>
      </c>
      <c r="V433" s="30"/>
      <c r="W433" s="18" t="str">
        <f t="shared" si="154"/>
        <v/>
      </c>
      <c r="Y433" t="str">
        <f t="shared" si="156"/>
        <v/>
      </c>
      <c r="Z433" t="str">
        <f t="shared" si="157"/>
        <v/>
      </c>
      <c r="AA433" t="str">
        <f t="shared" si="158"/>
        <v/>
      </c>
      <c r="AB433" t="str">
        <f>COUNTIFS(AC433:AC$596,AC433)&amp;AC433</f>
        <v>164</v>
      </c>
      <c r="AC433" t="str">
        <f t="shared" si="174"/>
        <v/>
      </c>
      <c r="AD433" t="str">
        <f>COUNTIFS(AC$2:AC433,AC433)&amp;AC433</f>
        <v>432</v>
      </c>
      <c r="AE433" t="str">
        <f t="shared" si="159"/>
        <v/>
      </c>
      <c r="AF433" t="str">
        <f t="shared" si="175"/>
        <v>..</v>
      </c>
      <c r="AG433" s="28" t="str">
        <f t="shared" si="177"/>
        <v/>
      </c>
      <c r="AH433" s="28" t="str">
        <f t="shared" si="160"/>
        <v/>
      </c>
      <c r="AI433" t="str">
        <f t="shared" si="161"/>
        <v/>
      </c>
      <c r="AJ433" t="str">
        <f t="shared" si="162"/>
        <v/>
      </c>
      <c r="AK433" t="str">
        <f t="shared" si="163"/>
        <v/>
      </c>
      <c r="AL433" t="str">
        <f t="shared" si="164"/>
        <v/>
      </c>
      <c r="AM433" t="str">
        <f t="shared" si="165"/>
        <v/>
      </c>
      <c r="AN433" t="str">
        <f t="shared" si="166"/>
        <v/>
      </c>
      <c r="AO433" t="str">
        <f t="shared" si="167"/>
        <v/>
      </c>
      <c r="AP433" t="str">
        <f t="shared" si="168"/>
        <v/>
      </c>
      <c r="AQ433" t="str">
        <f t="shared" si="169"/>
        <v/>
      </c>
      <c r="AR433" t="str">
        <f t="shared" si="170"/>
        <v/>
      </c>
      <c r="AS433" t="str">
        <f t="shared" si="171"/>
        <v/>
      </c>
      <c r="AT433" t="str">
        <f t="shared" si="172"/>
        <v/>
      </c>
      <c r="AU433" s="25" t="str">
        <f t="shared" si="176"/>
        <v/>
      </c>
      <c r="BA433">
        <f>'REGISTER SK'!F436</f>
        <v>0</v>
      </c>
    </row>
    <row r="434" spans="1:53" x14ac:dyDescent="0.35">
      <c r="A434" s="18">
        <v>433</v>
      </c>
      <c r="B434" s="18"/>
      <c r="C434" s="18" t="str">
        <f>IF(G434="","",IF(G434="Umum",G434,VLOOKUP(F434,'Data Induk Pegawai'!B:AE,4,FALSE)))</f>
        <v/>
      </c>
      <c r="D434" s="19" t="str">
        <f>IF('REGISTER SK'!A437="","",IF('REGISTER SK'!B437=0,D433,'REGISTER SK'!B437))</f>
        <v/>
      </c>
      <c r="E434" s="19" t="str">
        <f t="shared" si="173"/>
        <v/>
      </c>
      <c r="F434" s="29"/>
      <c r="G434" s="29"/>
      <c r="H434" s="31" t="str">
        <f>IF(F434="","",VLOOKUP(F434,'Data Induk Pegawai'!B:U,2,FALSE))</f>
        <v/>
      </c>
      <c r="I434" s="19" t="str">
        <f>IF('REGISTER SK'!C437="","",'REGISTER SK'!C437)</f>
        <v/>
      </c>
      <c r="J434" s="125"/>
      <c r="K434" s="125"/>
      <c r="L434" s="26" t="str">
        <f>IF('REGISTER SK'!D437="","",'REGISTER SK'!D437)</f>
        <v/>
      </c>
      <c r="M434" s="26" t="str">
        <f>IF('REGISTER SK'!E437="","",'REGISTER SK'!E437)</f>
        <v/>
      </c>
      <c r="N434" s="31" t="str">
        <f>IF(G434="","",IF(OR(G434="GTT",G434="PTT"),"--",VLOOKUP(F434,'Data Induk Pegawai'!B:AE,4,FALSE)))</f>
        <v/>
      </c>
      <c r="O434" s="18" t="str">
        <f>IF(G434="","",VLOOKUP(F434,'Data Induk Pegawai'!B:AE,6,FALSE))</f>
        <v/>
      </c>
      <c r="P434" s="31" t="str">
        <f>IF(G434="","",VLOOKUP(F434,'Data Induk Pegawai'!B:AE,7,FALSE))</f>
        <v/>
      </c>
      <c r="Q434" s="30"/>
      <c r="R434" s="26" t="str">
        <f>IF(G434="","","Nomor "&amp;RIGHT(VLOOKUP(F434,'Data Induk Pegawai'!B:AE,12,FALSE),2)&amp;" Tahun "&amp;MID(VLOOKUP(F434,'Data Induk Pegawai'!B:AE,12,FALSE),5,4))</f>
        <v/>
      </c>
      <c r="S434" s="26" t="str">
        <f>IF(G434="","",VLOOKUP(F434,'Data Induk Pegawai'!B:AE,11,FALSE))</f>
        <v/>
      </c>
      <c r="T434" s="56"/>
      <c r="U434" s="18" t="str">
        <f t="shared" si="155"/>
        <v/>
      </c>
      <c r="V434" s="30"/>
      <c r="W434" s="18" t="str">
        <f t="shared" si="154"/>
        <v/>
      </c>
      <c r="Y434" t="str">
        <f t="shared" si="156"/>
        <v/>
      </c>
      <c r="Z434" t="str">
        <f t="shared" si="157"/>
        <v/>
      </c>
      <c r="AA434" t="str">
        <f t="shared" si="158"/>
        <v/>
      </c>
      <c r="AB434" t="str">
        <f>COUNTIFS(AC434:AC$596,AC434)&amp;AC434</f>
        <v>163</v>
      </c>
      <c r="AC434" t="str">
        <f t="shared" si="174"/>
        <v/>
      </c>
      <c r="AD434" t="str">
        <f>COUNTIFS(AC$2:AC434,AC434)&amp;AC434</f>
        <v>433</v>
      </c>
      <c r="AE434" t="str">
        <f t="shared" si="159"/>
        <v/>
      </c>
      <c r="AF434" t="str">
        <f t="shared" si="175"/>
        <v>..</v>
      </c>
      <c r="AG434" s="28" t="str">
        <f t="shared" si="177"/>
        <v/>
      </c>
      <c r="AH434" s="28" t="str">
        <f t="shared" si="160"/>
        <v/>
      </c>
      <c r="AI434" t="str">
        <f t="shared" si="161"/>
        <v/>
      </c>
      <c r="AJ434" t="str">
        <f t="shared" si="162"/>
        <v/>
      </c>
      <c r="AK434" t="str">
        <f t="shared" si="163"/>
        <v/>
      </c>
      <c r="AL434" t="str">
        <f t="shared" si="164"/>
        <v/>
      </c>
      <c r="AM434" t="str">
        <f t="shared" si="165"/>
        <v/>
      </c>
      <c r="AN434" t="str">
        <f t="shared" si="166"/>
        <v/>
      </c>
      <c r="AO434" t="str">
        <f t="shared" si="167"/>
        <v/>
      </c>
      <c r="AP434" t="str">
        <f t="shared" si="168"/>
        <v/>
      </c>
      <c r="AQ434" t="str">
        <f t="shared" si="169"/>
        <v/>
      </c>
      <c r="AR434" t="str">
        <f t="shared" si="170"/>
        <v/>
      </c>
      <c r="AS434" t="str">
        <f t="shared" si="171"/>
        <v/>
      </c>
      <c r="AT434" t="str">
        <f t="shared" si="172"/>
        <v/>
      </c>
      <c r="AU434" s="25" t="str">
        <f t="shared" si="176"/>
        <v/>
      </c>
      <c r="BA434">
        <f>'REGISTER SK'!F437</f>
        <v>0</v>
      </c>
    </row>
    <row r="435" spans="1:53" x14ac:dyDescent="0.35">
      <c r="A435" s="18">
        <v>434</v>
      </c>
      <c r="B435" s="18"/>
      <c r="C435" s="18" t="str">
        <f>IF(G435="","",IF(G435="Umum",G435,VLOOKUP(F435,'Data Induk Pegawai'!B:AE,4,FALSE)))</f>
        <v/>
      </c>
      <c r="D435" s="19" t="str">
        <f>IF('REGISTER SK'!A438="","",IF('REGISTER SK'!B438=0,D434,'REGISTER SK'!B438))</f>
        <v/>
      </c>
      <c r="E435" s="19" t="str">
        <f t="shared" si="173"/>
        <v/>
      </c>
      <c r="F435" s="29"/>
      <c r="G435" s="29"/>
      <c r="H435" s="31" t="str">
        <f>IF(F435="","",VLOOKUP(F435,'Data Induk Pegawai'!B:U,2,FALSE))</f>
        <v/>
      </c>
      <c r="I435" s="19" t="str">
        <f>IF('REGISTER SK'!C438="","",'REGISTER SK'!C438)</f>
        <v/>
      </c>
      <c r="J435" s="125"/>
      <c r="K435" s="125"/>
      <c r="L435" s="26" t="str">
        <f>IF('REGISTER SK'!D438="","",'REGISTER SK'!D438)</f>
        <v/>
      </c>
      <c r="M435" s="26" t="str">
        <f>IF('REGISTER SK'!E438="","",'REGISTER SK'!E438)</f>
        <v/>
      </c>
      <c r="N435" s="31" t="str">
        <f>IF(G435="","",IF(OR(G435="GTT",G435="PTT"),"--",VLOOKUP(F435,'Data Induk Pegawai'!B:AE,4,FALSE)))</f>
        <v/>
      </c>
      <c r="O435" s="18" t="str">
        <f>IF(G435="","",VLOOKUP(F435,'Data Induk Pegawai'!B:AE,6,FALSE))</f>
        <v/>
      </c>
      <c r="P435" s="31" t="str">
        <f>IF(G435="","",VLOOKUP(F435,'Data Induk Pegawai'!B:AE,7,FALSE))</f>
        <v/>
      </c>
      <c r="Q435" s="30"/>
      <c r="R435" s="26" t="str">
        <f>IF(G435="","","Nomor "&amp;RIGHT(VLOOKUP(F435,'Data Induk Pegawai'!B:AE,12,FALSE),2)&amp;" Tahun "&amp;MID(VLOOKUP(F435,'Data Induk Pegawai'!B:AE,12,FALSE),5,4))</f>
        <v/>
      </c>
      <c r="S435" s="26" t="str">
        <f>IF(G435="","",VLOOKUP(F435,'Data Induk Pegawai'!B:AE,11,FALSE))</f>
        <v/>
      </c>
      <c r="T435" s="56"/>
      <c r="U435" s="18" t="str">
        <f t="shared" si="155"/>
        <v/>
      </c>
      <c r="V435" s="30"/>
      <c r="W435" s="18" t="str">
        <f t="shared" si="154"/>
        <v/>
      </c>
      <c r="Y435" t="str">
        <f t="shared" si="156"/>
        <v/>
      </c>
      <c r="Z435" t="str">
        <f t="shared" si="157"/>
        <v/>
      </c>
      <c r="AA435" t="str">
        <f t="shared" si="158"/>
        <v/>
      </c>
      <c r="AB435" t="str">
        <f>COUNTIFS(AC435:AC$596,AC435)&amp;AC435</f>
        <v>162</v>
      </c>
      <c r="AC435" t="str">
        <f t="shared" si="174"/>
        <v/>
      </c>
      <c r="AD435" t="str">
        <f>COUNTIFS(AC$2:AC435,AC435)&amp;AC435</f>
        <v>434</v>
      </c>
      <c r="AE435" t="str">
        <f t="shared" si="159"/>
        <v/>
      </c>
      <c r="AF435" t="str">
        <f t="shared" si="175"/>
        <v>..</v>
      </c>
      <c r="AG435" s="28" t="str">
        <f t="shared" si="177"/>
        <v/>
      </c>
      <c r="AH435" s="28" t="str">
        <f t="shared" si="160"/>
        <v/>
      </c>
      <c r="AI435" t="str">
        <f t="shared" si="161"/>
        <v/>
      </c>
      <c r="AJ435" t="str">
        <f t="shared" si="162"/>
        <v/>
      </c>
      <c r="AK435" t="str">
        <f t="shared" si="163"/>
        <v/>
      </c>
      <c r="AL435" t="str">
        <f t="shared" si="164"/>
        <v/>
      </c>
      <c r="AM435" t="str">
        <f t="shared" si="165"/>
        <v/>
      </c>
      <c r="AN435" t="str">
        <f t="shared" si="166"/>
        <v/>
      </c>
      <c r="AO435" t="str">
        <f t="shared" si="167"/>
        <v/>
      </c>
      <c r="AP435" t="str">
        <f t="shared" si="168"/>
        <v/>
      </c>
      <c r="AQ435" t="str">
        <f t="shared" si="169"/>
        <v/>
      </c>
      <c r="AR435" t="str">
        <f t="shared" si="170"/>
        <v/>
      </c>
      <c r="AS435" t="str">
        <f t="shared" si="171"/>
        <v/>
      </c>
      <c r="AT435" t="str">
        <f t="shared" si="172"/>
        <v/>
      </c>
      <c r="AU435" s="25" t="str">
        <f t="shared" si="176"/>
        <v/>
      </c>
      <c r="BA435">
        <f>'REGISTER SK'!F438</f>
        <v>0</v>
      </c>
    </row>
    <row r="436" spans="1:53" x14ac:dyDescent="0.35">
      <c r="A436" s="18">
        <v>435</v>
      </c>
      <c r="B436" s="18"/>
      <c r="C436" s="18" t="str">
        <f>IF(G436="","",IF(G436="Umum",G436,VLOOKUP(F436,'Data Induk Pegawai'!B:AE,4,FALSE)))</f>
        <v/>
      </c>
      <c r="D436" s="19" t="str">
        <f>IF('REGISTER SK'!A439="","",IF('REGISTER SK'!B439=0,D435,'REGISTER SK'!B439))</f>
        <v/>
      </c>
      <c r="E436" s="19" t="str">
        <f t="shared" si="173"/>
        <v/>
      </c>
      <c r="F436" s="29"/>
      <c r="G436" s="29"/>
      <c r="H436" s="31" t="str">
        <f>IF(F436="","",VLOOKUP(F436,'Data Induk Pegawai'!B:U,2,FALSE))</f>
        <v/>
      </c>
      <c r="I436" s="19" t="str">
        <f>IF('REGISTER SK'!C439="","",'REGISTER SK'!C439)</f>
        <v/>
      </c>
      <c r="J436" s="125"/>
      <c r="K436" s="125"/>
      <c r="L436" s="26" t="str">
        <f>IF('REGISTER SK'!D439="","",'REGISTER SK'!D439)</f>
        <v/>
      </c>
      <c r="M436" s="26" t="str">
        <f>IF('REGISTER SK'!E439="","",'REGISTER SK'!E439)</f>
        <v/>
      </c>
      <c r="N436" s="31" t="str">
        <f>IF(G436="","",IF(OR(G436="GTT",G436="PTT"),"--",VLOOKUP(F436,'Data Induk Pegawai'!B:AE,4,FALSE)))</f>
        <v/>
      </c>
      <c r="O436" s="18" t="str">
        <f>IF(G436="","",VLOOKUP(F436,'Data Induk Pegawai'!B:AE,6,FALSE))</f>
        <v/>
      </c>
      <c r="P436" s="31" t="str">
        <f>IF(G436="","",VLOOKUP(F436,'Data Induk Pegawai'!B:AE,7,FALSE))</f>
        <v/>
      </c>
      <c r="Q436" s="30"/>
      <c r="R436" s="26" t="str">
        <f>IF(G436="","","Nomor "&amp;RIGHT(VLOOKUP(F436,'Data Induk Pegawai'!B:AE,12,FALSE),2)&amp;" Tahun "&amp;MID(VLOOKUP(F436,'Data Induk Pegawai'!B:AE,12,FALSE),5,4))</f>
        <v/>
      </c>
      <c r="S436" s="26" t="str">
        <f>IF(G436="","",VLOOKUP(F436,'Data Induk Pegawai'!B:AE,11,FALSE))</f>
        <v/>
      </c>
      <c r="T436" s="56"/>
      <c r="U436" s="18" t="str">
        <f t="shared" si="155"/>
        <v/>
      </c>
      <c r="V436" s="30"/>
      <c r="W436" s="18" t="str">
        <f t="shared" si="154"/>
        <v/>
      </c>
      <c r="Y436" t="str">
        <f t="shared" si="156"/>
        <v/>
      </c>
      <c r="Z436" t="str">
        <f t="shared" si="157"/>
        <v/>
      </c>
      <c r="AA436" t="str">
        <f t="shared" si="158"/>
        <v/>
      </c>
      <c r="AB436" t="str">
        <f>COUNTIFS(AC436:AC$596,AC436)&amp;AC436</f>
        <v>161</v>
      </c>
      <c r="AC436" t="str">
        <f t="shared" si="174"/>
        <v/>
      </c>
      <c r="AD436" t="str">
        <f>COUNTIFS(AC$2:AC436,AC436)&amp;AC436</f>
        <v>435</v>
      </c>
      <c r="AE436" t="str">
        <f t="shared" si="159"/>
        <v/>
      </c>
      <c r="AF436" t="str">
        <f t="shared" si="175"/>
        <v>..</v>
      </c>
      <c r="AG436" s="28" t="str">
        <f t="shared" si="177"/>
        <v/>
      </c>
      <c r="AH436" s="28" t="str">
        <f t="shared" si="160"/>
        <v/>
      </c>
      <c r="AI436" t="str">
        <f t="shared" si="161"/>
        <v/>
      </c>
      <c r="AJ436" t="str">
        <f t="shared" si="162"/>
        <v/>
      </c>
      <c r="AK436" t="str">
        <f t="shared" si="163"/>
        <v/>
      </c>
      <c r="AL436" t="str">
        <f t="shared" si="164"/>
        <v/>
      </c>
      <c r="AM436" t="str">
        <f t="shared" si="165"/>
        <v/>
      </c>
      <c r="AN436" t="str">
        <f t="shared" si="166"/>
        <v/>
      </c>
      <c r="AO436" t="str">
        <f t="shared" si="167"/>
        <v/>
      </c>
      <c r="AP436" t="str">
        <f t="shared" si="168"/>
        <v/>
      </c>
      <c r="AQ436" t="str">
        <f t="shared" si="169"/>
        <v/>
      </c>
      <c r="AR436" t="str">
        <f t="shared" si="170"/>
        <v/>
      </c>
      <c r="AS436" t="str">
        <f t="shared" si="171"/>
        <v/>
      </c>
      <c r="AT436" t="str">
        <f t="shared" si="172"/>
        <v/>
      </c>
      <c r="AU436" s="25" t="str">
        <f t="shared" si="176"/>
        <v/>
      </c>
      <c r="BA436">
        <f>'REGISTER SK'!F439</f>
        <v>0</v>
      </c>
    </row>
    <row r="437" spans="1:53" x14ac:dyDescent="0.35">
      <c r="A437" s="18">
        <v>436</v>
      </c>
      <c r="B437" s="18"/>
      <c r="C437" s="18" t="str">
        <f>IF(G437="","",IF(G437="Umum",G437,VLOOKUP(F437,'Data Induk Pegawai'!B:AE,4,FALSE)))</f>
        <v/>
      </c>
      <c r="D437" s="19" t="str">
        <f>IF('REGISTER SK'!A440="","",IF('REGISTER SK'!B440=0,D436,'REGISTER SK'!B440))</f>
        <v/>
      </c>
      <c r="E437" s="19" t="str">
        <f t="shared" si="173"/>
        <v/>
      </c>
      <c r="F437" s="29"/>
      <c r="G437" s="29"/>
      <c r="H437" s="31" t="str">
        <f>IF(F437="","",VLOOKUP(F437,'Data Induk Pegawai'!B:U,2,FALSE))</f>
        <v/>
      </c>
      <c r="I437" s="19" t="str">
        <f>IF('REGISTER SK'!C440="","",'REGISTER SK'!C440)</f>
        <v/>
      </c>
      <c r="J437" s="125"/>
      <c r="K437" s="125"/>
      <c r="L437" s="26" t="str">
        <f>IF('REGISTER SK'!D440="","",'REGISTER SK'!D440)</f>
        <v/>
      </c>
      <c r="M437" s="26" t="str">
        <f>IF('REGISTER SK'!E440="","",'REGISTER SK'!E440)</f>
        <v/>
      </c>
      <c r="N437" s="31" t="str">
        <f>IF(G437="","",IF(OR(G437="GTT",G437="PTT"),"--",VLOOKUP(F437,'Data Induk Pegawai'!B:AE,4,FALSE)))</f>
        <v/>
      </c>
      <c r="O437" s="18" t="str">
        <f>IF(G437="","",VLOOKUP(F437,'Data Induk Pegawai'!B:AE,6,FALSE))</f>
        <v/>
      </c>
      <c r="P437" s="31" t="str">
        <f>IF(G437="","",VLOOKUP(F437,'Data Induk Pegawai'!B:AE,7,FALSE))</f>
        <v/>
      </c>
      <c r="Q437" s="30"/>
      <c r="R437" s="26" t="str">
        <f>IF(G437="","","Nomor "&amp;RIGHT(VLOOKUP(F437,'Data Induk Pegawai'!B:AE,12,FALSE),2)&amp;" Tahun "&amp;MID(VLOOKUP(F437,'Data Induk Pegawai'!B:AE,12,FALSE),5,4))</f>
        <v/>
      </c>
      <c r="S437" s="26" t="str">
        <f>IF(G437="","",VLOOKUP(F437,'Data Induk Pegawai'!B:AE,11,FALSE))</f>
        <v/>
      </c>
      <c r="T437" s="56"/>
      <c r="U437" s="18" t="str">
        <f t="shared" si="155"/>
        <v/>
      </c>
      <c r="V437" s="30"/>
      <c r="W437" s="18" t="str">
        <f t="shared" si="154"/>
        <v/>
      </c>
      <c r="Y437" t="str">
        <f t="shared" si="156"/>
        <v/>
      </c>
      <c r="Z437" t="str">
        <f t="shared" si="157"/>
        <v/>
      </c>
      <c r="AA437" t="str">
        <f t="shared" si="158"/>
        <v/>
      </c>
      <c r="AB437" t="str">
        <f>COUNTIFS(AC437:AC$596,AC437)&amp;AC437</f>
        <v>160</v>
      </c>
      <c r="AC437" t="str">
        <f t="shared" si="174"/>
        <v/>
      </c>
      <c r="AD437" t="str">
        <f>COUNTIFS(AC$2:AC437,AC437)&amp;AC437</f>
        <v>436</v>
      </c>
      <c r="AE437" t="str">
        <f t="shared" si="159"/>
        <v/>
      </c>
      <c r="AF437" t="str">
        <f t="shared" si="175"/>
        <v>..</v>
      </c>
      <c r="AG437" s="28" t="str">
        <f t="shared" si="177"/>
        <v/>
      </c>
      <c r="AH437" s="28" t="str">
        <f t="shared" si="160"/>
        <v/>
      </c>
      <c r="AI437" t="str">
        <f t="shared" si="161"/>
        <v/>
      </c>
      <c r="AJ437" t="str">
        <f t="shared" si="162"/>
        <v/>
      </c>
      <c r="AK437" t="str">
        <f t="shared" si="163"/>
        <v/>
      </c>
      <c r="AL437" t="str">
        <f t="shared" si="164"/>
        <v/>
      </c>
      <c r="AM437" t="str">
        <f t="shared" si="165"/>
        <v/>
      </c>
      <c r="AN437" t="str">
        <f t="shared" si="166"/>
        <v/>
      </c>
      <c r="AO437" t="str">
        <f t="shared" si="167"/>
        <v/>
      </c>
      <c r="AP437" t="str">
        <f t="shared" si="168"/>
        <v/>
      </c>
      <c r="AQ437" t="str">
        <f t="shared" si="169"/>
        <v/>
      </c>
      <c r="AR437" t="str">
        <f t="shared" si="170"/>
        <v/>
      </c>
      <c r="AS437" t="str">
        <f t="shared" si="171"/>
        <v/>
      </c>
      <c r="AT437" t="str">
        <f t="shared" si="172"/>
        <v/>
      </c>
      <c r="AU437" s="25" t="str">
        <f t="shared" si="176"/>
        <v/>
      </c>
      <c r="BA437">
        <f>'REGISTER SK'!F440</f>
        <v>0</v>
      </c>
    </row>
    <row r="438" spans="1:53" x14ac:dyDescent="0.35">
      <c r="A438" s="18">
        <v>437</v>
      </c>
      <c r="B438" s="18"/>
      <c r="C438" s="18" t="str">
        <f>IF(G438="","",IF(G438="Umum",G438,VLOOKUP(F438,'Data Induk Pegawai'!B:AE,4,FALSE)))</f>
        <v/>
      </c>
      <c r="D438" s="19" t="str">
        <f>IF('REGISTER SK'!A441="","",IF('REGISTER SK'!B441=0,D437,'REGISTER SK'!B441))</f>
        <v/>
      </c>
      <c r="E438" s="19" t="str">
        <f t="shared" si="173"/>
        <v/>
      </c>
      <c r="F438" s="29"/>
      <c r="G438" s="29"/>
      <c r="H438" s="31" t="str">
        <f>IF(F438="","",VLOOKUP(F438,'Data Induk Pegawai'!B:U,2,FALSE))</f>
        <v/>
      </c>
      <c r="I438" s="19" t="str">
        <f>IF('REGISTER SK'!C441="","",'REGISTER SK'!C441)</f>
        <v/>
      </c>
      <c r="J438" s="125"/>
      <c r="K438" s="125"/>
      <c r="L438" s="26" t="str">
        <f>IF('REGISTER SK'!D441="","",'REGISTER SK'!D441)</f>
        <v/>
      </c>
      <c r="M438" s="26" t="str">
        <f>IF('REGISTER SK'!E441="","",'REGISTER SK'!E441)</f>
        <v/>
      </c>
      <c r="N438" s="31" t="str">
        <f>IF(G438="","",IF(OR(G438="GTT",G438="PTT"),"--",VLOOKUP(F438,'Data Induk Pegawai'!B:AE,4,FALSE)))</f>
        <v/>
      </c>
      <c r="O438" s="18" t="str">
        <f>IF(G438="","",VLOOKUP(F438,'Data Induk Pegawai'!B:AE,6,FALSE))</f>
        <v/>
      </c>
      <c r="P438" s="31" t="str">
        <f>IF(G438="","",VLOOKUP(F438,'Data Induk Pegawai'!B:AE,7,FALSE))</f>
        <v/>
      </c>
      <c r="Q438" s="30"/>
      <c r="R438" s="26" t="str">
        <f>IF(G438="","","Nomor "&amp;RIGHT(VLOOKUP(F438,'Data Induk Pegawai'!B:AE,12,FALSE),2)&amp;" Tahun "&amp;MID(VLOOKUP(F438,'Data Induk Pegawai'!B:AE,12,FALSE),5,4))</f>
        <v/>
      </c>
      <c r="S438" s="26" t="str">
        <f>IF(G438="","",VLOOKUP(F438,'Data Induk Pegawai'!B:AE,11,FALSE))</f>
        <v/>
      </c>
      <c r="T438" s="56"/>
      <c r="U438" s="18" t="str">
        <f t="shared" si="155"/>
        <v/>
      </c>
      <c r="V438" s="30"/>
      <c r="W438" s="18" t="str">
        <f t="shared" si="154"/>
        <v/>
      </c>
      <c r="Y438" t="str">
        <f t="shared" si="156"/>
        <v/>
      </c>
      <c r="Z438" t="str">
        <f t="shared" si="157"/>
        <v/>
      </c>
      <c r="AA438" t="str">
        <f t="shared" si="158"/>
        <v/>
      </c>
      <c r="AB438" t="str">
        <f>COUNTIFS(AC438:AC$596,AC438)&amp;AC438</f>
        <v>159</v>
      </c>
      <c r="AC438" t="str">
        <f t="shared" si="174"/>
        <v/>
      </c>
      <c r="AD438" t="str">
        <f>COUNTIFS(AC$2:AC438,AC438)&amp;AC438</f>
        <v>437</v>
      </c>
      <c r="AE438" t="str">
        <f t="shared" si="159"/>
        <v/>
      </c>
      <c r="AF438" t="str">
        <f t="shared" si="175"/>
        <v>..</v>
      </c>
      <c r="AG438" s="28" t="str">
        <f t="shared" si="177"/>
        <v/>
      </c>
      <c r="AH438" s="28" t="str">
        <f t="shared" si="160"/>
        <v/>
      </c>
      <c r="AI438" t="str">
        <f t="shared" si="161"/>
        <v/>
      </c>
      <c r="AJ438" t="str">
        <f t="shared" si="162"/>
        <v/>
      </c>
      <c r="AK438" t="str">
        <f t="shared" si="163"/>
        <v/>
      </c>
      <c r="AL438" t="str">
        <f t="shared" si="164"/>
        <v/>
      </c>
      <c r="AM438" t="str">
        <f t="shared" si="165"/>
        <v/>
      </c>
      <c r="AN438" t="str">
        <f t="shared" si="166"/>
        <v/>
      </c>
      <c r="AO438" t="str">
        <f t="shared" si="167"/>
        <v/>
      </c>
      <c r="AP438" t="str">
        <f t="shared" si="168"/>
        <v/>
      </c>
      <c r="AQ438" t="str">
        <f t="shared" si="169"/>
        <v/>
      </c>
      <c r="AR438" t="str">
        <f t="shared" si="170"/>
        <v/>
      </c>
      <c r="AS438" t="str">
        <f t="shared" si="171"/>
        <v/>
      </c>
      <c r="AT438" t="str">
        <f t="shared" si="172"/>
        <v/>
      </c>
      <c r="AU438" s="25" t="str">
        <f t="shared" si="176"/>
        <v/>
      </c>
      <c r="BA438">
        <f>'REGISTER SK'!F441</f>
        <v>0</v>
      </c>
    </row>
    <row r="439" spans="1:53" x14ac:dyDescent="0.35">
      <c r="A439" s="18">
        <v>438</v>
      </c>
      <c r="B439" s="18"/>
      <c r="C439" s="18" t="str">
        <f>IF(G439="","",IF(G439="Umum",G439,VLOOKUP(F439,'Data Induk Pegawai'!B:AE,4,FALSE)))</f>
        <v/>
      </c>
      <c r="D439" s="19" t="str">
        <f>IF('REGISTER SK'!A442="","",IF('REGISTER SK'!B442=0,D438,'REGISTER SK'!B442))</f>
        <v/>
      </c>
      <c r="E439" s="19" t="str">
        <f t="shared" si="173"/>
        <v/>
      </c>
      <c r="F439" s="29"/>
      <c r="G439" s="29"/>
      <c r="H439" s="31" t="str">
        <f>IF(F439="","",VLOOKUP(F439,'Data Induk Pegawai'!B:U,2,FALSE))</f>
        <v/>
      </c>
      <c r="I439" s="19" t="str">
        <f>IF('REGISTER SK'!C442="","",'REGISTER SK'!C442)</f>
        <v/>
      </c>
      <c r="J439" s="125"/>
      <c r="K439" s="125"/>
      <c r="L439" s="26" t="str">
        <f>IF('REGISTER SK'!D442="","",'REGISTER SK'!D442)</f>
        <v/>
      </c>
      <c r="M439" s="26" t="str">
        <f>IF('REGISTER SK'!E442="","",'REGISTER SK'!E442)</f>
        <v/>
      </c>
      <c r="N439" s="31" t="str">
        <f>IF(G439="","",IF(OR(G439="GTT",G439="PTT"),"--",VLOOKUP(F439,'Data Induk Pegawai'!B:AE,4,FALSE)))</f>
        <v/>
      </c>
      <c r="O439" s="18" t="str">
        <f>IF(G439="","",VLOOKUP(F439,'Data Induk Pegawai'!B:AE,6,FALSE))</f>
        <v/>
      </c>
      <c r="P439" s="31" t="str">
        <f>IF(G439="","",VLOOKUP(F439,'Data Induk Pegawai'!B:AE,7,FALSE))</f>
        <v/>
      </c>
      <c r="Q439" s="30"/>
      <c r="R439" s="26" t="str">
        <f>IF(G439="","","Nomor "&amp;RIGHT(VLOOKUP(F439,'Data Induk Pegawai'!B:AE,12,FALSE),2)&amp;" Tahun "&amp;MID(VLOOKUP(F439,'Data Induk Pegawai'!B:AE,12,FALSE),5,4))</f>
        <v/>
      </c>
      <c r="S439" s="26" t="str">
        <f>IF(G439="","",VLOOKUP(F439,'Data Induk Pegawai'!B:AE,11,FALSE))</f>
        <v/>
      </c>
      <c r="T439" s="56"/>
      <c r="U439" s="18" t="str">
        <f t="shared" si="155"/>
        <v/>
      </c>
      <c r="V439" s="30"/>
      <c r="W439" s="18" t="str">
        <f t="shared" si="154"/>
        <v/>
      </c>
      <c r="Y439" t="str">
        <f t="shared" si="156"/>
        <v/>
      </c>
      <c r="Z439" t="str">
        <f t="shared" si="157"/>
        <v/>
      </c>
      <c r="AA439" t="str">
        <f t="shared" si="158"/>
        <v/>
      </c>
      <c r="AB439" t="str">
        <f>COUNTIFS(AC439:AC$596,AC439)&amp;AC439</f>
        <v>158</v>
      </c>
      <c r="AC439" t="str">
        <f t="shared" si="174"/>
        <v/>
      </c>
      <c r="AD439" t="str">
        <f>COUNTIFS(AC$2:AC439,AC439)&amp;AC439</f>
        <v>438</v>
      </c>
      <c r="AE439" t="str">
        <f t="shared" si="159"/>
        <v/>
      </c>
      <c r="AF439" t="str">
        <f t="shared" si="175"/>
        <v>..</v>
      </c>
      <c r="AG439" s="28" t="str">
        <f t="shared" si="177"/>
        <v/>
      </c>
      <c r="AH439" s="28" t="str">
        <f t="shared" si="160"/>
        <v/>
      </c>
      <c r="AI439" t="str">
        <f t="shared" si="161"/>
        <v/>
      </c>
      <c r="AJ439" t="str">
        <f t="shared" si="162"/>
        <v/>
      </c>
      <c r="AK439" t="str">
        <f t="shared" si="163"/>
        <v/>
      </c>
      <c r="AL439" t="str">
        <f t="shared" si="164"/>
        <v/>
      </c>
      <c r="AM439" t="str">
        <f t="shared" si="165"/>
        <v/>
      </c>
      <c r="AN439" t="str">
        <f t="shared" si="166"/>
        <v/>
      </c>
      <c r="AO439" t="str">
        <f t="shared" si="167"/>
        <v/>
      </c>
      <c r="AP439" t="str">
        <f t="shared" si="168"/>
        <v/>
      </c>
      <c r="AQ439" t="str">
        <f t="shared" si="169"/>
        <v/>
      </c>
      <c r="AR439" t="str">
        <f t="shared" si="170"/>
        <v/>
      </c>
      <c r="AS439" t="str">
        <f t="shared" si="171"/>
        <v/>
      </c>
      <c r="AT439" t="str">
        <f t="shared" si="172"/>
        <v/>
      </c>
      <c r="AU439" s="25" t="str">
        <f t="shared" si="176"/>
        <v/>
      </c>
      <c r="BA439">
        <f>'REGISTER SK'!F442</f>
        <v>0</v>
      </c>
    </row>
    <row r="440" spans="1:53" x14ac:dyDescent="0.35">
      <c r="A440" s="18">
        <v>439</v>
      </c>
      <c r="B440" s="18"/>
      <c r="C440" s="18" t="str">
        <f>IF(G440="","",IF(G440="Umum",G440,VLOOKUP(F440,'Data Induk Pegawai'!B:AE,4,FALSE)))</f>
        <v/>
      </c>
      <c r="D440" s="19" t="str">
        <f>IF('REGISTER SK'!A443="","",IF('REGISTER SK'!B443=0,D439,'REGISTER SK'!B443))</f>
        <v/>
      </c>
      <c r="E440" s="19" t="str">
        <f t="shared" si="173"/>
        <v/>
      </c>
      <c r="F440" s="29"/>
      <c r="G440" s="29"/>
      <c r="H440" s="31" t="str">
        <f>IF(F440="","",VLOOKUP(F440,'Data Induk Pegawai'!B:U,2,FALSE))</f>
        <v/>
      </c>
      <c r="I440" s="19" t="str">
        <f>IF('REGISTER SK'!C443="","",'REGISTER SK'!C443)</f>
        <v/>
      </c>
      <c r="J440" s="125"/>
      <c r="K440" s="125"/>
      <c r="L440" s="26" t="str">
        <f>IF('REGISTER SK'!D443="","",'REGISTER SK'!D443)</f>
        <v/>
      </c>
      <c r="M440" s="26" t="str">
        <f>IF('REGISTER SK'!E443="","",'REGISTER SK'!E443)</f>
        <v/>
      </c>
      <c r="N440" s="31" t="str">
        <f>IF(G440="","",IF(OR(G440="GTT",G440="PTT"),"--",VLOOKUP(F440,'Data Induk Pegawai'!B:AE,4,FALSE)))</f>
        <v/>
      </c>
      <c r="O440" s="18" t="str">
        <f>IF(G440="","",VLOOKUP(F440,'Data Induk Pegawai'!B:AE,6,FALSE))</f>
        <v/>
      </c>
      <c r="P440" s="31" t="str">
        <f>IF(G440="","",VLOOKUP(F440,'Data Induk Pegawai'!B:AE,7,FALSE))</f>
        <v/>
      </c>
      <c r="Q440" s="30"/>
      <c r="R440" s="26" t="str">
        <f>IF(G440="","","Nomor "&amp;RIGHT(VLOOKUP(F440,'Data Induk Pegawai'!B:AE,12,FALSE),2)&amp;" Tahun "&amp;MID(VLOOKUP(F440,'Data Induk Pegawai'!B:AE,12,FALSE),5,4))</f>
        <v/>
      </c>
      <c r="S440" s="26" t="str">
        <f>IF(G440="","",VLOOKUP(F440,'Data Induk Pegawai'!B:AE,11,FALSE))</f>
        <v/>
      </c>
      <c r="T440" s="56"/>
      <c r="U440" s="18" t="str">
        <f t="shared" si="155"/>
        <v/>
      </c>
      <c r="V440" s="30"/>
      <c r="W440" s="18" t="str">
        <f t="shared" si="154"/>
        <v/>
      </c>
      <c r="Y440" t="str">
        <f t="shared" si="156"/>
        <v/>
      </c>
      <c r="Z440" t="str">
        <f t="shared" si="157"/>
        <v/>
      </c>
      <c r="AA440" t="str">
        <f t="shared" si="158"/>
        <v/>
      </c>
      <c r="AB440" t="str">
        <f>COUNTIFS(AC440:AC$596,AC440)&amp;AC440</f>
        <v>157</v>
      </c>
      <c r="AC440" t="str">
        <f t="shared" si="174"/>
        <v/>
      </c>
      <c r="AD440" t="str">
        <f>COUNTIFS(AC$2:AC440,AC440)&amp;AC440</f>
        <v>439</v>
      </c>
      <c r="AE440" t="str">
        <f t="shared" si="159"/>
        <v/>
      </c>
      <c r="AF440" t="str">
        <f t="shared" si="175"/>
        <v>..</v>
      </c>
      <c r="AG440" s="28" t="str">
        <f t="shared" si="177"/>
        <v/>
      </c>
      <c r="AH440" s="28" t="str">
        <f t="shared" si="160"/>
        <v/>
      </c>
      <c r="AI440" t="str">
        <f t="shared" si="161"/>
        <v/>
      </c>
      <c r="AJ440" t="str">
        <f t="shared" si="162"/>
        <v/>
      </c>
      <c r="AK440" t="str">
        <f t="shared" si="163"/>
        <v/>
      </c>
      <c r="AL440" t="str">
        <f t="shared" si="164"/>
        <v/>
      </c>
      <c r="AM440" t="str">
        <f t="shared" si="165"/>
        <v/>
      </c>
      <c r="AN440" t="str">
        <f t="shared" si="166"/>
        <v/>
      </c>
      <c r="AO440" t="str">
        <f t="shared" si="167"/>
        <v/>
      </c>
      <c r="AP440" t="str">
        <f t="shared" si="168"/>
        <v/>
      </c>
      <c r="AQ440" t="str">
        <f t="shared" si="169"/>
        <v/>
      </c>
      <c r="AR440" t="str">
        <f t="shared" si="170"/>
        <v/>
      </c>
      <c r="AS440" t="str">
        <f t="shared" si="171"/>
        <v/>
      </c>
      <c r="AT440" t="str">
        <f t="shared" si="172"/>
        <v/>
      </c>
      <c r="AU440" s="25" t="str">
        <f t="shared" si="176"/>
        <v/>
      </c>
      <c r="BA440">
        <f>'REGISTER SK'!F443</f>
        <v>0</v>
      </c>
    </row>
    <row r="441" spans="1:53" x14ac:dyDescent="0.35">
      <c r="A441" s="18">
        <v>440</v>
      </c>
      <c r="B441" s="18"/>
      <c r="C441" s="18" t="str">
        <f>IF(G441="","",IF(G441="Umum",G441,VLOOKUP(F441,'Data Induk Pegawai'!B:AE,4,FALSE)))</f>
        <v/>
      </c>
      <c r="D441" s="19" t="str">
        <f>IF('REGISTER SK'!A444="","",IF('REGISTER SK'!B444=0,D440,'REGISTER SK'!B444))</f>
        <v/>
      </c>
      <c r="E441" s="19" t="str">
        <f t="shared" si="173"/>
        <v/>
      </c>
      <c r="F441" s="29"/>
      <c r="G441" s="29"/>
      <c r="H441" s="31" t="str">
        <f>IF(F441="","",VLOOKUP(F441,'Data Induk Pegawai'!B:U,2,FALSE))</f>
        <v/>
      </c>
      <c r="I441" s="19" t="str">
        <f>IF('REGISTER SK'!C444="","",'REGISTER SK'!C444)</f>
        <v/>
      </c>
      <c r="J441" s="125"/>
      <c r="K441" s="125"/>
      <c r="L441" s="26" t="str">
        <f>IF('REGISTER SK'!D444="","",'REGISTER SK'!D444)</f>
        <v/>
      </c>
      <c r="M441" s="26" t="str">
        <f>IF('REGISTER SK'!E444="","",'REGISTER SK'!E444)</f>
        <v/>
      </c>
      <c r="N441" s="31" t="str">
        <f>IF(G441="","",IF(OR(G441="GTT",G441="PTT"),"--",VLOOKUP(F441,'Data Induk Pegawai'!B:AE,4,FALSE)))</f>
        <v/>
      </c>
      <c r="O441" s="18" t="str">
        <f>IF(G441="","",VLOOKUP(F441,'Data Induk Pegawai'!B:AE,6,FALSE))</f>
        <v/>
      </c>
      <c r="P441" s="31" t="str">
        <f>IF(G441="","",VLOOKUP(F441,'Data Induk Pegawai'!B:AE,7,FALSE))</f>
        <v/>
      </c>
      <c r="Q441" s="30"/>
      <c r="R441" s="26" t="str">
        <f>IF(G441="","","Nomor "&amp;RIGHT(VLOOKUP(F441,'Data Induk Pegawai'!B:AE,12,FALSE),2)&amp;" Tahun "&amp;MID(VLOOKUP(F441,'Data Induk Pegawai'!B:AE,12,FALSE),5,4))</f>
        <v/>
      </c>
      <c r="S441" s="26" t="str">
        <f>IF(G441="","",VLOOKUP(F441,'Data Induk Pegawai'!B:AE,11,FALSE))</f>
        <v/>
      </c>
      <c r="T441" s="56"/>
      <c r="U441" s="18" t="str">
        <f t="shared" si="155"/>
        <v/>
      </c>
      <c r="V441" s="30"/>
      <c r="W441" s="18" t="str">
        <f t="shared" si="154"/>
        <v/>
      </c>
      <c r="Y441" t="str">
        <f t="shared" si="156"/>
        <v/>
      </c>
      <c r="Z441" t="str">
        <f t="shared" si="157"/>
        <v/>
      </c>
      <c r="AA441" t="str">
        <f t="shared" si="158"/>
        <v/>
      </c>
      <c r="AB441" t="str">
        <f>COUNTIFS(AC441:AC$596,AC441)&amp;AC441</f>
        <v>156</v>
      </c>
      <c r="AC441" t="str">
        <f t="shared" si="174"/>
        <v/>
      </c>
      <c r="AD441" t="str">
        <f>COUNTIFS(AC$2:AC441,AC441)&amp;AC441</f>
        <v>440</v>
      </c>
      <c r="AE441" t="str">
        <f t="shared" si="159"/>
        <v/>
      </c>
      <c r="AF441" t="str">
        <f t="shared" si="175"/>
        <v>..</v>
      </c>
      <c r="AG441" s="28" t="str">
        <f t="shared" si="177"/>
        <v/>
      </c>
      <c r="AH441" s="28" t="str">
        <f t="shared" si="160"/>
        <v/>
      </c>
      <c r="AI441" t="str">
        <f t="shared" si="161"/>
        <v/>
      </c>
      <c r="AJ441" t="str">
        <f t="shared" si="162"/>
        <v/>
      </c>
      <c r="AK441" t="str">
        <f t="shared" si="163"/>
        <v/>
      </c>
      <c r="AL441" t="str">
        <f t="shared" si="164"/>
        <v/>
      </c>
      <c r="AM441" t="str">
        <f t="shared" si="165"/>
        <v/>
      </c>
      <c r="AN441" t="str">
        <f t="shared" si="166"/>
        <v/>
      </c>
      <c r="AO441" t="str">
        <f t="shared" si="167"/>
        <v/>
      </c>
      <c r="AP441" t="str">
        <f t="shared" si="168"/>
        <v/>
      </c>
      <c r="AQ441" t="str">
        <f t="shared" si="169"/>
        <v/>
      </c>
      <c r="AR441" t="str">
        <f t="shared" si="170"/>
        <v/>
      </c>
      <c r="AS441" t="str">
        <f t="shared" si="171"/>
        <v/>
      </c>
      <c r="AT441" t="str">
        <f t="shared" si="172"/>
        <v/>
      </c>
      <c r="AU441" s="25" t="str">
        <f t="shared" si="176"/>
        <v/>
      </c>
      <c r="BA441">
        <f>'REGISTER SK'!F444</f>
        <v>0</v>
      </c>
    </row>
    <row r="442" spans="1:53" x14ac:dyDescent="0.35">
      <c r="A442" s="18">
        <v>441</v>
      </c>
      <c r="B442" s="18"/>
      <c r="C442" s="18" t="str">
        <f>IF(G442="","",IF(G442="Umum",G442,VLOOKUP(F442,'Data Induk Pegawai'!B:AE,4,FALSE)))</f>
        <v/>
      </c>
      <c r="D442" s="19" t="str">
        <f>IF('REGISTER SK'!A445="","",IF('REGISTER SK'!B445=0,D441,'REGISTER SK'!B445))</f>
        <v/>
      </c>
      <c r="E442" s="19" t="str">
        <f t="shared" si="173"/>
        <v/>
      </c>
      <c r="F442" s="29"/>
      <c r="G442" s="29"/>
      <c r="H442" s="31" t="str">
        <f>IF(F442="","",VLOOKUP(F442,'Data Induk Pegawai'!B:U,2,FALSE))</f>
        <v/>
      </c>
      <c r="I442" s="19" t="str">
        <f>IF('REGISTER SK'!C445="","",'REGISTER SK'!C445)</f>
        <v/>
      </c>
      <c r="J442" s="125"/>
      <c r="K442" s="125"/>
      <c r="L442" s="26" t="str">
        <f>IF('REGISTER SK'!D445="","",'REGISTER SK'!D445)</f>
        <v/>
      </c>
      <c r="M442" s="26" t="str">
        <f>IF('REGISTER SK'!E445="","",'REGISTER SK'!E445)</f>
        <v/>
      </c>
      <c r="N442" s="31" t="str">
        <f>IF(G442="","",IF(OR(G442="GTT",G442="PTT"),"--",VLOOKUP(F442,'Data Induk Pegawai'!B:AE,4,FALSE)))</f>
        <v/>
      </c>
      <c r="O442" s="18" t="str">
        <f>IF(G442="","",VLOOKUP(F442,'Data Induk Pegawai'!B:AE,6,FALSE))</f>
        <v/>
      </c>
      <c r="P442" s="31" t="str">
        <f>IF(G442="","",VLOOKUP(F442,'Data Induk Pegawai'!B:AE,7,FALSE))</f>
        <v/>
      </c>
      <c r="Q442" s="30"/>
      <c r="R442" s="26" t="str">
        <f>IF(G442="","","Nomor "&amp;RIGHT(VLOOKUP(F442,'Data Induk Pegawai'!B:AE,12,FALSE),2)&amp;" Tahun "&amp;MID(VLOOKUP(F442,'Data Induk Pegawai'!B:AE,12,FALSE),5,4))</f>
        <v/>
      </c>
      <c r="S442" s="26" t="str">
        <f>IF(G442="","",VLOOKUP(F442,'Data Induk Pegawai'!B:AE,11,FALSE))</f>
        <v/>
      </c>
      <c r="T442" s="56"/>
      <c r="U442" s="18" t="str">
        <f t="shared" si="155"/>
        <v/>
      </c>
      <c r="V442" s="30"/>
      <c r="W442" s="18" t="str">
        <f t="shared" si="154"/>
        <v/>
      </c>
      <c r="Y442" t="str">
        <f t="shared" si="156"/>
        <v/>
      </c>
      <c r="Z442" t="str">
        <f t="shared" si="157"/>
        <v/>
      </c>
      <c r="AA442" t="str">
        <f t="shared" si="158"/>
        <v/>
      </c>
      <c r="AB442" t="str">
        <f>COUNTIFS(AC442:AC$596,AC442)&amp;AC442</f>
        <v>155</v>
      </c>
      <c r="AC442" t="str">
        <f t="shared" si="174"/>
        <v/>
      </c>
      <c r="AD442" t="str">
        <f>COUNTIFS(AC$2:AC442,AC442)&amp;AC442</f>
        <v>441</v>
      </c>
      <c r="AE442" t="str">
        <f t="shared" si="159"/>
        <v/>
      </c>
      <c r="AF442" t="str">
        <f t="shared" si="175"/>
        <v>..</v>
      </c>
      <c r="AG442" s="28" t="str">
        <f t="shared" si="177"/>
        <v/>
      </c>
      <c r="AH442" s="28" t="str">
        <f t="shared" si="160"/>
        <v/>
      </c>
      <c r="AI442" t="str">
        <f t="shared" si="161"/>
        <v/>
      </c>
      <c r="AJ442" t="str">
        <f t="shared" si="162"/>
        <v/>
      </c>
      <c r="AK442" t="str">
        <f t="shared" si="163"/>
        <v/>
      </c>
      <c r="AL442" t="str">
        <f t="shared" si="164"/>
        <v/>
      </c>
      <c r="AM442" t="str">
        <f t="shared" si="165"/>
        <v/>
      </c>
      <c r="AN442" t="str">
        <f t="shared" si="166"/>
        <v/>
      </c>
      <c r="AO442" t="str">
        <f t="shared" si="167"/>
        <v/>
      </c>
      <c r="AP442" t="str">
        <f t="shared" si="168"/>
        <v/>
      </c>
      <c r="AQ442" t="str">
        <f t="shared" si="169"/>
        <v/>
      </c>
      <c r="AR442" t="str">
        <f t="shared" si="170"/>
        <v/>
      </c>
      <c r="AS442" t="str">
        <f t="shared" si="171"/>
        <v/>
      </c>
      <c r="AT442" t="str">
        <f t="shared" si="172"/>
        <v/>
      </c>
      <c r="AU442" s="25" t="str">
        <f t="shared" si="176"/>
        <v/>
      </c>
      <c r="BA442">
        <f>'REGISTER SK'!F445</f>
        <v>0</v>
      </c>
    </row>
    <row r="443" spans="1:53" x14ac:dyDescent="0.35">
      <c r="A443" s="18">
        <v>442</v>
      </c>
      <c r="B443" s="18"/>
      <c r="C443" s="18" t="str">
        <f>IF(G443="","",IF(G443="Umum",G443,VLOOKUP(F443,'Data Induk Pegawai'!B:AE,4,FALSE)))</f>
        <v/>
      </c>
      <c r="D443" s="19" t="str">
        <f>IF('REGISTER SK'!A446="","",IF('REGISTER SK'!B446=0,D442,'REGISTER SK'!B446))</f>
        <v/>
      </c>
      <c r="E443" s="19" t="str">
        <f t="shared" si="173"/>
        <v/>
      </c>
      <c r="F443" s="29"/>
      <c r="G443" s="29"/>
      <c r="H443" s="31" t="str">
        <f>IF(F443="","",VLOOKUP(F443,'Data Induk Pegawai'!B:U,2,FALSE))</f>
        <v/>
      </c>
      <c r="I443" s="19" t="str">
        <f>IF('REGISTER SK'!C446="","",'REGISTER SK'!C446)</f>
        <v/>
      </c>
      <c r="J443" s="125"/>
      <c r="K443" s="125"/>
      <c r="L443" s="26" t="str">
        <f>IF('REGISTER SK'!D446="","",'REGISTER SK'!D446)</f>
        <v/>
      </c>
      <c r="M443" s="26" t="str">
        <f>IF('REGISTER SK'!E446="","",'REGISTER SK'!E446)</f>
        <v/>
      </c>
      <c r="N443" s="31" t="str">
        <f>IF(G443="","",IF(OR(G443="GTT",G443="PTT"),"--",VLOOKUP(F443,'Data Induk Pegawai'!B:AE,4,FALSE)))</f>
        <v/>
      </c>
      <c r="O443" s="18" t="str">
        <f>IF(G443="","",VLOOKUP(F443,'Data Induk Pegawai'!B:AE,6,FALSE))</f>
        <v/>
      </c>
      <c r="P443" s="31" t="str">
        <f>IF(G443="","",VLOOKUP(F443,'Data Induk Pegawai'!B:AE,7,FALSE))</f>
        <v/>
      </c>
      <c r="Q443" s="30"/>
      <c r="R443" s="26" t="str">
        <f>IF(G443="","","Nomor "&amp;RIGHT(VLOOKUP(F443,'Data Induk Pegawai'!B:AE,12,FALSE),2)&amp;" Tahun "&amp;MID(VLOOKUP(F443,'Data Induk Pegawai'!B:AE,12,FALSE),5,4))</f>
        <v/>
      </c>
      <c r="S443" s="26" t="str">
        <f>IF(G443="","",VLOOKUP(F443,'Data Induk Pegawai'!B:AE,11,FALSE))</f>
        <v/>
      </c>
      <c r="T443" s="56"/>
      <c r="U443" s="18" t="str">
        <f t="shared" si="155"/>
        <v/>
      </c>
      <c r="V443" s="30"/>
      <c r="W443" s="18" t="str">
        <f t="shared" si="154"/>
        <v/>
      </c>
      <c r="Y443" t="str">
        <f t="shared" si="156"/>
        <v/>
      </c>
      <c r="Z443" t="str">
        <f t="shared" si="157"/>
        <v/>
      </c>
      <c r="AA443" t="str">
        <f t="shared" si="158"/>
        <v/>
      </c>
      <c r="AB443" t="str">
        <f>COUNTIFS(AC443:AC$596,AC443)&amp;AC443</f>
        <v>154</v>
      </c>
      <c r="AC443" t="str">
        <f t="shared" si="174"/>
        <v/>
      </c>
      <c r="AD443" t="str">
        <f>COUNTIFS(AC$2:AC443,AC443)&amp;AC443</f>
        <v>442</v>
      </c>
      <c r="AE443" t="str">
        <f t="shared" si="159"/>
        <v/>
      </c>
      <c r="AF443" t="str">
        <f t="shared" si="175"/>
        <v>..</v>
      </c>
      <c r="AG443" s="28" t="str">
        <f t="shared" si="177"/>
        <v/>
      </c>
      <c r="AH443" s="28" t="str">
        <f t="shared" si="160"/>
        <v/>
      </c>
      <c r="AI443" t="str">
        <f t="shared" si="161"/>
        <v/>
      </c>
      <c r="AJ443" t="str">
        <f t="shared" si="162"/>
        <v/>
      </c>
      <c r="AK443" t="str">
        <f t="shared" si="163"/>
        <v/>
      </c>
      <c r="AL443" t="str">
        <f t="shared" si="164"/>
        <v/>
      </c>
      <c r="AM443" t="str">
        <f t="shared" si="165"/>
        <v/>
      </c>
      <c r="AN443" t="str">
        <f t="shared" si="166"/>
        <v/>
      </c>
      <c r="AO443" t="str">
        <f t="shared" si="167"/>
        <v/>
      </c>
      <c r="AP443" t="str">
        <f t="shared" si="168"/>
        <v/>
      </c>
      <c r="AQ443" t="str">
        <f t="shared" si="169"/>
        <v/>
      </c>
      <c r="AR443" t="str">
        <f t="shared" si="170"/>
        <v/>
      </c>
      <c r="AS443" t="str">
        <f t="shared" si="171"/>
        <v/>
      </c>
      <c r="AT443" t="str">
        <f t="shared" si="172"/>
        <v/>
      </c>
      <c r="AU443" s="25" t="str">
        <f t="shared" si="176"/>
        <v/>
      </c>
      <c r="BA443">
        <f>'REGISTER SK'!F446</f>
        <v>0</v>
      </c>
    </row>
    <row r="444" spans="1:53" x14ac:dyDescent="0.35">
      <c r="A444" s="18">
        <v>443</v>
      </c>
      <c r="B444" s="18"/>
      <c r="C444" s="18" t="str">
        <f>IF(G444="","",IF(G444="Umum",G444,VLOOKUP(F444,'Data Induk Pegawai'!B:AE,4,FALSE)))</f>
        <v/>
      </c>
      <c r="D444" s="19" t="str">
        <f>IF('REGISTER SK'!A447="","",IF('REGISTER SK'!B447=0,D443,'REGISTER SK'!B447))</f>
        <v/>
      </c>
      <c r="E444" s="19" t="str">
        <f t="shared" si="173"/>
        <v/>
      </c>
      <c r="F444" s="29"/>
      <c r="G444" s="29"/>
      <c r="H444" s="31" t="str">
        <f>IF(F444="","",VLOOKUP(F444,'Data Induk Pegawai'!B:U,2,FALSE))</f>
        <v/>
      </c>
      <c r="I444" s="19" t="str">
        <f>IF('REGISTER SK'!C447="","",'REGISTER SK'!C447)</f>
        <v/>
      </c>
      <c r="J444" s="125"/>
      <c r="K444" s="125"/>
      <c r="L444" s="26" t="str">
        <f>IF('REGISTER SK'!D447="","",'REGISTER SK'!D447)</f>
        <v/>
      </c>
      <c r="M444" s="26" t="str">
        <f>IF('REGISTER SK'!E447="","",'REGISTER SK'!E447)</f>
        <v/>
      </c>
      <c r="N444" s="31" t="str">
        <f>IF(G444="","",IF(OR(G444="GTT",G444="PTT"),"--",VLOOKUP(F444,'Data Induk Pegawai'!B:AE,4,FALSE)))</f>
        <v/>
      </c>
      <c r="O444" s="18" t="str">
        <f>IF(G444="","",VLOOKUP(F444,'Data Induk Pegawai'!B:AE,6,FALSE))</f>
        <v/>
      </c>
      <c r="P444" s="31" t="str">
        <f>IF(G444="","",VLOOKUP(F444,'Data Induk Pegawai'!B:AE,7,FALSE))</f>
        <v/>
      </c>
      <c r="Q444" s="30"/>
      <c r="R444" s="26" t="str">
        <f>IF(G444="","","Nomor "&amp;RIGHT(VLOOKUP(F444,'Data Induk Pegawai'!B:AE,12,FALSE),2)&amp;" Tahun "&amp;MID(VLOOKUP(F444,'Data Induk Pegawai'!B:AE,12,FALSE),5,4))</f>
        <v/>
      </c>
      <c r="S444" s="26" t="str">
        <f>IF(G444="","",VLOOKUP(F444,'Data Induk Pegawai'!B:AE,11,FALSE))</f>
        <v/>
      </c>
      <c r="T444" s="56"/>
      <c r="U444" s="18" t="str">
        <f t="shared" si="155"/>
        <v/>
      </c>
      <c r="V444" s="30"/>
      <c r="W444" s="18" t="str">
        <f t="shared" si="154"/>
        <v/>
      </c>
      <c r="Y444" t="str">
        <f t="shared" si="156"/>
        <v/>
      </c>
      <c r="Z444" t="str">
        <f t="shared" si="157"/>
        <v/>
      </c>
      <c r="AA444" t="str">
        <f t="shared" si="158"/>
        <v/>
      </c>
      <c r="AB444" t="str">
        <f>COUNTIFS(AC444:AC$596,AC444)&amp;AC444</f>
        <v>153</v>
      </c>
      <c r="AC444" t="str">
        <f t="shared" si="174"/>
        <v/>
      </c>
      <c r="AD444" t="str">
        <f>COUNTIFS(AC$2:AC444,AC444)&amp;AC444</f>
        <v>443</v>
      </c>
      <c r="AE444" t="str">
        <f t="shared" si="159"/>
        <v/>
      </c>
      <c r="AF444" t="str">
        <f t="shared" si="175"/>
        <v>..</v>
      </c>
      <c r="AG444" s="28" t="str">
        <f t="shared" si="177"/>
        <v/>
      </c>
      <c r="AH444" s="28" t="str">
        <f t="shared" si="160"/>
        <v/>
      </c>
      <c r="AI444" t="str">
        <f t="shared" si="161"/>
        <v/>
      </c>
      <c r="AJ444" t="str">
        <f t="shared" si="162"/>
        <v/>
      </c>
      <c r="AK444" t="str">
        <f t="shared" si="163"/>
        <v/>
      </c>
      <c r="AL444" t="str">
        <f t="shared" si="164"/>
        <v/>
      </c>
      <c r="AM444" t="str">
        <f t="shared" si="165"/>
        <v/>
      </c>
      <c r="AN444" t="str">
        <f t="shared" si="166"/>
        <v/>
      </c>
      <c r="AO444" t="str">
        <f t="shared" si="167"/>
        <v/>
      </c>
      <c r="AP444" t="str">
        <f t="shared" si="168"/>
        <v/>
      </c>
      <c r="AQ444" t="str">
        <f t="shared" si="169"/>
        <v/>
      </c>
      <c r="AR444" t="str">
        <f t="shared" si="170"/>
        <v/>
      </c>
      <c r="AS444" t="str">
        <f t="shared" si="171"/>
        <v/>
      </c>
      <c r="AT444" t="str">
        <f t="shared" si="172"/>
        <v/>
      </c>
      <c r="AU444" s="25" t="str">
        <f t="shared" si="176"/>
        <v/>
      </c>
      <c r="BA444">
        <f>'REGISTER SK'!F447</f>
        <v>0</v>
      </c>
    </row>
    <row r="445" spans="1:53" x14ac:dyDescent="0.35">
      <c r="A445" s="18">
        <v>444</v>
      </c>
      <c r="B445" s="18"/>
      <c r="C445" s="18" t="str">
        <f>IF(G445="","",IF(G445="Umum",G445,VLOOKUP(F445,'Data Induk Pegawai'!B:AE,4,FALSE)))</f>
        <v/>
      </c>
      <c r="D445" s="19" t="str">
        <f>IF('REGISTER SK'!A448="","",IF('REGISTER SK'!B448=0,D444,'REGISTER SK'!B448))</f>
        <v/>
      </c>
      <c r="E445" s="19" t="str">
        <f t="shared" si="173"/>
        <v/>
      </c>
      <c r="F445" s="29"/>
      <c r="G445" s="29"/>
      <c r="H445" s="31" t="str">
        <f>IF(F445="","",VLOOKUP(F445,'Data Induk Pegawai'!B:U,2,FALSE))</f>
        <v/>
      </c>
      <c r="I445" s="19" t="str">
        <f>IF('REGISTER SK'!C448="","",'REGISTER SK'!C448)</f>
        <v/>
      </c>
      <c r="J445" s="125"/>
      <c r="K445" s="125"/>
      <c r="L445" s="26" t="str">
        <f>IF('REGISTER SK'!D448="","",'REGISTER SK'!D448)</f>
        <v/>
      </c>
      <c r="M445" s="26" t="str">
        <f>IF('REGISTER SK'!E448="","",'REGISTER SK'!E448)</f>
        <v/>
      </c>
      <c r="N445" s="31" t="str">
        <f>IF(G445="","",IF(OR(G445="GTT",G445="PTT"),"--",VLOOKUP(F445,'Data Induk Pegawai'!B:AE,4,FALSE)))</f>
        <v/>
      </c>
      <c r="O445" s="18" t="str">
        <f>IF(G445="","",VLOOKUP(F445,'Data Induk Pegawai'!B:AE,6,FALSE))</f>
        <v/>
      </c>
      <c r="P445" s="31" t="str">
        <f>IF(G445="","",VLOOKUP(F445,'Data Induk Pegawai'!B:AE,7,FALSE))</f>
        <v/>
      </c>
      <c r="Q445" s="30"/>
      <c r="R445" s="26" t="str">
        <f>IF(G445="","","Nomor "&amp;RIGHT(VLOOKUP(F445,'Data Induk Pegawai'!B:AE,12,FALSE),2)&amp;" Tahun "&amp;MID(VLOOKUP(F445,'Data Induk Pegawai'!B:AE,12,FALSE),5,4))</f>
        <v/>
      </c>
      <c r="S445" s="26" t="str">
        <f>IF(G445="","",VLOOKUP(F445,'Data Induk Pegawai'!B:AE,11,FALSE))</f>
        <v/>
      </c>
      <c r="T445" s="56"/>
      <c r="U445" s="18" t="str">
        <f t="shared" si="155"/>
        <v/>
      </c>
      <c r="V445" s="30"/>
      <c r="W445" s="18" t="str">
        <f t="shared" ref="W445:W469" si="178">V445&amp;H445</f>
        <v/>
      </c>
      <c r="Y445" t="str">
        <f t="shared" si="156"/>
        <v/>
      </c>
      <c r="Z445" t="str">
        <f t="shared" si="157"/>
        <v/>
      </c>
      <c r="AA445" t="str">
        <f t="shared" si="158"/>
        <v/>
      </c>
      <c r="AB445" t="str">
        <f>COUNTIFS(AC445:AC$596,AC445)&amp;AC445</f>
        <v>152</v>
      </c>
      <c r="AC445" t="str">
        <f t="shared" si="174"/>
        <v/>
      </c>
      <c r="AD445" t="str">
        <f>COUNTIFS(AC$2:AC445,AC445)&amp;AC445</f>
        <v>444</v>
      </c>
      <c r="AE445" t="str">
        <f t="shared" si="159"/>
        <v/>
      </c>
      <c r="AF445" t="str">
        <f t="shared" si="175"/>
        <v>..</v>
      </c>
      <c r="AG445" s="28" t="str">
        <f t="shared" si="177"/>
        <v/>
      </c>
      <c r="AH445" s="28" t="str">
        <f t="shared" si="160"/>
        <v/>
      </c>
      <c r="AI445" t="str">
        <f t="shared" si="161"/>
        <v/>
      </c>
      <c r="AJ445" t="str">
        <f t="shared" si="162"/>
        <v/>
      </c>
      <c r="AK445" t="str">
        <f t="shared" si="163"/>
        <v/>
      </c>
      <c r="AL445" t="str">
        <f t="shared" si="164"/>
        <v/>
      </c>
      <c r="AM445" t="str">
        <f t="shared" si="165"/>
        <v/>
      </c>
      <c r="AN445" t="str">
        <f t="shared" si="166"/>
        <v/>
      </c>
      <c r="AO445" t="str">
        <f t="shared" si="167"/>
        <v/>
      </c>
      <c r="AP445" t="str">
        <f t="shared" si="168"/>
        <v/>
      </c>
      <c r="AQ445" t="str">
        <f t="shared" si="169"/>
        <v/>
      </c>
      <c r="AR445" t="str">
        <f t="shared" si="170"/>
        <v/>
      </c>
      <c r="AS445" t="str">
        <f t="shared" si="171"/>
        <v/>
      </c>
      <c r="AT445" t="str">
        <f t="shared" si="172"/>
        <v/>
      </c>
      <c r="AU445" s="25" t="str">
        <f t="shared" si="176"/>
        <v/>
      </c>
      <c r="BA445">
        <f>'REGISTER SK'!F448</f>
        <v>0</v>
      </c>
    </row>
    <row r="446" spans="1:53" x14ac:dyDescent="0.35">
      <c r="A446" s="18">
        <v>445</v>
      </c>
      <c r="B446" s="18"/>
      <c r="C446" s="18" t="str">
        <f>IF(G446="","",IF(G446="Umum",G446,VLOOKUP(F446,'Data Induk Pegawai'!B:AE,4,FALSE)))</f>
        <v/>
      </c>
      <c r="D446" s="19" t="str">
        <f>IF('REGISTER SK'!A449="","",IF('REGISTER SK'!B449=0,D445,'REGISTER SK'!B449))</f>
        <v/>
      </c>
      <c r="E446" s="19" t="str">
        <f t="shared" si="173"/>
        <v/>
      </c>
      <c r="F446" s="29"/>
      <c r="G446" s="29"/>
      <c r="H446" s="31" t="str">
        <f>IF(F446="","",VLOOKUP(F446,'Data Induk Pegawai'!B:U,2,FALSE))</f>
        <v/>
      </c>
      <c r="I446" s="19" t="str">
        <f>IF('REGISTER SK'!C449="","",'REGISTER SK'!C449)</f>
        <v/>
      </c>
      <c r="J446" s="125"/>
      <c r="K446" s="125"/>
      <c r="L446" s="26" t="str">
        <f>IF('REGISTER SK'!D449="","",'REGISTER SK'!D449)</f>
        <v/>
      </c>
      <c r="M446" s="26" t="str">
        <f>IF('REGISTER SK'!E449="","",'REGISTER SK'!E449)</f>
        <v/>
      </c>
      <c r="N446" s="31" t="str">
        <f>IF(G446="","",IF(OR(G446="GTT",G446="PTT"),"--",VLOOKUP(F446,'Data Induk Pegawai'!B:AE,4,FALSE)))</f>
        <v/>
      </c>
      <c r="O446" s="18" t="str">
        <f>IF(G446="","",VLOOKUP(F446,'Data Induk Pegawai'!B:AE,6,FALSE))</f>
        <v/>
      </c>
      <c r="P446" s="31" t="str">
        <f>IF(G446="","",VLOOKUP(F446,'Data Induk Pegawai'!B:AE,7,FALSE))</f>
        <v/>
      </c>
      <c r="Q446" s="30"/>
      <c r="R446" s="26" t="str">
        <f>IF(G446="","","Nomor "&amp;RIGHT(VLOOKUP(F446,'Data Induk Pegawai'!B:AE,12,FALSE),2)&amp;" Tahun "&amp;MID(VLOOKUP(F446,'Data Induk Pegawai'!B:AE,12,FALSE),5,4))</f>
        <v/>
      </c>
      <c r="S446" s="26" t="str">
        <f>IF(G446="","",VLOOKUP(F446,'Data Induk Pegawai'!B:AE,11,FALSE))</f>
        <v/>
      </c>
      <c r="T446" s="56"/>
      <c r="U446" s="18" t="str">
        <f t="shared" si="155"/>
        <v/>
      </c>
      <c r="V446" s="30"/>
      <c r="W446" s="18" t="str">
        <f t="shared" si="178"/>
        <v/>
      </c>
      <c r="Y446" t="str">
        <f t="shared" si="156"/>
        <v/>
      </c>
      <c r="Z446" t="str">
        <f t="shared" si="157"/>
        <v/>
      </c>
      <c r="AA446" t="str">
        <f t="shared" si="158"/>
        <v/>
      </c>
      <c r="AB446" t="str">
        <f>COUNTIFS(AC446:AC$596,AC446)&amp;AC446</f>
        <v>151</v>
      </c>
      <c r="AC446" t="str">
        <f t="shared" si="174"/>
        <v/>
      </c>
      <c r="AD446" t="str">
        <f>COUNTIFS(AC$2:AC446,AC446)&amp;AC446</f>
        <v>445</v>
      </c>
      <c r="AE446" t="str">
        <f t="shared" si="159"/>
        <v/>
      </c>
      <c r="AF446" t="str">
        <f t="shared" si="175"/>
        <v>..</v>
      </c>
      <c r="AG446" s="28" t="str">
        <f t="shared" si="177"/>
        <v/>
      </c>
      <c r="AH446" s="28" t="str">
        <f t="shared" si="160"/>
        <v/>
      </c>
      <c r="AI446" t="str">
        <f t="shared" si="161"/>
        <v/>
      </c>
      <c r="AJ446" t="str">
        <f t="shared" si="162"/>
        <v/>
      </c>
      <c r="AK446" t="str">
        <f t="shared" si="163"/>
        <v/>
      </c>
      <c r="AL446" t="str">
        <f t="shared" si="164"/>
        <v/>
      </c>
      <c r="AM446" t="str">
        <f t="shared" si="165"/>
        <v/>
      </c>
      <c r="AN446" t="str">
        <f t="shared" si="166"/>
        <v/>
      </c>
      <c r="AO446" t="str">
        <f t="shared" si="167"/>
        <v/>
      </c>
      <c r="AP446" t="str">
        <f t="shared" si="168"/>
        <v/>
      </c>
      <c r="AQ446" t="str">
        <f t="shared" si="169"/>
        <v/>
      </c>
      <c r="AR446" t="str">
        <f t="shared" si="170"/>
        <v/>
      </c>
      <c r="AS446" t="str">
        <f t="shared" si="171"/>
        <v/>
      </c>
      <c r="AT446" t="str">
        <f t="shared" si="172"/>
        <v/>
      </c>
      <c r="AU446" s="25" t="str">
        <f t="shared" si="176"/>
        <v/>
      </c>
      <c r="BA446">
        <f>'REGISTER SK'!F449</f>
        <v>0</v>
      </c>
    </row>
    <row r="447" spans="1:53" x14ac:dyDescent="0.35">
      <c r="A447" s="18">
        <v>446</v>
      </c>
      <c r="B447" s="18"/>
      <c r="C447" s="18" t="str">
        <f>IF(G447="","",IF(G447="Umum",G447,VLOOKUP(F447,'Data Induk Pegawai'!B:AE,4,FALSE)))</f>
        <v/>
      </c>
      <c r="D447" s="19" t="str">
        <f>IF('REGISTER SK'!A450="","",IF('REGISTER SK'!B450=0,D446,'REGISTER SK'!B450))</f>
        <v/>
      </c>
      <c r="E447" s="19" t="str">
        <f t="shared" si="173"/>
        <v/>
      </c>
      <c r="F447" s="29"/>
      <c r="G447" s="29"/>
      <c r="H447" s="31" t="str">
        <f>IF(F447="","",VLOOKUP(F447,'Data Induk Pegawai'!B:U,2,FALSE))</f>
        <v/>
      </c>
      <c r="I447" s="19" t="str">
        <f>IF('REGISTER SK'!C450="","",'REGISTER SK'!C450)</f>
        <v/>
      </c>
      <c r="J447" s="125"/>
      <c r="K447" s="125"/>
      <c r="L447" s="26" t="str">
        <f>IF('REGISTER SK'!D450="","",'REGISTER SK'!D450)</f>
        <v/>
      </c>
      <c r="M447" s="26" t="str">
        <f>IF('REGISTER SK'!E450="","",'REGISTER SK'!E450)</f>
        <v/>
      </c>
      <c r="N447" s="31" t="str">
        <f>IF(G447="","",IF(OR(G447="GTT",G447="PTT"),"--",VLOOKUP(F447,'Data Induk Pegawai'!B:AE,4,FALSE)))</f>
        <v/>
      </c>
      <c r="O447" s="18" t="str">
        <f>IF(G447="","",VLOOKUP(F447,'Data Induk Pegawai'!B:AE,6,FALSE))</f>
        <v/>
      </c>
      <c r="P447" s="31" t="str">
        <f>IF(G447="","",VLOOKUP(F447,'Data Induk Pegawai'!B:AE,7,FALSE))</f>
        <v/>
      </c>
      <c r="Q447" s="30"/>
      <c r="R447" s="26" t="str">
        <f>IF(G447="","","Nomor "&amp;RIGHT(VLOOKUP(F447,'Data Induk Pegawai'!B:AE,12,FALSE),2)&amp;" Tahun "&amp;MID(VLOOKUP(F447,'Data Induk Pegawai'!B:AE,12,FALSE),5,4))</f>
        <v/>
      </c>
      <c r="S447" s="26" t="str">
        <f>IF(G447="","",VLOOKUP(F447,'Data Induk Pegawai'!B:AE,11,FALSE))</f>
        <v/>
      </c>
      <c r="T447" s="56"/>
      <c r="U447" s="18" t="str">
        <f t="shared" si="155"/>
        <v/>
      </c>
      <c r="V447" s="30"/>
      <c r="W447" s="18" t="str">
        <f t="shared" si="178"/>
        <v/>
      </c>
      <c r="Y447" t="str">
        <f t="shared" si="156"/>
        <v/>
      </c>
      <c r="Z447" t="str">
        <f t="shared" si="157"/>
        <v/>
      </c>
      <c r="AA447" t="str">
        <f t="shared" si="158"/>
        <v/>
      </c>
      <c r="AB447" t="str">
        <f>COUNTIFS(AC447:AC$596,AC447)&amp;AC447</f>
        <v>150</v>
      </c>
      <c r="AC447" t="str">
        <f t="shared" si="174"/>
        <v/>
      </c>
      <c r="AD447" t="str">
        <f>COUNTIFS(AC$2:AC447,AC447)&amp;AC447</f>
        <v>446</v>
      </c>
      <c r="AE447" t="str">
        <f t="shared" si="159"/>
        <v/>
      </c>
      <c r="AF447" t="str">
        <f t="shared" si="175"/>
        <v>..</v>
      </c>
      <c r="AG447" s="28" t="str">
        <f t="shared" si="177"/>
        <v/>
      </c>
      <c r="AH447" s="28" t="str">
        <f t="shared" si="160"/>
        <v/>
      </c>
      <c r="AI447" t="str">
        <f t="shared" si="161"/>
        <v/>
      </c>
      <c r="AJ447" t="str">
        <f t="shared" si="162"/>
        <v/>
      </c>
      <c r="AK447" t="str">
        <f t="shared" si="163"/>
        <v/>
      </c>
      <c r="AL447" t="str">
        <f t="shared" si="164"/>
        <v/>
      </c>
      <c r="AM447" t="str">
        <f t="shared" si="165"/>
        <v/>
      </c>
      <c r="AN447" t="str">
        <f t="shared" si="166"/>
        <v/>
      </c>
      <c r="AO447" t="str">
        <f t="shared" si="167"/>
        <v/>
      </c>
      <c r="AP447" t="str">
        <f t="shared" si="168"/>
        <v/>
      </c>
      <c r="AQ447" t="str">
        <f t="shared" si="169"/>
        <v/>
      </c>
      <c r="AR447" t="str">
        <f t="shared" si="170"/>
        <v/>
      </c>
      <c r="AS447" t="str">
        <f t="shared" si="171"/>
        <v/>
      </c>
      <c r="AT447" t="str">
        <f t="shared" si="172"/>
        <v/>
      </c>
      <c r="AU447" s="25" t="str">
        <f t="shared" si="176"/>
        <v/>
      </c>
      <c r="BA447">
        <f>'REGISTER SK'!F450</f>
        <v>0</v>
      </c>
    </row>
    <row r="448" spans="1:53" x14ac:dyDescent="0.35">
      <c r="A448" s="18">
        <v>447</v>
      </c>
      <c r="B448" s="18"/>
      <c r="C448" s="18" t="str">
        <f>IF(G448="","",IF(G448="Umum",G448,VLOOKUP(F448,'Data Induk Pegawai'!B:AE,4,FALSE)))</f>
        <v/>
      </c>
      <c r="D448" s="19" t="str">
        <f>IF('REGISTER SK'!A451="","",IF('REGISTER SK'!B451=0,D447,'REGISTER SK'!B451))</f>
        <v/>
      </c>
      <c r="E448" s="19" t="str">
        <f t="shared" si="173"/>
        <v/>
      </c>
      <c r="F448" s="29"/>
      <c r="G448" s="29"/>
      <c r="H448" s="31" t="str">
        <f>IF(F448="","",VLOOKUP(F448,'Data Induk Pegawai'!B:U,2,FALSE))</f>
        <v/>
      </c>
      <c r="I448" s="19" t="str">
        <f>IF('REGISTER SK'!C451="","",'REGISTER SK'!C451)</f>
        <v/>
      </c>
      <c r="J448" s="125"/>
      <c r="K448" s="125"/>
      <c r="L448" s="26" t="str">
        <f>IF('REGISTER SK'!D451="","",'REGISTER SK'!D451)</f>
        <v/>
      </c>
      <c r="M448" s="26" t="str">
        <f>IF('REGISTER SK'!E451="","",'REGISTER SK'!E451)</f>
        <v/>
      </c>
      <c r="N448" s="31" t="str">
        <f>IF(G448="","",IF(OR(G448="GTT",G448="PTT"),"--",VLOOKUP(F448,'Data Induk Pegawai'!B:AE,4,FALSE)))</f>
        <v/>
      </c>
      <c r="O448" s="18" t="str">
        <f>IF(G448="","",VLOOKUP(F448,'Data Induk Pegawai'!B:AE,6,FALSE))</f>
        <v/>
      </c>
      <c r="P448" s="31" t="str">
        <f>IF(G448="","",VLOOKUP(F448,'Data Induk Pegawai'!B:AE,7,FALSE))</f>
        <v/>
      </c>
      <c r="Q448" s="30"/>
      <c r="R448" s="26" t="str">
        <f>IF(G448="","","Nomor "&amp;RIGHT(VLOOKUP(F448,'Data Induk Pegawai'!B:AE,12,FALSE),2)&amp;" Tahun "&amp;MID(VLOOKUP(F448,'Data Induk Pegawai'!B:AE,12,FALSE),5,4))</f>
        <v/>
      </c>
      <c r="S448" s="26" t="str">
        <f>IF(G448="","",VLOOKUP(F448,'Data Induk Pegawai'!B:AE,11,FALSE))</f>
        <v/>
      </c>
      <c r="T448" s="56"/>
      <c r="U448" s="18" t="str">
        <f t="shared" si="155"/>
        <v/>
      </c>
      <c r="V448" s="30"/>
      <c r="W448" s="18" t="str">
        <f t="shared" si="178"/>
        <v/>
      </c>
      <c r="Y448" t="str">
        <f t="shared" si="156"/>
        <v/>
      </c>
      <c r="Z448" t="str">
        <f t="shared" si="157"/>
        <v/>
      </c>
      <c r="AA448" t="str">
        <f t="shared" si="158"/>
        <v/>
      </c>
      <c r="AB448" t="str">
        <f>COUNTIFS(AC448:AC$596,AC448)&amp;AC448</f>
        <v>149</v>
      </c>
      <c r="AC448" t="str">
        <f t="shared" si="174"/>
        <v/>
      </c>
      <c r="AD448" t="str">
        <f>COUNTIFS(AC$2:AC448,AC448)&amp;AC448</f>
        <v>447</v>
      </c>
      <c r="AE448" t="str">
        <f t="shared" si="159"/>
        <v/>
      </c>
      <c r="AF448" t="str">
        <f t="shared" si="175"/>
        <v>..</v>
      </c>
      <c r="AG448" s="28" t="str">
        <f t="shared" si="177"/>
        <v/>
      </c>
      <c r="AH448" s="28" t="str">
        <f t="shared" si="160"/>
        <v/>
      </c>
      <c r="AI448" t="str">
        <f t="shared" si="161"/>
        <v/>
      </c>
      <c r="AJ448" t="str">
        <f t="shared" si="162"/>
        <v/>
      </c>
      <c r="AK448" t="str">
        <f t="shared" si="163"/>
        <v/>
      </c>
      <c r="AL448" t="str">
        <f t="shared" si="164"/>
        <v/>
      </c>
      <c r="AM448" t="str">
        <f t="shared" si="165"/>
        <v/>
      </c>
      <c r="AN448" t="str">
        <f t="shared" si="166"/>
        <v/>
      </c>
      <c r="AO448" t="str">
        <f t="shared" si="167"/>
        <v/>
      </c>
      <c r="AP448" t="str">
        <f t="shared" si="168"/>
        <v/>
      </c>
      <c r="AQ448" t="str">
        <f t="shared" si="169"/>
        <v/>
      </c>
      <c r="AR448" t="str">
        <f t="shared" si="170"/>
        <v/>
      </c>
      <c r="AS448" t="str">
        <f t="shared" si="171"/>
        <v/>
      </c>
      <c r="AT448" t="str">
        <f t="shared" si="172"/>
        <v/>
      </c>
      <c r="AU448" s="25" t="str">
        <f t="shared" si="176"/>
        <v/>
      </c>
      <c r="BA448">
        <f>'REGISTER SK'!F451</f>
        <v>0</v>
      </c>
    </row>
    <row r="449" spans="1:53" x14ac:dyDescent="0.35">
      <c r="A449" s="18">
        <v>448</v>
      </c>
      <c r="B449" s="18"/>
      <c r="C449" s="18" t="str">
        <f>IF(G449="","",IF(G449="Umum",G449,VLOOKUP(F449,'Data Induk Pegawai'!B:AE,4,FALSE)))</f>
        <v/>
      </c>
      <c r="D449" s="19" t="str">
        <f>IF('REGISTER SK'!A452="","",IF('REGISTER SK'!B452=0,D448,'REGISTER SK'!B452))</f>
        <v/>
      </c>
      <c r="E449" s="19" t="str">
        <f t="shared" si="173"/>
        <v/>
      </c>
      <c r="F449" s="29"/>
      <c r="G449" s="29"/>
      <c r="H449" s="31" t="str">
        <f>IF(F449="","",VLOOKUP(F449,'Data Induk Pegawai'!B:U,2,FALSE))</f>
        <v/>
      </c>
      <c r="I449" s="19" t="str">
        <f>IF('REGISTER SK'!C452="","",'REGISTER SK'!C452)</f>
        <v/>
      </c>
      <c r="J449" s="125"/>
      <c r="K449" s="125"/>
      <c r="L449" s="26" t="str">
        <f>IF('REGISTER SK'!D452="","",'REGISTER SK'!D452)</f>
        <v/>
      </c>
      <c r="M449" s="26" t="str">
        <f>IF('REGISTER SK'!E452="","",'REGISTER SK'!E452)</f>
        <v/>
      </c>
      <c r="N449" s="31" t="str">
        <f>IF(G449="","",IF(OR(G449="GTT",G449="PTT"),"--",VLOOKUP(F449,'Data Induk Pegawai'!B:AE,4,FALSE)))</f>
        <v/>
      </c>
      <c r="O449" s="18" t="str">
        <f>IF(G449="","",VLOOKUP(F449,'Data Induk Pegawai'!B:AE,6,FALSE))</f>
        <v/>
      </c>
      <c r="P449" s="31" t="str">
        <f>IF(G449="","",VLOOKUP(F449,'Data Induk Pegawai'!B:AE,7,FALSE))</f>
        <v/>
      </c>
      <c r="Q449" s="30"/>
      <c r="R449" s="26" t="str">
        <f>IF(G449="","","Nomor "&amp;RIGHT(VLOOKUP(F449,'Data Induk Pegawai'!B:AE,12,FALSE),2)&amp;" Tahun "&amp;MID(VLOOKUP(F449,'Data Induk Pegawai'!B:AE,12,FALSE),5,4))</f>
        <v/>
      </c>
      <c r="S449" s="26" t="str">
        <f>IF(G449="","",VLOOKUP(F449,'Data Induk Pegawai'!B:AE,11,FALSE))</f>
        <v/>
      </c>
      <c r="T449" s="56"/>
      <c r="U449" s="18" t="str">
        <f t="shared" si="155"/>
        <v/>
      </c>
      <c r="V449" s="30"/>
      <c r="W449" s="18" t="str">
        <f t="shared" si="178"/>
        <v/>
      </c>
      <c r="Y449" t="str">
        <f t="shared" si="156"/>
        <v/>
      </c>
      <c r="Z449" t="str">
        <f t="shared" si="157"/>
        <v/>
      </c>
      <c r="AA449" t="str">
        <f t="shared" si="158"/>
        <v/>
      </c>
      <c r="AB449" t="str">
        <f>COUNTIFS(AC449:AC$596,AC449)&amp;AC449</f>
        <v>148</v>
      </c>
      <c r="AC449" t="str">
        <f t="shared" si="174"/>
        <v/>
      </c>
      <c r="AD449" t="str">
        <f>COUNTIFS(AC$2:AC449,AC449)&amp;AC449</f>
        <v>448</v>
      </c>
      <c r="AE449" t="str">
        <f t="shared" si="159"/>
        <v/>
      </c>
      <c r="AF449" t="str">
        <f t="shared" si="175"/>
        <v>..</v>
      </c>
      <c r="AG449" s="28" t="str">
        <f t="shared" si="177"/>
        <v/>
      </c>
      <c r="AH449" s="28" t="str">
        <f t="shared" si="160"/>
        <v/>
      </c>
      <c r="AI449" t="str">
        <f t="shared" si="161"/>
        <v/>
      </c>
      <c r="AJ449" t="str">
        <f t="shared" si="162"/>
        <v/>
      </c>
      <c r="AK449" t="str">
        <f t="shared" si="163"/>
        <v/>
      </c>
      <c r="AL449" t="str">
        <f t="shared" si="164"/>
        <v/>
      </c>
      <c r="AM449" t="str">
        <f t="shared" si="165"/>
        <v/>
      </c>
      <c r="AN449" t="str">
        <f t="shared" si="166"/>
        <v/>
      </c>
      <c r="AO449" t="str">
        <f t="shared" si="167"/>
        <v/>
      </c>
      <c r="AP449" t="str">
        <f t="shared" si="168"/>
        <v/>
      </c>
      <c r="AQ449" t="str">
        <f t="shared" si="169"/>
        <v/>
      </c>
      <c r="AR449" t="str">
        <f t="shared" si="170"/>
        <v/>
      </c>
      <c r="AS449" t="str">
        <f t="shared" si="171"/>
        <v/>
      </c>
      <c r="AT449" t="str">
        <f t="shared" si="172"/>
        <v/>
      </c>
      <c r="AU449" s="25" t="str">
        <f t="shared" si="176"/>
        <v/>
      </c>
      <c r="BA449">
        <f>'REGISTER SK'!F452</f>
        <v>0</v>
      </c>
    </row>
    <row r="450" spans="1:53" x14ac:dyDescent="0.35">
      <c r="A450" s="18">
        <v>449</v>
      </c>
      <c r="B450" s="18"/>
      <c r="C450" s="18" t="str">
        <f>IF(G450="","",IF(G450="Umum",G450,VLOOKUP(F450,'Data Induk Pegawai'!B:AE,4,FALSE)))</f>
        <v/>
      </c>
      <c r="D450" s="19" t="str">
        <f>IF('REGISTER SK'!A453="","",IF('REGISTER SK'!B453=0,D449,'REGISTER SK'!B453))</f>
        <v/>
      </c>
      <c r="E450" s="19" t="str">
        <f t="shared" si="173"/>
        <v/>
      </c>
      <c r="F450" s="29"/>
      <c r="G450" s="29"/>
      <c r="H450" s="31" t="str">
        <f>IF(F450="","",VLOOKUP(F450,'Data Induk Pegawai'!B:U,2,FALSE))</f>
        <v/>
      </c>
      <c r="I450" s="19" t="str">
        <f>IF('REGISTER SK'!C453="","",'REGISTER SK'!C453)</f>
        <v/>
      </c>
      <c r="J450" s="125"/>
      <c r="K450" s="125"/>
      <c r="L450" s="26" t="str">
        <f>IF('REGISTER SK'!D453="","",'REGISTER SK'!D453)</f>
        <v/>
      </c>
      <c r="M450" s="26" t="str">
        <f>IF('REGISTER SK'!E453="","",'REGISTER SK'!E453)</f>
        <v/>
      </c>
      <c r="N450" s="31" t="str">
        <f>IF(G450="","",IF(OR(G450="GTT",G450="PTT"),"--",VLOOKUP(F450,'Data Induk Pegawai'!B:AE,4,FALSE)))</f>
        <v/>
      </c>
      <c r="O450" s="18" t="str">
        <f>IF(G450="","",VLOOKUP(F450,'Data Induk Pegawai'!B:AE,6,FALSE))</f>
        <v/>
      </c>
      <c r="P450" s="31" t="str">
        <f>IF(G450="","",VLOOKUP(F450,'Data Induk Pegawai'!B:AE,7,FALSE))</f>
        <v/>
      </c>
      <c r="Q450" s="30"/>
      <c r="R450" s="26" t="str">
        <f>IF(G450="","","Nomor "&amp;RIGHT(VLOOKUP(F450,'Data Induk Pegawai'!B:AE,12,FALSE),2)&amp;" Tahun "&amp;MID(VLOOKUP(F450,'Data Induk Pegawai'!B:AE,12,FALSE),5,4))</f>
        <v/>
      </c>
      <c r="S450" s="26" t="str">
        <f>IF(G450="","",VLOOKUP(F450,'Data Induk Pegawai'!B:AE,11,FALSE))</f>
        <v/>
      </c>
      <c r="T450" s="56"/>
      <c r="U450" s="18" t="str">
        <f t="shared" ref="U450:U513" si="179">IF(Y450="","",IF(Z450&lt;1,AA450&amp;" Bulan",IF(AND(Z450&gt;0,AA450=0),Z450&amp;" Tahun",Z450&amp;" Tahun "&amp;AA450&amp;" Bulan")))</f>
        <v/>
      </c>
      <c r="V450" s="30"/>
      <c r="W450" s="18" t="str">
        <f t="shared" si="178"/>
        <v/>
      </c>
      <c r="Y450" t="str">
        <f t="shared" ref="Y450:Y513" si="180">IFERROR(IF(S450="","",DATEDIF(S450,M450,"M")),"?")</f>
        <v/>
      </c>
      <c r="Z450" t="str">
        <f t="shared" ref="Z450:Z513" si="181">IFERROR(IF(Y450="","",ROUNDDOWN(Y450/12,0)),"-")</f>
        <v/>
      </c>
      <c r="AA450" t="str">
        <f t="shared" ref="AA450:AA513" si="182">IFERROR(IF(Y450="","",Y450-Z450*12),"-")</f>
        <v/>
      </c>
      <c r="AB450" t="str">
        <f>COUNTIFS(AC450:AC$596,AC450)&amp;AC450</f>
        <v>147</v>
      </c>
      <c r="AC450" t="str">
        <f t="shared" si="174"/>
        <v/>
      </c>
      <c r="AD450" t="str">
        <f>COUNTIFS(AC$2:AC450,AC450)&amp;AC450</f>
        <v>449</v>
      </c>
      <c r="AE450" t="str">
        <f t="shared" ref="AE450:AE513" si="183">IF(LEFT(V450,16)="SK Pemberhentian",E450&amp;"OUT"&amp;F450,E450&amp;G450&amp;F450)</f>
        <v/>
      </c>
      <c r="AF450" t="str">
        <f t="shared" si="175"/>
        <v>..</v>
      </c>
      <c r="AG450" s="28" t="str">
        <f t="shared" si="177"/>
        <v/>
      </c>
      <c r="AH450" s="28" t="str">
        <f t="shared" ref="AH450:AH513" si="184">M450</f>
        <v/>
      </c>
      <c r="AI450" t="str">
        <f t="shared" ref="AI450:AI513" si="185">IF(AG450="","",AJ450&amp;" "&amp;VLOOKUP(AK450,AX:AY,2,FALSE)&amp;" "&amp;AL450)</f>
        <v/>
      </c>
      <c r="AJ450" t="str">
        <f t="shared" ref="AJ450:AJ513" si="186">TEXT(AG450,"D")</f>
        <v/>
      </c>
      <c r="AK450" t="str">
        <f t="shared" ref="AK450:AK513" si="187">TEXT(AG450,"MMMM")</f>
        <v/>
      </c>
      <c r="AL450" t="str">
        <f t="shared" ref="AL450:AL513" si="188">TEXT(AG450,"YYYY")</f>
        <v/>
      </c>
      <c r="AM450" t="str">
        <f t="shared" ref="AM450:AM513" si="189">IF(AI450="","",AN450&amp;" "&amp;VLOOKUP(AO450,AX:AY,2,FALSE)&amp;" "&amp;AP450)</f>
        <v/>
      </c>
      <c r="AN450" t="str">
        <f t="shared" ref="AN450:AN513" si="190">TEXT(S450,"D")</f>
        <v/>
      </c>
      <c r="AO450" t="str">
        <f t="shared" ref="AO450:AO513" si="191">TEXT(S450,"MMMM")</f>
        <v/>
      </c>
      <c r="AP450" t="str">
        <f t="shared" ref="AP450:AP513" si="192">TEXT(S450,"YYYY")</f>
        <v/>
      </c>
      <c r="AQ450" t="str">
        <f t="shared" ref="AQ450:AQ513" si="193">IF(AM450="","",AR450&amp;" "&amp;VLOOKUP(AS450,AX:AY,2,FALSE)&amp;" "&amp;AT450)</f>
        <v/>
      </c>
      <c r="AR450" t="str">
        <f t="shared" ref="AR450:AR513" si="194">TEXT(M450,"D")</f>
        <v/>
      </c>
      <c r="AS450" t="str">
        <f t="shared" ref="AS450:AS513" si="195">TEXT(M450,"MMMM")</f>
        <v/>
      </c>
      <c r="AT450" t="str">
        <f t="shared" ref="AT450:AT513" si="196">TEXT(M450,"YYYY")</f>
        <v/>
      </c>
      <c r="AU450" s="25" t="str">
        <f t="shared" si="176"/>
        <v/>
      </c>
      <c r="BA450">
        <f>'REGISTER SK'!F453</f>
        <v>0</v>
      </c>
    </row>
    <row r="451" spans="1:53" x14ac:dyDescent="0.35">
      <c r="A451" s="18">
        <v>450</v>
      </c>
      <c r="B451" s="18"/>
      <c r="C451" s="18" t="str">
        <f>IF(G451="","",IF(G451="Umum",G451,VLOOKUP(F451,'Data Induk Pegawai'!B:AE,4,FALSE)))</f>
        <v/>
      </c>
      <c r="D451" s="19" t="str">
        <f>IF('REGISTER SK'!A454="","",IF('REGISTER SK'!B454=0,D450,'REGISTER SK'!B454))</f>
        <v/>
      </c>
      <c r="E451" s="19" t="str">
        <f t="shared" ref="E451:E514" si="197">IF(D451="","",D451&amp;"/"&amp;D451+1)</f>
        <v/>
      </c>
      <c r="F451" s="29"/>
      <c r="G451" s="29"/>
      <c r="H451" s="31" t="str">
        <f>IF(F451="","",VLOOKUP(F451,'Data Induk Pegawai'!B:U,2,FALSE))</f>
        <v/>
      </c>
      <c r="I451" s="19" t="str">
        <f>IF('REGISTER SK'!C454="","",'REGISTER SK'!C454)</f>
        <v/>
      </c>
      <c r="J451" s="125"/>
      <c r="K451" s="125"/>
      <c r="L451" s="26" t="str">
        <f>IF('REGISTER SK'!D454="","",'REGISTER SK'!D454)</f>
        <v/>
      </c>
      <c r="M451" s="26" t="str">
        <f>IF('REGISTER SK'!E454="","",'REGISTER SK'!E454)</f>
        <v/>
      </c>
      <c r="N451" s="31" t="str">
        <f>IF(G451="","",IF(OR(G451="GTT",G451="PTT"),"--",VLOOKUP(F451,'Data Induk Pegawai'!B:AE,4,FALSE)))</f>
        <v/>
      </c>
      <c r="O451" s="18" t="str">
        <f>IF(G451="","",VLOOKUP(F451,'Data Induk Pegawai'!B:AE,6,FALSE))</f>
        <v/>
      </c>
      <c r="P451" s="31" t="str">
        <f>IF(G451="","",VLOOKUP(F451,'Data Induk Pegawai'!B:AE,7,FALSE))</f>
        <v/>
      </c>
      <c r="Q451" s="30"/>
      <c r="R451" s="26" t="str">
        <f>IF(G451="","","Nomor "&amp;RIGHT(VLOOKUP(F451,'Data Induk Pegawai'!B:AE,12,FALSE),2)&amp;" Tahun "&amp;MID(VLOOKUP(F451,'Data Induk Pegawai'!B:AE,12,FALSE),5,4))</f>
        <v/>
      </c>
      <c r="S451" s="26" t="str">
        <f>IF(G451="","",VLOOKUP(F451,'Data Induk Pegawai'!B:AE,11,FALSE))</f>
        <v/>
      </c>
      <c r="T451" s="56"/>
      <c r="U451" s="18" t="str">
        <f t="shared" si="179"/>
        <v/>
      </c>
      <c r="V451" s="30"/>
      <c r="W451" s="18" t="str">
        <f t="shared" si="178"/>
        <v/>
      </c>
      <c r="Y451" t="str">
        <f t="shared" si="180"/>
        <v/>
      </c>
      <c r="Z451" t="str">
        <f t="shared" si="181"/>
        <v/>
      </c>
      <c r="AA451" t="str">
        <f t="shared" si="182"/>
        <v/>
      </c>
      <c r="AB451" t="str">
        <f>COUNTIFS(AC451:AC$596,AC451)&amp;AC451</f>
        <v>146</v>
      </c>
      <c r="AC451" t="str">
        <f t="shared" ref="AC451:AC514" si="198">IF(LEFT(V451,16)="SK Pemberhentian","OUT"&amp;F451,IF(RIGHT(G451,2)="TT","GPTT",IF(RIGHT(G451,2)="TY","GPTY",G451))&amp;F451)</f>
        <v/>
      </c>
      <c r="AD451" t="str">
        <f>COUNTIFS(AC$2:AC451,AC451)&amp;AC451</f>
        <v>450</v>
      </c>
      <c r="AE451" t="str">
        <f t="shared" si="183"/>
        <v/>
      </c>
      <c r="AF451" t="str">
        <f t="shared" ref="AF451:AF514" si="199">G451&amp;"."&amp;D451&amp;"."&amp;I451</f>
        <v>..</v>
      </c>
      <c r="AG451" s="28" t="str">
        <f t="shared" si="177"/>
        <v/>
      </c>
      <c r="AH451" s="28" t="str">
        <f t="shared" si="184"/>
        <v/>
      </c>
      <c r="AI451" t="str">
        <f t="shared" si="185"/>
        <v/>
      </c>
      <c r="AJ451" t="str">
        <f t="shared" si="186"/>
        <v/>
      </c>
      <c r="AK451" t="str">
        <f t="shared" si="187"/>
        <v/>
      </c>
      <c r="AL451" t="str">
        <f t="shared" si="188"/>
        <v/>
      </c>
      <c r="AM451" t="str">
        <f t="shared" si="189"/>
        <v/>
      </c>
      <c r="AN451" t="str">
        <f t="shared" si="190"/>
        <v/>
      </c>
      <c r="AO451" t="str">
        <f t="shared" si="191"/>
        <v/>
      </c>
      <c r="AP451" t="str">
        <f t="shared" si="192"/>
        <v/>
      </c>
      <c r="AQ451" t="str">
        <f t="shared" si="193"/>
        <v/>
      </c>
      <c r="AR451" t="str">
        <f t="shared" si="194"/>
        <v/>
      </c>
      <c r="AS451" t="str">
        <f t="shared" si="195"/>
        <v/>
      </c>
      <c r="AT451" t="str">
        <f t="shared" si="196"/>
        <v/>
      </c>
      <c r="AU451" s="25" t="str">
        <f t="shared" ref="AU451:AU514" si="200">IF(OR(G451="Umum",G451=""),"",VLOOKUP(VALUE(TEXT(M451,"M")-1),AW:AY,3,FALSE))</f>
        <v/>
      </c>
      <c r="BA451">
        <f>'REGISTER SK'!F454</f>
        <v>0</v>
      </c>
    </row>
    <row r="452" spans="1:53" x14ac:dyDescent="0.35">
      <c r="A452" s="18">
        <v>451</v>
      </c>
      <c r="B452" s="18"/>
      <c r="C452" s="18" t="str">
        <f>IF(G452="","",IF(G452="Umum",G452,VLOOKUP(F452,'Data Induk Pegawai'!B:AE,4,FALSE)))</f>
        <v/>
      </c>
      <c r="D452" s="19" t="str">
        <f>IF('REGISTER SK'!A455="","",IF('REGISTER SK'!B455=0,D451,'REGISTER SK'!B455))</f>
        <v/>
      </c>
      <c r="E452" s="19" t="str">
        <f t="shared" si="197"/>
        <v/>
      </c>
      <c r="F452" s="29"/>
      <c r="G452" s="29"/>
      <c r="H452" s="31" t="str">
        <f>IF(F452="","",VLOOKUP(F452,'Data Induk Pegawai'!B:U,2,FALSE))</f>
        <v/>
      </c>
      <c r="I452" s="19" t="str">
        <f>IF('REGISTER SK'!C455="","",'REGISTER SK'!C455)</f>
        <v/>
      </c>
      <c r="J452" s="125"/>
      <c r="K452" s="125"/>
      <c r="L452" s="26" t="str">
        <f>IF('REGISTER SK'!D455="","",'REGISTER SK'!D455)</f>
        <v/>
      </c>
      <c r="M452" s="26" t="str">
        <f>IF('REGISTER SK'!E455="","",'REGISTER SK'!E455)</f>
        <v/>
      </c>
      <c r="N452" s="31" t="str">
        <f>IF(G452="","",IF(OR(G452="GTT",G452="PTT"),"--",VLOOKUP(F452,'Data Induk Pegawai'!B:AE,4,FALSE)))</f>
        <v/>
      </c>
      <c r="O452" s="18" t="str">
        <f>IF(G452="","",VLOOKUP(F452,'Data Induk Pegawai'!B:AE,6,FALSE))</f>
        <v/>
      </c>
      <c r="P452" s="31" t="str">
        <f>IF(G452="","",VLOOKUP(F452,'Data Induk Pegawai'!B:AE,7,FALSE))</f>
        <v/>
      </c>
      <c r="Q452" s="30"/>
      <c r="R452" s="26" t="str">
        <f>IF(G452="","","Nomor "&amp;RIGHT(VLOOKUP(F452,'Data Induk Pegawai'!B:AE,12,FALSE),2)&amp;" Tahun "&amp;MID(VLOOKUP(F452,'Data Induk Pegawai'!B:AE,12,FALSE),5,4))</f>
        <v/>
      </c>
      <c r="S452" s="26" t="str">
        <f>IF(G452="","",VLOOKUP(F452,'Data Induk Pegawai'!B:AE,11,FALSE))</f>
        <v/>
      </c>
      <c r="T452" s="56"/>
      <c r="U452" s="18" t="str">
        <f t="shared" si="179"/>
        <v/>
      </c>
      <c r="V452" s="30"/>
      <c r="W452" s="18" t="str">
        <f t="shared" si="178"/>
        <v/>
      </c>
      <c r="Y452" t="str">
        <f t="shared" si="180"/>
        <v/>
      </c>
      <c r="Z452" t="str">
        <f t="shared" si="181"/>
        <v/>
      </c>
      <c r="AA452" t="str">
        <f t="shared" si="182"/>
        <v/>
      </c>
      <c r="AB452" t="str">
        <f>COUNTIFS(AC452:AC$596,AC452)&amp;AC452</f>
        <v>145</v>
      </c>
      <c r="AC452" t="str">
        <f t="shared" si="198"/>
        <v/>
      </c>
      <c r="AD452" t="str">
        <f>COUNTIFS(AC$2:AC452,AC452)&amp;AC452</f>
        <v>451</v>
      </c>
      <c r="AE452" t="str">
        <f t="shared" si="183"/>
        <v/>
      </c>
      <c r="AF452" t="str">
        <f t="shared" si="199"/>
        <v>..</v>
      </c>
      <c r="AG452" s="28" t="str">
        <f t="shared" si="177"/>
        <v/>
      </c>
      <c r="AH452" s="28" t="str">
        <f t="shared" si="184"/>
        <v/>
      </c>
      <c r="AI452" t="str">
        <f t="shared" si="185"/>
        <v/>
      </c>
      <c r="AJ452" t="str">
        <f t="shared" si="186"/>
        <v/>
      </c>
      <c r="AK452" t="str">
        <f t="shared" si="187"/>
        <v/>
      </c>
      <c r="AL452" t="str">
        <f t="shared" si="188"/>
        <v/>
      </c>
      <c r="AM452" t="str">
        <f t="shared" si="189"/>
        <v/>
      </c>
      <c r="AN452" t="str">
        <f t="shared" si="190"/>
        <v/>
      </c>
      <c r="AO452" t="str">
        <f t="shared" si="191"/>
        <v/>
      </c>
      <c r="AP452" t="str">
        <f t="shared" si="192"/>
        <v/>
      </c>
      <c r="AQ452" t="str">
        <f t="shared" si="193"/>
        <v/>
      </c>
      <c r="AR452" t="str">
        <f t="shared" si="194"/>
        <v/>
      </c>
      <c r="AS452" t="str">
        <f t="shared" si="195"/>
        <v/>
      </c>
      <c r="AT452" t="str">
        <f t="shared" si="196"/>
        <v/>
      </c>
      <c r="AU452" s="25" t="str">
        <f t="shared" si="200"/>
        <v/>
      </c>
      <c r="BA452">
        <f>'REGISTER SK'!F455</f>
        <v>0</v>
      </c>
    </row>
    <row r="453" spans="1:53" x14ac:dyDescent="0.35">
      <c r="A453" s="18">
        <v>452</v>
      </c>
      <c r="B453" s="18"/>
      <c r="C453" s="18" t="str">
        <f>IF(G453="","",IF(G453="Umum",G453,VLOOKUP(F453,'Data Induk Pegawai'!B:AE,4,FALSE)))</f>
        <v/>
      </c>
      <c r="D453" s="19" t="str">
        <f>IF('REGISTER SK'!A456="","",IF('REGISTER SK'!B456=0,D452,'REGISTER SK'!B456))</f>
        <v/>
      </c>
      <c r="E453" s="19" t="str">
        <f t="shared" si="197"/>
        <v/>
      </c>
      <c r="F453" s="29"/>
      <c r="G453" s="29"/>
      <c r="H453" s="31" t="str">
        <f>IF(F453="","",VLOOKUP(F453,'Data Induk Pegawai'!B:U,2,FALSE))</f>
        <v/>
      </c>
      <c r="I453" s="19" t="str">
        <f>IF('REGISTER SK'!C456="","",'REGISTER SK'!C456)</f>
        <v/>
      </c>
      <c r="J453" s="125"/>
      <c r="K453" s="125"/>
      <c r="L453" s="26" t="str">
        <f>IF('REGISTER SK'!D456="","",'REGISTER SK'!D456)</f>
        <v/>
      </c>
      <c r="M453" s="26" t="str">
        <f>IF('REGISTER SK'!E456="","",'REGISTER SK'!E456)</f>
        <v/>
      </c>
      <c r="N453" s="31" t="str">
        <f>IF(G453="","",IF(OR(G453="GTT",G453="PTT"),"--",VLOOKUP(F453,'Data Induk Pegawai'!B:AE,4,FALSE)))</f>
        <v/>
      </c>
      <c r="O453" s="18" t="str">
        <f>IF(G453="","",VLOOKUP(F453,'Data Induk Pegawai'!B:AE,6,FALSE))</f>
        <v/>
      </c>
      <c r="P453" s="31" t="str">
        <f>IF(G453="","",VLOOKUP(F453,'Data Induk Pegawai'!B:AE,7,FALSE))</f>
        <v/>
      </c>
      <c r="Q453" s="30"/>
      <c r="R453" s="26" t="str">
        <f>IF(G453="","","Nomor "&amp;RIGHT(VLOOKUP(F453,'Data Induk Pegawai'!B:AE,12,FALSE),2)&amp;" Tahun "&amp;MID(VLOOKUP(F453,'Data Induk Pegawai'!B:AE,12,FALSE),5,4))</f>
        <v/>
      </c>
      <c r="S453" s="26" t="str">
        <f>IF(G453="","",VLOOKUP(F453,'Data Induk Pegawai'!B:AE,11,FALSE))</f>
        <v/>
      </c>
      <c r="T453" s="56"/>
      <c r="U453" s="18" t="str">
        <f t="shared" si="179"/>
        <v/>
      </c>
      <c r="V453" s="30"/>
      <c r="W453" s="18" t="str">
        <f t="shared" si="178"/>
        <v/>
      </c>
      <c r="Y453" t="str">
        <f t="shared" si="180"/>
        <v/>
      </c>
      <c r="Z453" t="str">
        <f t="shared" si="181"/>
        <v/>
      </c>
      <c r="AA453" t="str">
        <f t="shared" si="182"/>
        <v/>
      </c>
      <c r="AB453" t="str">
        <f>COUNTIFS(AC453:AC$596,AC453)&amp;AC453</f>
        <v>144</v>
      </c>
      <c r="AC453" t="str">
        <f t="shared" si="198"/>
        <v/>
      </c>
      <c r="AD453" t="str">
        <f>COUNTIFS(AC$2:AC453,AC453)&amp;AC453</f>
        <v>452</v>
      </c>
      <c r="AE453" t="str">
        <f t="shared" si="183"/>
        <v/>
      </c>
      <c r="AF453" t="str">
        <f t="shared" si="199"/>
        <v>..</v>
      </c>
      <c r="AG453" s="28" t="str">
        <f t="shared" si="177"/>
        <v/>
      </c>
      <c r="AH453" s="28" t="str">
        <f t="shared" si="184"/>
        <v/>
      </c>
      <c r="AI453" t="str">
        <f t="shared" si="185"/>
        <v/>
      </c>
      <c r="AJ453" t="str">
        <f t="shared" si="186"/>
        <v/>
      </c>
      <c r="AK453" t="str">
        <f t="shared" si="187"/>
        <v/>
      </c>
      <c r="AL453" t="str">
        <f t="shared" si="188"/>
        <v/>
      </c>
      <c r="AM453" t="str">
        <f t="shared" si="189"/>
        <v/>
      </c>
      <c r="AN453" t="str">
        <f t="shared" si="190"/>
        <v/>
      </c>
      <c r="AO453" t="str">
        <f t="shared" si="191"/>
        <v/>
      </c>
      <c r="AP453" t="str">
        <f t="shared" si="192"/>
        <v/>
      </c>
      <c r="AQ453" t="str">
        <f t="shared" si="193"/>
        <v/>
      </c>
      <c r="AR453" t="str">
        <f t="shared" si="194"/>
        <v/>
      </c>
      <c r="AS453" t="str">
        <f t="shared" si="195"/>
        <v/>
      </c>
      <c r="AT453" t="str">
        <f t="shared" si="196"/>
        <v/>
      </c>
      <c r="AU453" s="25" t="str">
        <f t="shared" si="200"/>
        <v/>
      </c>
      <c r="BA453">
        <f>'REGISTER SK'!F456</f>
        <v>0</v>
      </c>
    </row>
    <row r="454" spans="1:53" x14ac:dyDescent="0.35">
      <c r="A454" s="18">
        <v>453</v>
      </c>
      <c r="B454" s="18"/>
      <c r="C454" s="18" t="str">
        <f>IF(G454="","",IF(G454="Umum",G454,VLOOKUP(F454,'Data Induk Pegawai'!B:AE,4,FALSE)))</f>
        <v/>
      </c>
      <c r="D454" s="19" t="str">
        <f>IF('REGISTER SK'!A457="","",IF('REGISTER SK'!B457=0,D453,'REGISTER SK'!B457))</f>
        <v/>
      </c>
      <c r="E454" s="19" t="str">
        <f t="shared" si="197"/>
        <v/>
      </c>
      <c r="F454" s="29"/>
      <c r="G454" s="29"/>
      <c r="H454" s="31" t="str">
        <f>IF(F454="","",VLOOKUP(F454,'Data Induk Pegawai'!B:U,2,FALSE))</f>
        <v/>
      </c>
      <c r="I454" s="19" t="str">
        <f>IF('REGISTER SK'!C457="","",'REGISTER SK'!C457)</f>
        <v/>
      </c>
      <c r="J454" s="125"/>
      <c r="K454" s="125"/>
      <c r="L454" s="26" t="str">
        <f>IF('REGISTER SK'!D457="","",'REGISTER SK'!D457)</f>
        <v/>
      </c>
      <c r="M454" s="26" t="str">
        <f>IF('REGISTER SK'!E457="","",'REGISTER SK'!E457)</f>
        <v/>
      </c>
      <c r="N454" s="31" t="str">
        <f>IF(G454="","",IF(OR(G454="GTT",G454="PTT"),"--",VLOOKUP(F454,'Data Induk Pegawai'!B:AE,4,FALSE)))</f>
        <v/>
      </c>
      <c r="O454" s="18" t="str">
        <f>IF(G454="","",VLOOKUP(F454,'Data Induk Pegawai'!B:AE,6,FALSE))</f>
        <v/>
      </c>
      <c r="P454" s="31" t="str">
        <f>IF(G454="","",VLOOKUP(F454,'Data Induk Pegawai'!B:AE,7,FALSE))</f>
        <v/>
      </c>
      <c r="Q454" s="30"/>
      <c r="R454" s="26" t="str">
        <f>IF(G454="","","Nomor "&amp;RIGHT(VLOOKUP(F454,'Data Induk Pegawai'!B:AE,12,FALSE),2)&amp;" Tahun "&amp;MID(VLOOKUP(F454,'Data Induk Pegawai'!B:AE,12,FALSE),5,4))</f>
        <v/>
      </c>
      <c r="S454" s="26" t="str">
        <f>IF(G454="","",VLOOKUP(F454,'Data Induk Pegawai'!B:AE,11,FALSE))</f>
        <v/>
      </c>
      <c r="T454" s="56"/>
      <c r="U454" s="18" t="str">
        <f t="shared" si="179"/>
        <v/>
      </c>
      <c r="V454" s="30"/>
      <c r="W454" s="18" t="str">
        <f t="shared" si="178"/>
        <v/>
      </c>
      <c r="Y454" t="str">
        <f t="shared" si="180"/>
        <v/>
      </c>
      <c r="Z454" t="str">
        <f t="shared" si="181"/>
        <v/>
      </c>
      <c r="AA454" t="str">
        <f t="shared" si="182"/>
        <v/>
      </c>
      <c r="AB454" t="str">
        <f>COUNTIFS(AC454:AC$596,AC454)&amp;AC454</f>
        <v>143</v>
      </c>
      <c r="AC454" t="str">
        <f t="shared" si="198"/>
        <v/>
      </c>
      <c r="AD454" t="str">
        <f>COUNTIFS(AC$2:AC454,AC454)&amp;AC454</f>
        <v>453</v>
      </c>
      <c r="AE454" t="str">
        <f t="shared" si="183"/>
        <v/>
      </c>
      <c r="AF454" t="str">
        <f t="shared" si="199"/>
        <v>..</v>
      </c>
      <c r="AG454" s="28" t="str">
        <f t="shared" si="177"/>
        <v/>
      </c>
      <c r="AH454" s="28" t="str">
        <f t="shared" si="184"/>
        <v/>
      </c>
      <c r="AI454" t="str">
        <f t="shared" si="185"/>
        <v/>
      </c>
      <c r="AJ454" t="str">
        <f t="shared" si="186"/>
        <v/>
      </c>
      <c r="AK454" t="str">
        <f t="shared" si="187"/>
        <v/>
      </c>
      <c r="AL454" t="str">
        <f t="shared" si="188"/>
        <v/>
      </c>
      <c r="AM454" t="str">
        <f t="shared" si="189"/>
        <v/>
      </c>
      <c r="AN454" t="str">
        <f t="shared" si="190"/>
        <v/>
      </c>
      <c r="AO454" t="str">
        <f t="shared" si="191"/>
        <v/>
      </c>
      <c r="AP454" t="str">
        <f t="shared" si="192"/>
        <v/>
      </c>
      <c r="AQ454" t="str">
        <f t="shared" si="193"/>
        <v/>
      </c>
      <c r="AR454" t="str">
        <f t="shared" si="194"/>
        <v/>
      </c>
      <c r="AS454" t="str">
        <f t="shared" si="195"/>
        <v/>
      </c>
      <c r="AT454" t="str">
        <f t="shared" si="196"/>
        <v/>
      </c>
      <c r="AU454" s="25" t="str">
        <f t="shared" si="200"/>
        <v/>
      </c>
      <c r="BA454">
        <f>'REGISTER SK'!F457</f>
        <v>0</v>
      </c>
    </row>
    <row r="455" spans="1:53" x14ac:dyDescent="0.35">
      <c r="A455" s="18">
        <v>454</v>
      </c>
      <c r="B455" s="18"/>
      <c r="C455" s="18" t="str">
        <f>IF(G455="","",IF(G455="Umum",G455,VLOOKUP(F455,'Data Induk Pegawai'!B:AE,4,FALSE)))</f>
        <v/>
      </c>
      <c r="D455" s="19" t="str">
        <f>IF('REGISTER SK'!A458="","",IF('REGISTER SK'!B458=0,D454,'REGISTER SK'!B458))</f>
        <v/>
      </c>
      <c r="E455" s="19" t="str">
        <f t="shared" si="197"/>
        <v/>
      </c>
      <c r="F455" s="29"/>
      <c r="G455" s="29"/>
      <c r="H455" s="31" t="str">
        <f>IF(F455="","",VLOOKUP(F455,'Data Induk Pegawai'!B:U,2,FALSE))</f>
        <v/>
      </c>
      <c r="I455" s="19" t="str">
        <f>IF('REGISTER SK'!C458="","",'REGISTER SK'!C458)</f>
        <v/>
      </c>
      <c r="J455" s="125"/>
      <c r="K455" s="125"/>
      <c r="L455" s="26" t="str">
        <f>IF('REGISTER SK'!D458="","",'REGISTER SK'!D458)</f>
        <v/>
      </c>
      <c r="M455" s="26" t="str">
        <f>IF('REGISTER SK'!E458="","",'REGISTER SK'!E458)</f>
        <v/>
      </c>
      <c r="N455" s="31" t="str">
        <f>IF(G455="","",IF(OR(G455="GTT",G455="PTT"),"--",VLOOKUP(F455,'Data Induk Pegawai'!B:AE,4,FALSE)))</f>
        <v/>
      </c>
      <c r="O455" s="18" t="str">
        <f>IF(G455="","",VLOOKUP(F455,'Data Induk Pegawai'!B:AE,6,FALSE))</f>
        <v/>
      </c>
      <c r="P455" s="31" t="str">
        <f>IF(G455="","",VLOOKUP(F455,'Data Induk Pegawai'!B:AE,7,FALSE))</f>
        <v/>
      </c>
      <c r="Q455" s="30"/>
      <c r="R455" s="26" t="str">
        <f>IF(G455="","","Nomor "&amp;RIGHT(VLOOKUP(F455,'Data Induk Pegawai'!B:AE,12,FALSE),2)&amp;" Tahun "&amp;MID(VLOOKUP(F455,'Data Induk Pegawai'!B:AE,12,FALSE),5,4))</f>
        <v/>
      </c>
      <c r="S455" s="26" t="str">
        <f>IF(G455="","",VLOOKUP(F455,'Data Induk Pegawai'!B:AE,11,FALSE))</f>
        <v/>
      </c>
      <c r="T455" s="56"/>
      <c r="U455" s="18" t="str">
        <f t="shared" si="179"/>
        <v/>
      </c>
      <c r="V455" s="30"/>
      <c r="W455" s="18" t="str">
        <f t="shared" si="178"/>
        <v/>
      </c>
      <c r="Y455" t="str">
        <f t="shared" si="180"/>
        <v/>
      </c>
      <c r="Z455" t="str">
        <f t="shared" si="181"/>
        <v/>
      </c>
      <c r="AA455" t="str">
        <f t="shared" si="182"/>
        <v/>
      </c>
      <c r="AB455" t="str">
        <f>COUNTIFS(AC455:AC$596,AC455)&amp;AC455</f>
        <v>142</v>
      </c>
      <c r="AC455" t="str">
        <f t="shared" si="198"/>
        <v/>
      </c>
      <c r="AD455" t="str">
        <f>COUNTIFS(AC$2:AC455,AC455)&amp;AC455</f>
        <v>454</v>
      </c>
      <c r="AE455" t="str">
        <f t="shared" si="183"/>
        <v/>
      </c>
      <c r="AF455" t="str">
        <f t="shared" si="199"/>
        <v>..</v>
      </c>
      <c r="AG455" s="28" t="str">
        <f t="shared" si="177"/>
        <v/>
      </c>
      <c r="AH455" s="28" t="str">
        <f t="shared" si="184"/>
        <v/>
      </c>
      <c r="AI455" t="str">
        <f t="shared" si="185"/>
        <v/>
      </c>
      <c r="AJ455" t="str">
        <f t="shared" si="186"/>
        <v/>
      </c>
      <c r="AK455" t="str">
        <f t="shared" si="187"/>
        <v/>
      </c>
      <c r="AL455" t="str">
        <f t="shared" si="188"/>
        <v/>
      </c>
      <c r="AM455" t="str">
        <f t="shared" si="189"/>
        <v/>
      </c>
      <c r="AN455" t="str">
        <f t="shared" si="190"/>
        <v/>
      </c>
      <c r="AO455" t="str">
        <f t="shared" si="191"/>
        <v/>
      </c>
      <c r="AP455" t="str">
        <f t="shared" si="192"/>
        <v/>
      </c>
      <c r="AQ455" t="str">
        <f t="shared" si="193"/>
        <v/>
      </c>
      <c r="AR455" t="str">
        <f t="shared" si="194"/>
        <v/>
      </c>
      <c r="AS455" t="str">
        <f t="shared" si="195"/>
        <v/>
      </c>
      <c r="AT455" t="str">
        <f t="shared" si="196"/>
        <v/>
      </c>
      <c r="AU455" s="25" t="str">
        <f t="shared" si="200"/>
        <v/>
      </c>
      <c r="BA455">
        <f>'REGISTER SK'!F458</f>
        <v>0</v>
      </c>
    </row>
    <row r="456" spans="1:53" x14ac:dyDescent="0.35">
      <c r="A456" s="18">
        <v>455</v>
      </c>
      <c r="B456" s="18"/>
      <c r="C456" s="18" t="str">
        <f>IF(G456="","",IF(G456="Umum",G456,VLOOKUP(F456,'Data Induk Pegawai'!B:AE,4,FALSE)))</f>
        <v/>
      </c>
      <c r="D456" s="19" t="str">
        <f>IF('REGISTER SK'!A459="","",IF('REGISTER SK'!B459=0,D455,'REGISTER SK'!B459))</f>
        <v/>
      </c>
      <c r="E456" s="19" t="str">
        <f t="shared" si="197"/>
        <v/>
      </c>
      <c r="F456" s="29"/>
      <c r="G456" s="29"/>
      <c r="H456" s="31" t="str">
        <f>IF(F456="","",VLOOKUP(F456,'Data Induk Pegawai'!B:U,2,FALSE))</f>
        <v/>
      </c>
      <c r="I456" s="19" t="str">
        <f>IF('REGISTER SK'!C459="","",'REGISTER SK'!C459)</f>
        <v/>
      </c>
      <c r="J456" s="125"/>
      <c r="K456" s="125"/>
      <c r="L456" s="26" t="str">
        <f>IF('REGISTER SK'!D459="","",'REGISTER SK'!D459)</f>
        <v/>
      </c>
      <c r="M456" s="26" t="str">
        <f>IF('REGISTER SK'!E459="","",'REGISTER SK'!E459)</f>
        <v/>
      </c>
      <c r="N456" s="31" t="str">
        <f>IF(G456="","",IF(OR(G456="GTT",G456="PTT"),"--",VLOOKUP(F456,'Data Induk Pegawai'!B:AE,4,FALSE)))</f>
        <v/>
      </c>
      <c r="O456" s="18" t="str">
        <f>IF(G456="","",VLOOKUP(F456,'Data Induk Pegawai'!B:AE,6,FALSE))</f>
        <v/>
      </c>
      <c r="P456" s="31" t="str">
        <f>IF(G456="","",VLOOKUP(F456,'Data Induk Pegawai'!B:AE,7,FALSE))</f>
        <v/>
      </c>
      <c r="Q456" s="30"/>
      <c r="R456" s="26" t="str">
        <f>IF(G456="","","Nomor "&amp;RIGHT(VLOOKUP(F456,'Data Induk Pegawai'!B:AE,12,FALSE),2)&amp;" Tahun "&amp;MID(VLOOKUP(F456,'Data Induk Pegawai'!B:AE,12,FALSE),5,4))</f>
        <v/>
      </c>
      <c r="S456" s="26" t="str">
        <f>IF(G456="","",VLOOKUP(F456,'Data Induk Pegawai'!B:AE,11,FALSE))</f>
        <v/>
      </c>
      <c r="T456" s="56"/>
      <c r="U456" s="18" t="str">
        <f t="shared" si="179"/>
        <v/>
      </c>
      <c r="V456" s="30"/>
      <c r="W456" s="18" t="str">
        <f t="shared" si="178"/>
        <v/>
      </c>
      <c r="Y456" t="str">
        <f t="shared" si="180"/>
        <v/>
      </c>
      <c r="Z456" t="str">
        <f t="shared" si="181"/>
        <v/>
      </c>
      <c r="AA456" t="str">
        <f t="shared" si="182"/>
        <v/>
      </c>
      <c r="AB456" t="str">
        <f>COUNTIFS(AC456:AC$596,AC456)&amp;AC456</f>
        <v>141</v>
      </c>
      <c r="AC456" t="str">
        <f t="shared" si="198"/>
        <v/>
      </c>
      <c r="AD456" t="str">
        <f>COUNTIFS(AC$2:AC456,AC456)&amp;AC456</f>
        <v>455</v>
      </c>
      <c r="AE456" t="str">
        <f t="shared" si="183"/>
        <v/>
      </c>
      <c r="AF456" t="str">
        <f t="shared" si="199"/>
        <v>..</v>
      </c>
      <c r="AG456" s="28" t="str">
        <f t="shared" si="177"/>
        <v/>
      </c>
      <c r="AH456" s="28" t="str">
        <f t="shared" si="184"/>
        <v/>
      </c>
      <c r="AI456" t="str">
        <f t="shared" si="185"/>
        <v/>
      </c>
      <c r="AJ456" t="str">
        <f t="shared" si="186"/>
        <v/>
      </c>
      <c r="AK456" t="str">
        <f t="shared" si="187"/>
        <v/>
      </c>
      <c r="AL456" t="str">
        <f t="shared" si="188"/>
        <v/>
      </c>
      <c r="AM456" t="str">
        <f t="shared" si="189"/>
        <v/>
      </c>
      <c r="AN456" t="str">
        <f t="shared" si="190"/>
        <v/>
      </c>
      <c r="AO456" t="str">
        <f t="shared" si="191"/>
        <v/>
      </c>
      <c r="AP456" t="str">
        <f t="shared" si="192"/>
        <v/>
      </c>
      <c r="AQ456" t="str">
        <f t="shared" si="193"/>
        <v/>
      </c>
      <c r="AR456" t="str">
        <f t="shared" si="194"/>
        <v/>
      </c>
      <c r="AS456" t="str">
        <f t="shared" si="195"/>
        <v/>
      </c>
      <c r="AT456" t="str">
        <f t="shared" si="196"/>
        <v/>
      </c>
      <c r="AU456" s="25" t="str">
        <f t="shared" si="200"/>
        <v/>
      </c>
      <c r="BA456">
        <f>'REGISTER SK'!F459</f>
        <v>0</v>
      </c>
    </row>
    <row r="457" spans="1:53" x14ac:dyDescent="0.35">
      <c r="A457" s="18">
        <v>456</v>
      </c>
      <c r="B457" s="18"/>
      <c r="C457" s="18" t="str">
        <f>IF(G457="","",IF(G457="Umum",G457,VLOOKUP(F457,'Data Induk Pegawai'!B:AE,4,FALSE)))</f>
        <v/>
      </c>
      <c r="D457" s="19" t="str">
        <f>IF('REGISTER SK'!A460="","",IF('REGISTER SK'!B460=0,D456,'REGISTER SK'!B460))</f>
        <v/>
      </c>
      <c r="E457" s="19" t="str">
        <f t="shared" si="197"/>
        <v/>
      </c>
      <c r="F457" s="29"/>
      <c r="G457" s="29"/>
      <c r="H457" s="31" t="str">
        <f>IF(F457="","",VLOOKUP(F457,'Data Induk Pegawai'!B:U,2,FALSE))</f>
        <v/>
      </c>
      <c r="I457" s="19" t="str">
        <f>IF('REGISTER SK'!C460="","",'REGISTER SK'!C460)</f>
        <v/>
      </c>
      <c r="J457" s="125"/>
      <c r="K457" s="125"/>
      <c r="L457" s="26" t="str">
        <f>IF('REGISTER SK'!D460="","",'REGISTER SK'!D460)</f>
        <v/>
      </c>
      <c r="M457" s="26" t="str">
        <f>IF('REGISTER SK'!E460="","",'REGISTER SK'!E460)</f>
        <v/>
      </c>
      <c r="N457" s="31" t="str">
        <f>IF(G457="","",IF(OR(G457="GTT",G457="PTT"),"--",VLOOKUP(F457,'Data Induk Pegawai'!B:AE,4,FALSE)))</f>
        <v/>
      </c>
      <c r="O457" s="18" t="str">
        <f>IF(G457="","",VLOOKUP(F457,'Data Induk Pegawai'!B:AE,6,FALSE))</f>
        <v/>
      </c>
      <c r="P457" s="31" t="str">
        <f>IF(G457="","",VLOOKUP(F457,'Data Induk Pegawai'!B:AE,7,FALSE))</f>
        <v/>
      </c>
      <c r="Q457" s="30"/>
      <c r="R457" s="26" t="str">
        <f>IF(G457="","","Nomor "&amp;RIGHT(VLOOKUP(F457,'Data Induk Pegawai'!B:AE,12,FALSE),2)&amp;" Tahun "&amp;MID(VLOOKUP(F457,'Data Induk Pegawai'!B:AE,12,FALSE),5,4))</f>
        <v/>
      </c>
      <c r="S457" s="26" t="str">
        <f>IF(G457="","",VLOOKUP(F457,'Data Induk Pegawai'!B:AE,11,FALSE))</f>
        <v/>
      </c>
      <c r="T457" s="56"/>
      <c r="U457" s="18" t="str">
        <f t="shared" si="179"/>
        <v/>
      </c>
      <c r="V457" s="30"/>
      <c r="W457" s="18" t="str">
        <f t="shared" si="178"/>
        <v/>
      </c>
      <c r="Y457" t="str">
        <f t="shared" si="180"/>
        <v/>
      </c>
      <c r="Z457" t="str">
        <f t="shared" si="181"/>
        <v/>
      </c>
      <c r="AA457" t="str">
        <f t="shared" si="182"/>
        <v/>
      </c>
      <c r="AB457" t="str">
        <f>COUNTIFS(AC457:AC$596,AC457)&amp;AC457</f>
        <v>140</v>
      </c>
      <c r="AC457" t="str">
        <f t="shared" si="198"/>
        <v/>
      </c>
      <c r="AD457" t="str">
        <f>COUNTIFS(AC$2:AC457,AC457)&amp;AC457</f>
        <v>456</v>
      </c>
      <c r="AE457" t="str">
        <f t="shared" si="183"/>
        <v/>
      </c>
      <c r="AF457" t="str">
        <f t="shared" si="199"/>
        <v>..</v>
      </c>
      <c r="AG457" s="28" t="str">
        <f t="shared" si="177"/>
        <v/>
      </c>
      <c r="AH457" s="28" t="str">
        <f t="shared" si="184"/>
        <v/>
      </c>
      <c r="AI457" t="str">
        <f t="shared" si="185"/>
        <v/>
      </c>
      <c r="AJ457" t="str">
        <f t="shared" si="186"/>
        <v/>
      </c>
      <c r="AK457" t="str">
        <f t="shared" si="187"/>
        <v/>
      </c>
      <c r="AL457" t="str">
        <f t="shared" si="188"/>
        <v/>
      </c>
      <c r="AM457" t="str">
        <f t="shared" si="189"/>
        <v/>
      </c>
      <c r="AN457" t="str">
        <f t="shared" si="190"/>
        <v/>
      </c>
      <c r="AO457" t="str">
        <f t="shared" si="191"/>
        <v/>
      </c>
      <c r="AP457" t="str">
        <f t="shared" si="192"/>
        <v/>
      </c>
      <c r="AQ457" t="str">
        <f t="shared" si="193"/>
        <v/>
      </c>
      <c r="AR457" t="str">
        <f t="shared" si="194"/>
        <v/>
      </c>
      <c r="AS457" t="str">
        <f t="shared" si="195"/>
        <v/>
      </c>
      <c r="AT457" t="str">
        <f t="shared" si="196"/>
        <v/>
      </c>
      <c r="AU457" s="25" t="str">
        <f t="shared" si="200"/>
        <v/>
      </c>
      <c r="BA457">
        <f>'REGISTER SK'!F460</f>
        <v>0</v>
      </c>
    </row>
    <row r="458" spans="1:53" x14ac:dyDescent="0.35">
      <c r="A458" s="18">
        <v>457</v>
      </c>
      <c r="B458" s="18"/>
      <c r="C458" s="18" t="str">
        <f>IF(G458="","",IF(G458="Umum",G458,VLOOKUP(F458,'Data Induk Pegawai'!B:AE,4,FALSE)))</f>
        <v/>
      </c>
      <c r="D458" s="19" t="str">
        <f>IF('REGISTER SK'!A461="","",IF('REGISTER SK'!B461=0,D457,'REGISTER SK'!B461))</f>
        <v/>
      </c>
      <c r="E458" s="19" t="str">
        <f t="shared" si="197"/>
        <v/>
      </c>
      <c r="F458" s="29"/>
      <c r="G458" s="29"/>
      <c r="H458" s="31" t="str">
        <f>IF(F458="","",VLOOKUP(F458,'Data Induk Pegawai'!B:U,2,FALSE))</f>
        <v/>
      </c>
      <c r="I458" s="19" t="str">
        <f>IF('REGISTER SK'!C461="","",'REGISTER SK'!C461)</f>
        <v/>
      </c>
      <c r="J458" s="125"/>
      <c r="K458" s="125"/>
      <c r="L458" s="26" t="str">
        <f>IF('REGISTER SK'!D461="","",'REGISTER SK'!D461)</f>
        <v/>
      </c>
      <c r="M458" s="26" t="str">
        <f>IF('REGISTER SK'!E461="","",'REGISTER SK'!E461)</f>
        <v/>
      </c>
      <c r="N458" s="31" t="str">
        <f>IF(G458="","",IF(OR(G458="GTT",G458="PTT"),"--",VLOOKUP(F458,'Data Induk Pegawai'!B:AE,4,FALSE)))</f>
        <v/>
      </c>
      <c r="O458" s="18" t="str">
        <f>IF(G458="","",VLOOKUP(F458,'Data Induk Pegawai'!B:AE,6,FALSE))</f>
        <v/>
      </c>
      <c r="P458" s="31" t="str">
        <f>IF(G458="","",VLOOKUP(F458,'Data Induk Pegawai'!B:AE,7,FALSE))</f>
        <v/>
      </c>
      <c r="Q458" s="30"/>
      <c r="R458" s="26" t="str">
        <f>IF(G458="","","Nomor "&amp;RIGHT(VLOOKUP(F458,'Data Induk Pegawai'!B:AE,12,FALSE),2)&amp;" Tahun "&amp;MID(VLOOKUP(F458,'Data Induk Pegawai'!B:AE,12,FALSE),5,4))</f>
        <v/>
      </c>
      <c r="S458" s="26" t="str">
        <f>IF(G458="","",VLOOKUP(F458,'Data Induk Pegawai'!B:AE,11,FALSE))</f>
        <v/>
      </c>
      <c r="T458" s="56"/>
      <c r="U458" s="18" t="str">
        <f t="shared" si="179"/>
        <v/>
      </c>
      <c r="V458" s="30"/>
      <c r="W458" s="18" t="str">
        <f t="shared" si="178"/>
        <v/>
      </c>
      <c r="Y458" t="str">
        <f t="shared" si="180"/>
        <v/>
      </c>
      <c r="Z458" t="str">
        <f t="shared" si="181"/>
        <v/>
      </c>
      <c r="AA458" t="str">
        <f t="shared" si="182"/>
        <v/>
      </c>
      <c r="AB458" t="str">
        <f>COUNTIFS(AC458:AC$596,AC458)&amp;AC458</f>
        <v>139</v>
      </c>
      <c r="AC458" t="str">
        <f t="shared" si="198"/>
        <v/>
      </c>
      <c r="AD458" t="str">
        <f>COUNTIFS(AC$2:AC458,AC458)&amp;AC458</f>
        <v>457</v>
      </c>
      <c r="AE458" t="str">
        <f t="shared" si="183"/>
        <v/>
      </c>
      <c r="AF458" t="str">
        <f t="shared" si="199"/>
        <v>..</v>
      </c>
      <c r="AG458" s="28" t="str">
        <f t="shared" si="177"/>
        <v/>
      </c>
      <c r="AH458" s="28" t="str">
        <f t="shared" si="184"/>
        <v/>
      </c>
      <c r="AI458" t="str">
        <f t="shared" si="185"/>
        <v/>
      </c>
      <c r="AJ458" t="str">
        <f t="shared" si="186"/>
        <v/>
      </c>
      <c r="AK458" t="str">
        <f t="shared" si="187"/>
        <v/>
      </c>
      <c r="AL458" t="str">
        <f t="shared" si="188"/>
        <v/>
      </c>
      <c r="AM458" t="str">
        <f t="shared" si="189"/>
        <v/>
      </c>
      <c r="AN458" t="str">
        <f t="shared" si="190"/>
        <v/>
      </c>
      <c r="AO458" t="str">
        <f t="shared" si="191"/>
        <v/>
      </c>
      <c r="AP458" t="str">
        <f t="shared" si="192"/>
        <v/>
      </c>
      <c r="AQ458" t="str">
        <f t="shared" si="193"/>
        <v/>
      </c>
      <c r="AR458" t="str">
        <f t="shared" si="194"/>
        <v/>
      </c>
      <c r="AS458" t="str">
        <f t="shared" si="195"/>
        <v/>
      </c>
      <c r="AT458" t="str">
        <f t="shared" si="196"/>
        <v/>
      </c>
      <c r="AU458" s="25" t="str">
        <f t="shared" si="200"/>
        <v/>
      </c>
      <c r="BA458">
        <f>'REGISTER SK'!F461</f>
        <v>0</v>
      </c>
    </row>
    <row r="459" spans="1:53" x14ac:dyDescent="0.35">
      <c r="A459" s="18">
        <v>458</v>
      </c>
      <c r="B459" s="18"/>
      <c r="C459" s="18" t="str">
        <f>IF(G459="","",IF(G459="Umum",G459,VLOOKUP(F459,'Data Induk Pegawai'!B:AE,4,FALSE)))</f>
        <v/>
      </c>
      <c r="D459" s="19" t="str">
        <f>IF('REGISTER SK'!A462="","",IF('REGISTER SK'!B462=0,D458,'REGISTER SK'!B462))</f>
        <v/>
      </c>
      <c r="E459" s="19" t="str">
        <f t="shared" si="197"/>
        <v/>
      </c>
      <c r="F459" s="29"/>
      <c r="G459" s="29"/>
      <c r="H459" s="31" t="str">
        <f>IF(F459="","",VLOOKUP(F459,'Data Induk Pegawai'!B:U,2,FALSE))</f>
        <v/>
      </c>
      <c r="I459" s="19" t="str">
        <f>IF('REGISTER SK'!C462="","",'REGISTER SK'!C462)</f>
        <v/>
      </c>
      <c r="J459" s="125"/>
      <c r="K459" s="125"/>
      <c r="L459" s="26" t="str">
        <f>IF('REGISTER SK'!D462="","",'REGISTER SK'!D462)</f>
        <v/>
      </c>
      <c r="M459" s="26" t="str">
        <f>IF('REGISTER SK'!E462="","",'REGISTER SK'!E462)</f>
        <v/>
      </c>
      <c r="N459" s="31" t="str">
        <f>IF(G459="","",IF(OR(G459="GTT",G459="PTT"),"--",VLOOKUP(F459,'Data Induk Pegawai'!B:AE,4,FALSE)))</f>
        <v/>
      </c>
      <c r="O459" s="18" t="str">
        <f>IF(G459="","",VLOOKUP(F459,'Data Induk Pegawai'!B:AE,6,FALSE))</f>
        <v/>
      </c>
      <c r="P459" s="31" t="str">
        <f>IF(G459="","",VLOOKUP(F459,'Data Induk Pegawai'!B:AE,7,FALSE))</f>
        <v/>
      </c>
      <c r="Q459" s="30"/>
      <c r="R459" s="26" t="str">
        <f>IF(G459="","","Nomor "&amp;RIGHT(VLOOKUP(F459,'Data Induk Pegawai'!B:AE,12,FALSE),2)&amp;" Tahun "&amp;MID(VLOOKUP(F459,'Data Induk Pegawai'!B:AE,12,FALSE),5,4))</f>
        <v/>
      </c>
      <c r="S459" s="26" t="str">
        <f>IF(G459="","",VLOOKUP(F459,'Data Induk Pegawai'!B:AE,11,FALSE))</f>
        <v/>
      </c>
      <c r="T459" s="56"/>
      <c r="U459" s="18" t="str">
        <f t="shared" si="179"/>
        <v/>
      </c>
      <c r="V459" s="30"/>
      <c r="W459" s="18" t="str">
        <f t="shared" si="178"/>
        <v/>
      </c>
      <c r="Y459" t="str">
        <f t="shared" si="180"/>
        <v/>
      </c>
      <c r="Z459" t="str">
        <f t="shared" si="181"/>
        <v/>
      </c>
      <c r="AA459" t="str">
        <f t="shared" si="182"/>
        <v/>
      </c>
      <c r="AB459" t="str">
        <f>COUNTIFS(AC459:AC$596,AC459)&amp;AC459</f>
        <v>138</v>
      </c>
      <c r="AC459" t="str">
        <f t="shared" si="198"/>
        <v/>
      </c>
      <c r="AD459" t="str">
        <f>COUNTIFS(AC$2:AC459,AC459)&amp;AC459</f>
        <v>458</v>
      </c>
      <c r="AE459" t="str">
        <f t="shared" si="183"/>
        <v/>
      </c>
      <c r="AF459" t="str">
        <f t="shared" si="199"/>
        <v>..</v>
      </c>
      <c r="AG459" s="28" t="str">
        <f t="shared" si="177"/>
        <v/>
      </c>
      <c r="AH459" s="28" t="str">
        <f t="shared" si="184"/>
        <v/>
      </c>
      <c r="AI459" t="str">
        <f t="shared" si="185"/>
        <v/>
      </c>
      <c r="AJ459" t="str">
        <f t="shared" si="186"/>
        <v/>
      </c>
      <c r="AK459" t="str">
        <f t="shared" si="187"/>
        <v/>
      </c>
      <c r="AL459" t="str">
        <f t="shared" si="188"/>
        <v/>
      </c>
      <c r="AM459" t="str">
        <f t="shared" si="189"/>
        <v/>
      </c>
      <c r="AN459" t="str">
        <f t="shared" si="190"/>
        <v/>
      </c>
      <c r="AO459" t="str">
        <f t="shared" si="191"/>
        <v/>
      </c>
      <c r="AP459" t="str">
        <f t="shared" si="192"/>
        <v/>
      </c>
      <c r="AQ459" t="str">
        <f t="shared" si="193"/>
        <v/>
      </c>
      <c r="AR459" t="str">
        <f t="shared" si="194"/>
        <v/>
      </c>
      <c r="AS459" t="str">
        <f t="shared" si="195"/>
        <v/>
      </c>
      <c r="AT459" t="str">
        <f t="shared" si="196"/>
        <v/>
      </c>
      <c r="AU459" s="25" t="str">
        <f t="shared" si="200"/>
        <v/>
      </c>
      <c r="BA459">
        <f>'REGISTER SK'!F462</f>
        <v>0</v>
      </c>
    </row>
    <row r="460" spans="1:53" x14ac:dyDescent="0.35">
      <c r="A460" s="18">
        <v>459</v>
      </c>
      <c r="B460" s="18"/>
      <c r="C460" s="18" t="str">
        <f>IF(G460="","",IF(G460="Umum",G460,VLOOKUP(F460,'Data Induk Pegawai'!B:AE,4,FALSE)))</f>
        <v/>
      </c>
      <c r="D460" s="19" t="str">
        <f>IF('REGISTER SK'!A463="","",IF('REGISTER SK'!B463=0,D459,'REGISTER SK'!B463))</f>
        <v/>
      </c>
      <c r="E460" s="19" t="str">
        <f t="shared" si="197"/>
        <v/>
      </c>
      <c r="F460" s="29"/>
      <c r="G460" s="29"/>
      <c r="H460" s="31" t="str">
        <f>IF(F460="","",VLOOKUP(F460,'Data Induk Pegawai'!B:U,2,FALSE))</f>
        <v/>
      </c>
      <c r="I460" s="19" t="str">
        <f>IF('REGISTER SK'!C463="","",'REGISTER SK'!C463)</f>
        <v/>
      </c>
      <c r="J460" s="125"/>
      <c r="K460" s="125"/>
      <c r="L460" s="26" t="str">
        <f>IF('REGISTER SK'!D463="","",'REGISTER SK'!D463)</f>
        <v/>
      </c>
      <c r="M460" s="26" t="str">
        <f>IF('REGISTER SK'!E463="","",'REGISTER SK'!E463)</f>
        <v/>
      </c>
      <c r="N460" s="31" t="str">
        <f>IF(G460="","",IF(OR(G460="GTT",G460="PTT"),"--",VLOOKUP(F460,'Data Induk Pegawai'!B:AE,4,FALSE)))</f>
        <v/>
      </c>
      <c r="O460" s="18" t="str">
        <f>IF(G460="","",VLOOKUP(F460,'Data Induk Pegawai'!B:AE,6,FALSE))</f>
        <v/>
      </c>
      <c r="P460" s="31" t="str">
        <f>IF(G460="","",VLOOKUP(F460,'Data Induk Pegawai'!B:AE,7,FALSE))</f>
        <v/>
      </c>
      <c r="Q460" s="30"/>
      <c r="R460" s="26" t="str">
        <f>IF(G460="","","Nomor "&amp;RIGHT(VLOOKUP(F460,'Data Induk Pegawai'!B:AE,12,FALSE),2)&amp;" Tahun "&amp;MID(VLOOKUP(F460,'Data Induk Pegawai'!B:AE,12,FALSE),5,4))</f>
        <v/>
      </c>
      <c r="S460" s="26" t="str">
        <f>IF(G460="","",VLOOKUP(F460,'Data Induk Pegawai'!B:AE,11,FALSE))</f>
        <v/>
      </c>
      <c r="T460" s="56"/>
      <c r="U460" s="18" t="str">
        <f t="shared" si="179"/>
        <v/>
      </c>
      <c r="V460" s="30"/>
      <c r="W460" s="18" t="str">
        <f t="shared" si="178"/>
        <v/>
      </c>
      <c r="Y460" t="str">
        <f t="shared" si="180"/>
        <v/>
      </c>
      <c r="Z460" t="str">
        <f t="shared" si="181"/>
        <v/>
      </c>
      <c r="AA460" t="str">
        <f t="shared" si="182"/>
        <v/>
      </c>
      <c r="AB460" t="str">
        <f>COUNTIFS(AC460:AC$596,AC460)&amp;AC460</f>
        <v>137</v>
      </c>
      <c r="AC460" t="str">
        <f t="shared" si="198"/>
        <v/>
      </c>
      <c r="AD460" t="str">
        <f>COUNTIFS(AC$2:AC460,AC460)&amp;AC460</f>
        <v>459</v>
      </c>
      <c r="AE460" t="str">
        <f t="shared" si="183"/>
        <v/>
      </c>
      <c r="AF460" t="str">
        <f t="shared" si="199"/>
        <v>..</v>
      </c>
      <c r="AG460" s="28" t="str">
        <f t="shared" si="177"/>
        <v/>
      </c>
      <c r="AH460" s="28" t="str">
        <f t="shared" si="184"/>
        <v/>
      </c>
      <c r="AI460" t="str">
        <f t="shared" si="185"/>
        <v/>
      </c>
      <c r="AJ460" t="str">
        <f t="shared" si="186"/>
        <v/>
      </c>
      <c r="AK460" t="str">
        <f t="shared" si="187"/>
        <v/>
      </c>
      <c r="AL460" t="str">
        <f t="shared" si="188"/>
        <v/>
      </c>
      <c r="AM460" t="str">
        <f t="shared" si="189"/>
        <v/>
      </c>
      <c r="AN460" t="str">
        <f t="shared" si="190"/>
        <v/>
      </c>
      <c r="AO460" t="str">
        <f t="shared" si="191"/>
        <v/>
      </c>
      <c r="AP460" t="str">
        <f t="shared" si="192"/>
        <v/>
      </c>
      <c r="AQ460" t="str">
        <f t="shared" si="193"/>
        <v/>
      </c>
      <c r="AR460" t="str">
        <f t="shared" si="194"/>
        <v/>
      </c>
      <c r="AS460" t="str">
        <f t="shared" si="195"/>
        <v/>
      </c>
      <c r="AT460" t="str">
        <f t="shared" si="196"/>
        <v/>
      </c>
      <c r="AU460" s="25" t="str">
        <f t="shared" si="200"/>
        <v/>
      </c>
      <c r="BA460">
        <f>'REGISTER SK'!F463</f>
        <v>0</v>
      </c>
    </row>
    <row r="461" spans="1:53" x14ac:dyDescent="0.35">
      <c r="A461" s="18">
        <v>460</v>
      </c>
      <c r="B461" s="18"/>
      <c r="C461" s="18" t="str">
        <f>IF(G461="","",IF(G461="Umum",G461,VLOOKUP(F461,'Data Induk Pegawai'!B:AE,4,FALSE)))</f>
        <v/>
      </c>
      <c r="D461" s="19" t="str">
        <f>IF('REGISTER SK'!A464="","",IF('REGISTER SK'!B464=0,D460,'REGISTER SK'!B464))</f>
        <v/>
      </c>
      <c r="E461" s="19" t="str">
        <f t="shared" si="197"/>
        <v/>
      </c>
      <c r="F461" s="29"/>
      <c r="G461" s="29"/>
      <c r="H461" s="31" t="str">
        <f>IF(F461="","",VLOOKUP(F461,'Data Induk Pegawai'!B:U,2,FALSE))</f>
        <v/>
      </c>
      <c r="I461" s="19" t="str">
        <f>IF('REGISTER SK'!C464="","",'REGISTER SK'!C464)</f>
        <v/>
      </c>
      <c r="J461" s="125"/>
      <c r="K461" s="125"/>
      <c r="L461" s="26" t="str">
        <f>IF('REGISTER SK'!D464="","",'REGISTER SK'!D464)</f>
        <v/>
      </c>
      <c r="M461" s="26" t="str">
        <f>IF('REGISTER SK'!E464="","",'REGISTER SK'!E464)</f>
        <v/>
      </c>
      <c r="N461" s="31" t="str">
        <f>IF(G461="","",IF(OR(G461="GTT",G461="PTT"),"--",VLOOKUP(F461,'Data Induk Pegawai'!B:AE,4,FALSE)))</f>
        <v/>
      </c>
      <c r="O461" s="18" t="str">
        <f>IF(G461="","",VLOOKUP(F461,'Data Induk Pegawai'!B:AE,6,FALSE))</f>
        <v/>
      </c>
      <c r="P461" s="31" t="str">
        <f>IF(G461="","",VLOOKUP(F461,'Data Induk Pegawai'!B:AE,7,FALSE))</f>
        <v/>
      </c>
      <c r="Q461" s="30"/>
      <c r="R461" s="26" t="str">
        <f>IF(G461="","","Nomor "&amp;RIGHT(VLOOKUP(F461,'Data Induk Pegawai'!B:AE,12,FALSE),2)&amp;" Tahun "&amp;MID(VLOOKUP(F461,'Data Induk Pegawai'!B:AE,12,FALSE),5,4))</f>
        <v/>
      </c>
      <c r="S461" s="26" t="str">
        <f>IF(G461="","",VLOOKUP(F461,'Data Induk Pegawai'!B:AE,11,FALSE))</f>
        <v/>
      </c>
      <c r="T461" s="56"/>
      <c r="U461" s="18" t="str">
        <f t="shared" si="179"/>
        <v/>
      </c>
      <c r="V461" s="30"/>
      <c r="W461" s="18" t="str">
        <f t="shared" si="178"/>
        <v/>
      </c>
      <c r="Y461" t="str">
        <f t="shared" si="180"/>
        <v/>
      </c>
      <c r="Z461" t="str">
        <f t="shared" si="181"/>
        <v/>
      </c>
      <c r="AA461" t="str">
        <f t="shared" si="182"/>
        <v/>
      </c>
      <c r="AB461" t="str">
        <f>COUNTIFS(AC461:AC$596,AC461)&amp;AC461</f>
        <v>136</v>
      </c>
      <c r="AC461" t="str">
        <f t="shared" si="198"/>
        <v/>
      </c>
      <c r="AD461" t="str">
        <f>COUNTIFS(AC$2:AC461,AC461)&amp;AC461</f>
        <v>460</v>
      </c>
      <c r="AE461" t="str">
        <f t="shared" si="183"/>
        <v/>
      </c>
      <c r="AF461" t="str">
        <f t="shared" si="199"/>
        <v>..</v>
      </c>
      <c r="AG461" s="28" t="str">
        <f t="shared" si="177"/>
        <v/>
      </c>
      <c r="AH461" s="28" t="str">
        <f t="shared" si="184"/>
        <v/>
      </c>
      <c r="AI461" t="str">
        <f t="shared" si="185"/>
        <v/>
      </c>
      <c r="AJ461" t="str">
        <f t="shared" si="186"/>
        <v/>
      </c>
      <c r="AK461" t="str">
        <f t="shared" si="187"/>
        <v/>
      </c>
      <c r="AL461" t="str">
        <f t="shared" si="188"/>
        <v/>
      </c>
      <c r="AM461" t="str">
        <f t="shared" si="189"/>
        <v/>
      </c>
      <c r="AN461" t="str">
        <f t="shared" si="190"/>
        <v/>
      </c>
      <c r="AO461" t="str">
        <f t="shared" si="191"/>
        <v/>
      </c>
      <c r="AP461" t="str">
        <f t="shared" si="192"/>
        <v/>
      </c>
      <c r="AQ461" t="str">
        <f t="shared" si="193"/>
        <v/>
      </c>
      <c r="AR461" t="str">
        <f t="shared" si="194"/>
        <v/>
      </c>
      <c r="AS461" t="str">
        <f t="shared" si="195"/>
        <v/>
      </c>
      <c r="AT461" t="str">
        <f t="shared" si="196"/>
        <v/>
      </c>
      <c r="AU461" s="25" t="str">
        <f t="shared" si="200"/>
        <v/>
      </c>
      <c r="BA461">
        <f>'REGISTER SK'!F464</f>
        <v>0</v>
      </c>
    </row>
    <row r="462" spans="1:53" x14ac:dyDescent="0.35">
      <c r="A462" s="18">
        <v>461</v>
      </c>
      <c r="B462" s="18"/>
      <c r="C462" s="18" t="str">
        <f>IF(G462="","",IF(G462="Umum",G462,VLOOKUP(F462,'Data Induk Pegawai'!B:AE,4,FALSE)))</f>
        <v/>
      </c>
      <c r="D462" s="19" t="str">
        <f>IF('REGISTER SK'!A465="","",IF('REGISTER SK'!B465=0,D461,'REGISTER SK'!B465))</f>
        <v/>
      </c>
      <c r="E462" s="19" t="str">
        <f t="shared" si="197"/>
        <v/>
      </c>
      <c r="F462" s="29"/>
      <c r="G462" s="29"/>
      <c r="H462" s="31" t="str">
        <f>IF(F462="","",VLOOKUP(F462,'Data Induk Pegawai'!B:U,2,FALSE))</f>
        <v/>
      </c>
      <c r="I462" s="19" t="str">
        <f>IF('REGISTER SK'!C465="","",'REGISTER SK'!C465)</f>
        <v/>
      </c>
      <c r="J462" s="125"/>
      <c r="K462" s="125"/>
      <c r="L462" s="26" t="str">
        <f>IF('REGISTER SK'!D465="","",'REGISTER SK'!D465)</f>
        <v/>
      </c>
      <c r="M462" s="26" t="str">
        <f>IF('REGISTER SK'!E465="","",'REGISTER SK'!E465)</f>
        <v/>
      </c>
      <c r="N462" s="31" t="str">
        <f>IF(G462="","",IF(OR(G462="GTT",G462="PTT"),"--",VLOOKUP(F462,'Data Induk Pegawai'!B:AE,4,FALSE)))</f>
        <v/>
      </c>
      <c r="O462" s="18" t="str">
        <f>IF(G462="","",VLOOKUP(F462,'Data Induk Pegawai'!B:AE,6,FALSE))</f>
        <v/>
      </c>
      <c r="P462" s="31" t="str">
        <f>IF(G462="","",VLOOKUP(F462,'Data Induk Pegawai'!B:AE,7,FALSE))</f>
        <v/>
      </c>
      <c r="Q462" s="30"/>
      <c r="R462" s="26" t="str">
        <f>IF(G462="","","Nomor "&amp;RIGHT(VLOOKUP(F462,'Data Induk Pegawai'!B:AE,12,FALSE),2)&amp;" Tahun "&amp;MID(VLOOKUP(F462,'Data Induk Pegawai'!B:AE,12,FALSE),5,4))</f>
        <v/>
      </c>
      <c r="S462" s="26" t="str">
        <f>IF(G462="","",VLOOKUP(F462,'Data Induk Pegawai'!B:AE,11,FALSE))</f>
        <v/>
      </c>
      <c r="T462" s="56"/>
      <c r="U462" s="18" t="str">
        <f t="shared" si="179"/>
        <v/>
      </c>
      <c r="V462" s="30"/>
      <c r="W462" s="18" t="str">
        <f t="shared" si="178"/>
        <v/>
      </c>
      <c r="Y462" t="str">
        <f t="shared" si="180"/>
        <v/>
      </c>
      <c r="Z462" t="str">
        <f t="shared" si="181"/>
        <v/>
      </c>
      <c r="AA462" t="str">
        <f t="shared" si="182"/>
        <v/>
      </c>
      <c r="AB462" t="str">
        <f>COUNTIFS(AC462:AC$596,AC462)&amp;AC462</f>
        <v>135</v>
      </c>
      <c r="AC462" t="str">
        <f t="shared" si="198"/>
        <v/>
      </c>
      <c r="AD462" t="str">
        <f>COUNTIFS(AC$2:AC462,AC462)&amp;AC462</f>
        <v>461</v>
      </c>
      <c r="AE462" t="str">
        <f t="shared" si="183"/>
        <v/>
      </c>
      <c r="AF462" t="str">
        <f t="shared" si="199"/>
        <v>..</v>
      </c>
      <c r="AG462" s="28" t="str">
        <f t="shared" si="177"/>
        <v/>
      </c>
      <c r="AH462" s="28" t="str">
        <f t="shared" si="184"/>
        <v/>
      </c>
      <c r="AI462" t="str">
        <f t="shared" si="185"/>
        <v/>
      </c>
      <c r="AJ462" t="str">
        <f t="shared" si="186"/>
        <v/>
      </c>
      <c r="AK462" t="str">
        <f t="shared" si="187"/>
        <v/>
      </c>
      <c r="AL462" t="str">
        <f t="shared" si="188"/>
        <v/>
      </c>
      <c r="AM462" t="str">
        <f t="shared" si="189"/>
        <v/>
      </c>
      <c r="AN462" t="str">
        <f t="shared" si="190"/>
        <v/>
      </c>
      <c r="AO462" t="str">
        <f t="shared" si="191"/>
        <v/>
      </c>
      <c r="AP462" t="str">
        <f t="shared" si="192"/>
        <v/>
      </c>
      <c r="AQ462" t="str">
        <f t="shared" si="193"/>
        <v/>
      </c>
      <c r="AR462" t="str">
        <f t="shared" si="194"/>
        <v/>
      </c>
      <c r="AS462" t="str">
        <f t="shared" si="195"/>
        <v/>
      </c>
      <c r="AT462" t="str">
        <f t="shared" si="196"/>
        <v/>
      </c>
      <c r="AU462" s="25" t="str">
        <f t="shared" si="200"/>
        <v/>
      </c>
      <c r="BA462">
        <f>'REGISTER SK'!F465</f>
        <v>0</v>
      </c>
    </row>
    <row r="463" spans="1:53" x14ac:dyDescent="0.35">
      <c r="A463" s="18">
        <v>462</v>
      </c>
      <c r="B463" s="18"/>
      <c r="C463" s="18" t="str">
        <f>IF(G463="","",IF(G463="Umum",G463,VLOOKUP(F463,'Data Induk Pegawai'!B:AE,4,FALSE)))</f>
        <v/>
      </c>
      <c r="D463" s="19" t="str">
        <f>IF('REGISTER SK'!A466="","",IF('REGISTER SK'!B466=0,D462,'REGISTER SK'!B466))</f>
        <v/>
      </c>
      <c r="E463" s="19" t="str">
        <f t="shared" si="197"/>
        <v/>
      </c>
      <c r="F463" s="29"/>
      <c r="G463" s="29"/>
      <c r="H463" s="31" t="str">
        <f>IF(F463="","",VLOOKUP(F463,'Data Induk Pegawai'!B:U,2,FALSE))</f>
        <v/>
      </c>
      <c r="I463" s="19" t="str">
        <f>IF('REGISTER SK'!C466="","",'REGISTER SK'!C466)</f>
        <v/>
      </c>
      <c r="J463" s="125"/>
      <c r="K463" s="125"/>
      <c r="L463" s="26" t="str">
        <f>IF('REGISTER SK'!D466="","",'REGISTER SK'!D466)</f>
        <v/>
      </c>
      <c r="M463" s="26" t="str">
        <f>IF('REGISTER SK'!E466="","",'REGISTER SK'!E466)</f>
        <v/>
      </c>
      <c r="N463" s="31" t="str">
        <f>IF(G463="","",IF(OR(G463="GTT",G463="PTT"),"--",VLOOKUP(F463,'Data Induk Pegawai'!B:AE,4,FALSE)))</f>
        <v/>
      </c>
      <c r="O463" s="18" t="str">
        <f>IF(G463="","",VLOOKUP(F463,'Data Induk Pegawai'!B:AE,6,FALSE))</f>
        <v/>
      </c>
      <c r="P463" s="31" t="str">
        <f>IF(G463="","",VLOOKUP(F463,'Data Induk Pegawai'!B:AE,7,FALSE))</f>
        <v/>
      </c>
      <c r="Q463" s="30"/>
      <c r="R463" s="26" t="str">
        <f>IF(G463="","","Nomor "&amp;RIGHT(VLOOKUP(F463,'Data Induk Pegawai'!B:AE,12,FALSE),2)&amp;" Tahun "&amp;MID(VLOOKUP(F463,'Data Induk Pegawai'!B:AE,12,FALSE),5,4))</f>
        <v/>
      </c>
      <c r="S463" s="26" t="str">
        <f>IF(G463="","",VLOOKUP(F463,'Data Induk Pegawai'!B:AE,11,FALSE))</f>
        <v/>
      </c>
      <c r="T463" s="56"/>
      <c r="U463" s="18" t="str">
        <f t="shared" si="179"/>
        <v/>
      </c>
      <c r="V463" s="30"/>
      <c r="W463" s="18" t="str">
        <f t="shared" si="178"/>
        <v/>
      </c>
      <c r="Y463" t="str">
        <f t="shared" si="180"/>
        <v/>
      </c>
      <c r="Z463" t="str">
        <f t="shared" si="181"/>
        <v/>
      </c>
      <c r="AA463" t="str">
        <f t="shared" si="182"/>
        <v/>
      </c>
      <c r="AB463" t="str">
        <f>COUNTIFS(AC463:AC$596,AC463)&amp;AC463</f>
        <v>134</v>
      </c>
      <c r="AC463" t="str">
        <f t="shared" si="198"/>
        <v/>
      </c>
      <c r="AD463" t="str">
        <f>COUNTIFS(AC$2:AC463,AC463)&amp;AC463</f>
        <v>462</v>
      </c>
      <c r="AE463" t="str">
        <f t="shared" si="183"/>
        <v/>
      </c>
      <c r="AF463" t="str">
        <f t="shared" si="199"/>
        <v>..</v>
      </c>
      <c r="AG463" s="28" t="str">
        <f t="shared" si="177"/>
        <v/>
      </c>
      <c r="AH463" s="28" t="str">
        <f t="shared" si="184"/>
        <v/>
      </c>
      <c r="AI463" t="str">
        <f t="shared" si="185"/>
        <v/>
      </c>
      <c r="AJ463" t="str">
        <f t="shared" si="186"/>
        <v/>
      </c>
      <c r="AK463" t="str">
        <f t="shared" si="187"/>
        <v/>
      </c>
      <c r="AL463" t="str">
        <f t="shared" si="188"/>
        <v/>
      </c>
      <c r="AM463" t="str">
        <f t="shared" si="189"/>
        <v/>
      </c>
      <c r="AN463" t="str">
        <f t="shared" si="190"/>
        <v/>
      </c>
      <c r="AO463" t="str">
        <f t="shared" si="191"/>
        <v/>
      </c>
      <c r="AP463" t="str">
        <f t="shared" si="192"/>
        <v/>
      </c>
      <c r="AQ463" t="str">
        <f t="shared" si="193"/>
        <v/>
      </c>
      <c r="AR463" t="str">
        <f t="shared" si="194"/>
        <v/>
      </c>
      <c r="AS463" t="str">
        <f t="shared" si="195"/>
        <v/>
      </c>
      <c r="AT463" t="str">
        <f t="shared" si="196"/>
        <v/>
      </c>
      <c r="AU463" s="25" t="str">
        <f t="shared" si="200"/>
        <v/>
      </c>
      <c r="BA463">
        <f>'REGISTER SK'!F466</f>
        <v>0</v>
      </c>
    </row>
    <row r="464" spans="1:53" x14ac:dyDescent="0.35">
      <c r="A464" s="18">
        <v>463</v>
      </c>
      <c r="B464" s="18"/>
      <c r="C464" s="18" t="str">
        <f>IF(G464="","",IF(G464="Umum",G464,VLOOKUP(F464,'Data Induk Pegawai'!B:AE,4,FALSE)))</f>
        <v/>
      </c>
      <c r="D464" s="19" t="str">
        <f>IF('REGISTER SK'!A467="","",IF('REGISTER SK'!B467=0,D463,'REGISTER SK'!B467))</f>
        <v/>
      </c>
      <c r="E464" s="19" t="str">
        <f t="shared" si="197"/>
        <v/>
      </c>
      <c r="F464" s="29"/>
      <c r="G464" s="29"/>
      <c r="H464" s="31" t="str">
        <f>IF(F464="","",VLOOKUP(F464,'Data Induk Pegawai'!B:U,2,FALSE))</f>
        <v/>
      </c>
      <c r="I464" s="19" t="str">
        <f>IF('REGISTER SK'!C467="","",'REGISTER SK'!C467)</f>
        <v/>
      </c>
      <c r="J464" s="125"/>
      <c r="K464" s="125"/>
      <c r="L464" s="26" t="str">
        <f>IF('REGISTER SK'!D467="","",'REGISTER SK'!D467)</f>
        <v/>
      </c>
      <c r="M464" s="26" t="str">
        <f>IF('REGISTER SK'!E467="","",'REGISTER SK'!E467)</f>
        <v/>
      </c>
      <c r="N464" s="31" t="str">
        <f>IF(G464="","",IF(OR(G464="GTT",G464="PTT"),"--",VLOOKUP(F464,'Data Induk Pegawai'!B:AE,4,FALSE)))</f>
        <v/>
      </c>
      <c r="O464" s="18" t="str">
        <f>IF(G464="","",VLOOKUP(F464,'Data Induk Pegawai'!B:AE,6,FALSE))</f>
        <v/>
      </c>
      <c r="P464" s="31" t="str">
        <f>IF(G464="","",VLOOKUP(F464,'Data Induk Pegawai'!B:AE,7,FALSE))</f>
        <v/>
      </c>
      <c r="Q464" s="30"/>
      <c r="R464" s="26" t="str">
        <f>IF(G464="","","Nomor "&amp;RIGHT(VLOOKUP(F464,'Data Induk Pegawai'!B:AE,12,FALSE),2)&amp;" Tahun "&amp;MID(VLOOKUP(F464,'Data Induk Pegawai'!B:AE,12,FALSE),5,4))</f>
        <v/>
      </c>
      <c r="S464" s="26" t="str">
        <f>IF(G464="","",VLOOKUP(F464,'Data Induk Pegawai'!B:AE,11,FALSE))</f>
        <v/>
      </c>
      <c r="T464" s="56"/>
      <c r="U464" s="18" t="str">
        <f t="shared" si="179"/>
        <v/>
      </c>
      <c r="V464" s="30"/>
      <c r="W464" s="18" t="str">
        <f t="shared" si="178"/>
        <v/>
      </c>
      <c r="Y464" t="str">
        <f t="shared" si="180"/>
        <v/>
      </c>
      <c r="Z464" t="str">
        <f t="shared" si="181"/>
        <v/>
      </c>
      <c r="AA464" t="str">
        <f t="shared" si="182"/>
        <v/>
      </c>
      <c r="AB464" t="str">
        <f>COUNTIFS(AC464:AC$596,AC464)&amp;AC464</f>
        <v>133</v>
      </c>
      <c r="AC464" t="str">
        <f t="shared" si="198"/>
        <v/>
      </c>
      <c r="AD464" t="str">
        <f>COUNTIFS(AC$2:AC464,AC464)&amp;AC464</f>
        <v>463</v>
      </c>
      <c r="AE464" t="str">
        <f t="shared" si="183"/>
        <v/>
      </c>
      <c r="AF464" t="str">
        <f t="shared" si="199"/>
        <v>..</v>
      </c>
      <c r="AG464" s="28" t="str">
        <f t="shared" si="177"/>
        <v/>
      </c>
      <c r="AH464" s="28" t="str">
        <f t="shared" si="184"/>
        <v/>
      </c>
      <c r="AI464" t="str">
        <f t="shared" si="185"/>
        <v/>
      </c>
      <c r="AJ464" t="str">
        <f t="shared" si="186"/>
        <v/>
      </c>
      <c r="AK464" t="str">
        <f t="shared" si="187"/>
        <v/>
      </c>
      <c r="AL464" t="str">
        <f t="shared" si="188"/>
        <v/>
      </c>
      <c r="AM464" t="str">
        <f t="shared" si="189"/>
        <v/>
      </c>
      <c r="AN464" t="str">
        <f t="shared" si="190"/>
        <v/>
      </c>
      <c r="AO464" t="str">
        <f t="shared" si="191"/>
        <v/>
      </c>
      <c r="AP464" t="str">
        <f t="shared" si="192"/>
        <v/>
      </c>
      <c r="AQ464" t="str">
        <f t="shared" si="193"/>
        <v/>
      </c>
      <c r="AR464" t="str">
        <f t="shared" si="194"/>
        <v/>
      </c>
      <c r="AS464" t="str">
        <f t="shared" si="195"/>
        <v/>
      </c>
      <c r="AT464" t="str">
        <f t="shared" si="196"/>
        <v/>
      </c>
      <c r="AU464" s="25" t="str">
        <f t="shared" si="200"/>
        <v/>
      </c>
      <c r="BA464">
        <f>'REGISTER SK'!F467</f>
        <v>0</v>
      </c>
    </row>
    <row r="465" spans="1:53" x14ac:dyDescent="0.35">
      <c r="A465" s="18">
        <v>464</v>
      </c>
      <c r="B465" s="18"/>
      <c r="C465" s="18" t="str">
        <f>IF(G465="","",IF(G465="Umum",G465,VLOOKUP(F465,'Data Induk Pegawai'!B:AE,4,FALSE)))</f>
        <v/>
      </c>
      <c r="D465" s="19" t="str">
        <f>IF('REGISTER SK'!A468="","",IF('REGISTER SK'!B468=0,D464,'REGISTER SK'!B468))</f>
        <v/>
      </c>
      <c r="E465" s="19" t="str">
        <f t="shared" si="197"/>
        <v/>
      </c>
      <c r="F465" s="29"/>
      <c r="G465" s="29"/>
      <c r="H465" s="31" t="str">
        <f>IF(F465="","",VLOOKUP(F465,'Data Induk Pegawai'!B:U,2,FALSE))</f>
        <v/>
      </c>
      <c r="I465" s="19" t="str">
        <f>IF('REGISTER SK'!C468="","",'REGISTER SK'!C468)</f>
        <v/>
      </c>
      <c r="J465" s="125"/>
      <c r="K465" s="125"/>
      <c r="L465" s="26" t="str">
        <f>IF('REGISTER SK'!D468="","",'REGISTER SK'!D468)</f>
        <v/>
      </c>
      <c r="M465" s="26" t="str">
        <f>IF('REGISTER SK'!E468="","",'REGISTER SK'!E468)</f>
        <v/>
      </c>
      <c r="N465" s="31" t="str">
        <f>IF(G465="","",IF(OR(G465="GTT",G465="PTT"),"--",VLOOKUP(F465,'Data Induk Pegawai'!B:AE,4,FALSE)))</f>
        <v/>
      </c>
      <c r="O465" s="18" t="str">
        <f>IF(G465="","",VLOOKUP(F465,'Data Induk Pegawai'!B:AE,6,FALSE))</f>
        <v/>
      </c>
      <c r="P465" s="31" t="str">
        <f>IF(G465="","",VLOOKUP(F465,'Data Induk Pegawai'!B:AE,7,FALSE))</f>
        <v/>
      </c>
      <c r="Q465" s="30"/>
      <c r="R465" s="26" t="str">
        <f>IF(G465="","","Nomor "&amp;RIGHT(VLOOKUP(F465,'Data Induk Pegawai'!B:AE,12,FALSE),2)&amp;" Tahun "&amp;MID(VLOOKUP(F465,'Data Induk Pegawai'!B:AE,12,FALSE),5,4))</f>
        <v/>
      </c>
      <c r="S465" s="26" t="str">
        <f>IF(G465="","",VLOOKUP(F465,'Data Induk Pegawai'!B:AE,11,FALSE))</f>
        <v/>
      </c>
      <c r="T465" s="56"/>
      <c r="U465" s="18" t="str">
        <f t="shared" si="179"/>
        <v/>
      </c>
      <c r="V465" s="30"/>
      <c r="W465" s="18" t="str">
        <f t="shared" si="178"/>
        <v/>
      </c>
      <c r="Y465" t="str">
        <f t="shared" si="180"/>
        <v/>
      </c>
      <c r="Z465" t="str">
        <f t="shared" si="181"/>
        <v/>
      </c>
      <c r="AA465" t="str">
        <f t="shared" si="182"/>
        <v/>
      </c>
      <c r="AB465" t="str">
        <f>COUNTIFS(AC465:AC$596,AC465)&amp;AC465</f>
        <v>132</v>
      </c>
      <c r="AC465" t="str">
        <f t="shared" si="198"/>
        <v/>
      </c>
      <c r="AD465" t="str">
        <f>COUNTIFS(AC$2:AC465,AC465)&amp;AC465</f>
        <v>464</v>
      </c>
      <c r="AE465" t="str">
        <f t="shared" si="183"/>
        <v/>
      </c>
      <c r="AF465" t="str">
        <f t="shared" si="199"/>
        <v>..</v>
      </c>
      <c r="AG465" s="28" t="str">
        <f t="shared" si="177"/>
        <v/>
      </c>
      <c r="AH465" s="28" t="str">
        <f t="shared" si="184"/>
        <v/>
      </c>
      <c r="AI465" t="str">
        <f t="shared" si="185"/>
        <v/>
      </c>
      <c r="AJ465" t="str">
        <f t="shared" si="186"/>
        <v/>
      </c>
      <c r="AK465" t="str">
        <f t="shared" si="187"/>
        <v/>
      </c>
      <c r="AL465" t="str">
        <f t="shared" si="188"/>
        <v/>
      </c>
      <c r="AM465" t="str">
        <f t="shared" si="189"/>
        <v/>
      </c>
      <c r="AN465" t="str">
        <f t="shared" si="190"/>
        <v/>
      </c>
      <c r="AO465" t="str">
        <f t="shared" si="191"/>
        <v/>
      </c>
      <c r="AP465" t="str">
        <f t="shared" si="192"/>
        <v/>
      </c>
      <c r="AQ465" t="str">
        <f t="shared" si="193"/>
        <v/>
      </c>
      <c r="AR465" t="str">
        <f t="shared" si="194"/>
        <v/>
      </c>
      <c r="AS465" t="str">
        <f t="shared" si="195"/>
        <v/>
      </c>
      <c r="AT465" t="str">
        <f t="shared" si="196"/>
        <v/>
      </c>
      <c r="AU465" s="25" t="str">
        <f t="shared" si="200"/>
        <v/>
      </c>
      <c r="BA465">
        <f>'REGISTER SK'!F468</f>
        <v>0</v>
      </c>
    </row>
    <row r="466" spans="1:53" x14ac:dyDescent="0.35">
      <c r="A466" s="18">
        <v>465</v>
      </c>
      <c r="B466" s="18"/>
      <c r="C466" s="18" t="str">
        <f>IF(G466="","",IF(G466="Umum",G466,VLOOKUP(F466,'Data Induk Pegawai'!B:AE,4,FALSE)))</f>
        <v/>
      </c>
      <c r="D466" s="19" t="str">
        <f>IF('REGISTER SK'!A469="","",IF('REGISTER SK'!B469=0,D465,'REGISTER SK'!B469))</f>
        <v/>
      </c>
      <c r="E466" s="19" t="str">
        <f t="shared" si="197"/>
        <v/>
      </c>
      <c r="F466" s="29"/>
      <c r="G466" s="29"/>
      <c r="H466" s="31" t="str">
        <f>IF(F466="","",VLOOKUP(F466,'Data Induk Pegawai'!B:U,2,FALSE))</f>
        <v/>
      </c>
      <c r="I466" s="19" t="str">
        <f>IF('REGISTER SK'!C469="","",'REGISTER SK'!C469)</f>
        <v/>
      </c>
      <c r="J466" s="125"/>
      <c r="K466" s="125"/>
      <c r="L466" s="26" t="str">
        <f>IF('REGISTER SK'!D469="","",'REGISTER SK'!D469)</f>
        <v/>
      </c>
      <c r="M466" s="26" t="str">
        <f>IF('REGISTER SK'!E469="","",'REGISTER SK'!E469)</f>
        <v/>
      </c>
      <c r="N466" s="31" t="str">
        <f>IF(G466="","",IF(OR(G466="GTT",G466="PTT"),"--",VLOOKUP(F466,'Data Induk Pegawai'!B:AE,4,FALSE)))</f>
        <v/>
      </c>
      <c r="O466" s="18" t="str">
        <f>IF(G466="","",VLOOKUP(F466,'Data Induk Pegawai'!B:AE,6,FALSE))</f>
        <v/>
      </c>
      <c r="P466" s="31" t="str">
        <f>IF(G466="","",VLOOKUP(F466,'Data Induk Pegawai'!B:AE,7,FALSE))</f>
        <v/>
      </c>
      <c r="Q466" s="30"/>
      <c r="R466" s="26" t="str">
        <f>IF(G466="","","Nomor "&amp;RIGHT(VLOOKUP(F466,'Data Induk Pegawai'!B:AE,12,FALSE),2)&amp;" Tahun "&amp;MID(VLOOKUP(F466,'Data Induk Pegawai'!B:AE,12,FALSE),5,4))</f>
        <v/>
      </c>
      <c r="S466" s="26" t="str">
        <f>IF(G466="","",VLOOKUP(F466,'Data Induk Pegawai'!B:AE,11,FALSE))</f>
        <v/>
      </c>
      <c r="T466" s="56"/>
      <c r="U466" s="18" t="str">
        <f t="shared" si="179"/>
        <v/>
      </c>
      <c r="V466" s="30"/>
      <c r="W466" s="18" t="str">
        <f t="shared" si="178"/>
        <v/>
      </c>
      <c r="Y466" t="str">
        <f t="shared" si="180"/>
        <v/>
      </c>
      <c r="Z466" t="str">
        <f t="shared" si="181"/>
        <v/>
      </c>
      <c r="AA466" t="str">
        <f t="shared" si="182"/>
        <v/>
      </c>
      <c r="AB466" t="str">
        <f>COUNTIFS(AC466:AC$596,AC466)&amp;AC466</f>
        <v>131</v>
      </c>
      <c r="AC466" t="str">
        <f t="shared" si="198"/>
        <v/>
      </c>
      <c r="AD466" t="str">
        <f>COUNTIFS(AC$2:AC466,AC466)&amp;AC466</f>
        <v>465</v>
      </c>
      <c r="AE466" t="str">
        <f t="shared" si="183"/>
        <v/>
      </c>
      <c r="AF466" t="str">
        <f t="shared" si="199"/>
        <v>..</v>
      </c>
      <c r="AG466" s="28" t="str">
        <f t="shared" si="177"/>
        <v/>
      </c>
      <c r="AH466" s="28" t="str">
        <f t="shared" si="184"/>
        <v/>
      </c>
      <c r="AI466" t="str">
        <f t="shared" si="185"/>
        <v/>
      </c>
      <c r="AJ466" t="str">
        <f t="shared" si="186"/>
        <v/>
      </c>
      <c r="AK466" t="str">
        <f t="shared" si="187"/>
        <v/>
      </c>
      <c r="AL466" t="str">
        <f t="shared" si="188"/>
        <v/>
      </c>
      <c r="AM466" t="str">
        <f t="shared" si="189"/>
        <v/>
      </c>
      <c r="AN466" t="str">
        <f t="shared" si="190"/>
        <v/>
      </c>
      <c r="AO466" t="str">
        <f t="shared" si="191"/>
        <v/>
      </c>
      <c r="AP466" t="str">
        <f t="shared" si="192"/>
        <v/>
      </c>
      <c r="AQ466" t="str">
        <f t="shared" si="193"/>
        <v/>
      </c>
      <c r="AR466" t="str">
        <f t="shared" si="194"/>
        <v/>
      </c>
      <c r="AS466" t="str">
        <f t="shared" si="195"/>
        <v/>
      </c>
      <c r="AT466" t="str">
        <f t="shared" si="196"/>
        <v/>
      </c>
      <c r="AU466" s="25" t="str">
        <f t="shared" si="200"/>
        <v/>
      </c>
      <c r="BA466">
        <f>'REGISTER SK'!F469</f>
        <v>0</v>
      </c>
    </row>
    <row r="467" spans="1:53" x14ac:dyDescent="0.35">
      <c r="A467" s="18">
        <v>466</v>
      </c>
      <c r="B467" s="18"/>
      <c r="C467" s="18" t="str">
        <f>IF(G467="","",IF(G467="Umum",G467,VLOOKUP(F467,'Data Induk Pegawai'!B:AE,4,FALSE)))</f>
        <v/>
      </c>
      <c r="D467" s="19" t="str">
        <f>IF('REGISTER SK'!A470="","",IF('REGISTER SK'!B470=0,D466,'REGISTER SK'!B470))</f>
        <v/>
      </c>
      <c r="E467" s="19" t="str">
        <f t="shared" si="197"/>
        <v/>
      </c>
      <c r="F467" s="29"/>
      <c r="G467" s="29"/>
      <c r="H467" s="31" t="str">
        <f>IF(F467="","",VLOOKUP(F467,'Data Induk Pegawai'!B:U,2,FALSE))</f>
        <v/>
      </c>
      <c r="I467" s="19" t="str">
        <f>IF('REGISTER SK'!C470="","",'REGISTER SK'!C470)</f>
        <v/>
      </c>
      <c r="J467" s="125"/>
      <c r="K467" s="125"/>
      <c r="L467" s="26" t="str">
        <f>IF('REGISTER SK'!D470="","",'REGISTER SK'!D470)</f>
        <v/>
      </c>
      <c r="M467" s="26" t="str">
        <f>IF('REGISTER SK'!E470="","",'REGISTER SK'!E470)</f>
        <v/>
      </c>
      <c r="N467" s="31" t="str">
        <f>IF(G467="","",IF(OR(G467="GTT",G467="PTT"),"--",VLOOKUP(F467,'Data Induk Pegawai'!B:AE,4,FALSE)))</f>
        <v/>
      </c>
      <c r="O467" s="18" t="str">
        <f>IF(G467="","",VLOOKUP(F467,'Data Induk Pegawai'!B:AE,6,FALSE))</f>
        <v/>
      </c>
      <c r="P467" s="31" t="str">
        <f>IF(G467="","",VLOOKUP(F467,'Data Induk Pegawai'!B:AE,7,FALSE))</f>
        <v/>
      </c>
      <c r="Q467" s="30"/>
      <c r="R467" s="26" t="str">
        <f>IF(G467="","","Nomor "&amp;RIGHT(VLOOKUP(F467,'Data Induk Pegawai'!B:AE,12,FALSE),2)&amp;" Tahun "&amp;MID(VLOOKUP(F467,'Data Induk Pegawai'!B:AE,12,FALSE),5,4))</f>
        <v/>
      </c>
      <c r="S467" s="26" t="str">
        <f>IF(G467="","",VLOOKUP(F467,'Data Induk Pegawai'!B:AE,11,FALSE))</f>
        <v/>
      </c>
      <c r="T467" s="56"/>
      <c r="U467" s="18" t="str">
        <f t="shared" si="179"/>
        <v/>
      </c>
      <c r="V467" s="30"/>
      <c r="W467" s="18" t="str">
        <f t="shared" si="178"/>
        <v/>
      </c>
      <c r="Y467" t="str">
        <f t="shared" si="180"/>
        <v/>
      </c>
      <c r="Z467" t="str">
        <f t="shared" si="181"/>
        <v/>
      </c>
      <c r="AA467" t="str">
        <f t="shared" si="182"/>
        <v/>
      </c>
      <c r="AB467" t="str">
        <f>COUNTIFS(AC467:AC$596,AC467)&amp;AC467</f>
        <v>130</v>
      </c>
      <c r="AC467" t="str">
        <f t="shared" si="198"/>
        <v/>
      </c>
      <c r="AD467" t="str">
        <f>COUNTIFS(AC$2:AC467,AC467)&amp;AC467</f>
        <v>466</v>
      </c>
      <c r="AE467" t="str">
        <f t="shared" si="183"/>
        <v/>
      </c>
      <c r="AF467" t="str">
        <f t="shared" si="199"/>
        <v>..</v>
      </c>
      <c r="AG467" s="28" t="str">
        <f t="shared" si="177"/>
        <v/>
      </c>
      <c r="AH467" s="28" t="str">
        <f t="shared" si="184"/>
        <v/>
      </c>
      <c r="AI467" t="str">
        <f t="shared" si="185"/>
        <v/>
      </c>
      <c r="AJ467" t="str">
        <f t="shared" si="186"/>
        <v/>
      </c>
      <c r="AK467" t="str">
        <f t="shared" si="187"/>
        <v/>
      </c>
      <c r="AL467" t="str">
        <f t="shared" si="188"/>
        <v/>
      </c>
      <c r="AM467" t="str">
        <f t="shared" si="189"/>
        <v/>
      </c>
      <c r="AN467" t="str">
        <f t="shared" si="190"/>
        <v/>
      </c>
      <c r="AO467" t="str">
        <f t="shared" si="191"/>
        <v/>
      </c>
      <c r="AP467" t="str">
        <f t="shared" si="192"/>
        <v/>
      </c>
      <c r="AQ467" t="str">
        <f t="shared" si="193"/>
        <v/>
      </c>
      <c r="AR467" t="str">
        <f t="shared" si="194"/>
        <v/>
      </c>
      <c r="AS467" t="str">
        <f t="shared" si="195"/>
        <v/>
      </c>
      <c r="AT467" t="str">
        <f t="shared" si="196"/>
        <v/>
      </c>
      <c r="AU467" s="25" t="str">
        <f t="shared" si="200"/>
        <v/>
      </c>
      <c r="BA467">
        <f>'REGISTER SK'!F470</f>
        <v>0</v>
      </c>
    </row>
    <row r="468" spans="1:53" x14ac:dyDescent="0.35">
      <c r="A468" s="18">
        <v>467</v>
      </c>
      <c r="B468" s="18"/>
      <c r="C468" s="18" t="str">
        <f>IF(G468="","",IF(G468="Umum",G468,VLOOKUP(F468,'Data Induk Pegawai'!B:AE,4,FALSE)))</f>
        <v/>
      </c>
      <c r="D468" s="19" t="str">
        <f>IF('REGISTER SK'!A471="","",IF('REGISTER SK'!B471=0,D467,'REGISTER SK'!B471))</f>
        <v/>
      </c>
      <c r="E468" s="19" t="str">
        <f t="shared" si="197"/>
        <v/>
      </c>
      <c r="F468" s="29"/>
      <c r="G468" s="29"/>
      <c r="H468" s="31" t="str">
        <f>IF(F468="","",VLOOKUP(F468,'Data Induk Pegawai'!B:U,2,FALSE))</f>
        <v/>
      </c>
      <c r="I468" s="19" t="str">
        <f>IF('REGISTER SK'!C471="","",'REGISTER SK'!C471)</f>
        <v/>
      </c>
      <c r="J468" s="125"/>
      <c r="K468" s="125"/>
      <c r="L468" s="26" t="str">
        <f>IF('REGISTER SK'!D471="","",'REGISTER SK'!D471)</f>
        <v/>
      </c>
      <c r="M468" s="26" t="str">
        <f>IF('REGISTER SK'!E471="","",'REGISTER SK'!E471)</f>
        <v/>
      </c>
      <c r="N468" s="31" t="str">
        <f>IF(G468="","",IF(OR(G468="GTT",G468="PTT"),"--",VLOOKUP(F468,'Data Induk Pegawai'!B:AE,4,FALSE)))</f>
        <v/>
      </c>
      <c r="O468" s="18" t="str">
        <f>IF(G468="","",VLOOKUP(F468,'Data Induk Pegawai'!B:AE,6,FALSE))</f>
        <v/>
      </c>
      <c r="P468" s="31" t="str">
        <f>IF(G468="","",VLOOKUP(F468,'Data Induk Pegawai'!B:AE,7,FALSE))</f>
        <v/>
      </c>
      <c r="Q468" s="30"/>
      <c r="R468" s="26" t="str">
        <f>IF(G468="","","Nomor "&amp;RIGHT(VLOOKUP(F468,'Data Induk Pegawai'!B:AE,12,FALSE),2)&amp;" Tahun "&amp;MID(VLOOKUP(F468,'Data Induk Pegawai'!B:AE,12,FALSE),5,4))</f>
        <v/>
      </c>
      <c r="S468" s="26" t="str">
        <f>IF(G468="","",VLOOKUP(F468,'Data Induk Pegawai'!B:AE,11,FALSE))</f>
        <v/>
      </c>
      <c r="T468" s="56"/>
      <c r="U468" s="18" t="str">
        <f t="shared" si="179"/>
        <v/>
      </c>
      <c r="V468" s="30"/>
      <c r="W468" s="18" t="str">
        <f t="shared" si="178"/>
        <v/>
      </c>
      <c r="Y468" t="str">
        <f t="shared" si="180"/>
        <v/>
      </c>
      <c r="Z468" t="str">
        <f t="shared" si="181"/>
        <v/>
      </c>
      <c r="AA468" t="str">
        <f t="shared" si="182"/>
        <v/>
      </c>
      <c r="AB468" t="str">
        <f>COUNTIFS(AC468:AC$596,AC468)&amp;AC468</f>
        <v>129</v>
      </c>
      <c r="AC468" t="str">
        <f t="shared" si="198"/>
        <v/>
      </c>
      <c r="AD468" t="str">
        <f>COUNTIFS(AC$2:AC468,AC468)&amp;AC468</f>
        <v>467</v>
      </c>
      <c r="AE468" t="str">
        <f t="shared" si="183"/>
        <v/>
      </c>
      <c r="AF468" t="str">
        <f t="shared" si="199"/>
        <v>..</v>
      </c>
      <c r="AG468" s="28" t="str">
        <f t="shared" si="177"/>
        <v/>
      </c>
      <c r="AH468" s="28" t="str">
        <f t="shared" si="184"/>
        <v/>
      </c>
      <c r="AI468" t="str">
        <f t="shared" si="185"/>
        <v/>
      </c>
      <c r="AJ468" t="str">
        <f t="shared" si="186"/>
        <v/>
      </c>
      <c r="AK468" t="str">
        <f t="shared" si="187"/>
        <v/>
      </c>
      <c r="AL468" t="str">
        <f t="shared" si="188"/>
        <v/>
      </c>
      <c r="AM468" t="str">
        <f t="shared" si="189"/>
        <v/>
      </c>
      <c r="AN468" t="str">
        <f t="shared" si="190"/>
        <v/>
      </c>
      <c r="AO468" t="str">
        <f t="shared" si="191"/>
        <v/>
      </c>
      <c r="AP468" t="str">
        <f t="shared" si="192"/>
        <v/>
      </c>
      <c r="AQ468" t="str">
        <f t="shared" si="193"/>
        <v/>
      </c>
      <c r="AR468" t="str">
        <f t="shared" si="194"/>
        <v/>
      </c>
      <c r="AS468" t="str">
        <f t="shared" si="195"/>
        <v/>
      </c>
      <c r="AT468" t="str">
        <f t="shared" si="196"/>
        <v/>
      </c>
      <c r="AU468" s="25" t="str">
        <f t="shared" si="200"/>
        <v/>
      </c>
      <c r="BA468">
        <f>'REGISTER SK'!F471</f>
        <v>0</v>
      </c>
    </row>
    <row r="469" spans="1:53" x14ac:dyDescent="0.35">
      <c r="A469" s="18">
        <v>468</v>
      </c>
      <c r="B469" s="18"/>
      <c r="C469" s="18" t="str">
        <f>IF(G469="","",IF(G469="Umum",G469,VLOOKUP(F469,'Data Induk Pegawai'!B:AE,4,FALSE)))</f>
        <v/>
      </c>
      <c r="D469" s="19" t="str">
        <f>IF('REGISTER SK'!A472="","",IF('REGISTER SK'!B472=0,D468,'REGISTER SK'!B472))</f>
        <v/>
      </c>
      <c r="E469" s="19" t="str">
        <f t="shared" si="197"/>
        <v/>
      </c>
      <c r="F469" s="29"/>
      <c r="G469" s="29"/>
      <c r="H469" s="31" t="str">
        <f>IF(F469="","",VLOOKUP(F469,'Data Induk Pegawai'!B:U,2,FALSE))</f>
        <v/>
      </c>
      <c r="I469" s="19" t="str">
        <f>IF('REGISTER SK'!C472="","",'REGISTER SK'!C472)</f>
        <v/>
      </c>
      <c r="J469" s="125"/>
      <c r="K469" s="125"/>
      <c r="L469" s="26" t="str">
        <f>IF('REGISTER SK'!D472="","",'REGISTER SK'!D472)</f>
        <v/>
      </c>
      <c r="M469" s="26" t="str">
        <f>IF('REGISTER SK'!E472="","",'REGISTER SK'!E472)</f>
        <v/>
      </c>
      <c r="N469" s="31" t="str">
        <f>IF(G469="","",IF(OR(G469="GTT",G469="PTT"),"--",VLOOKUP(F469,'Data Induk Pegawai'!B:AE,4,FALSE)))</f>
        <v/>
      </c>
      <c r="O469" s="18" t="str">
        <f>IF(G469="","",VLOOKUP(F469,'Data Induk Pegawai'!B:AE,6,FALSE))</f>
        <v/>
      </c>
      <c r="P469" s="31" t="str">
        <f>IF(G469="","",VLOOKUP(F469,'Data Induk Pegawai'!B:AE,7,FALSE))</f>
        <v/>
      </c>
      <c r="Q469" s="30"/>
      <c r="R469" s="26" t="str">
        <f>IF(G469="","","Nomor "&amp;RIGHT(VLOOKUP(F469,'Data Induk Pegawai'!B:AE,12,FALSE),2)&amp;" Tahun "&amp;MID(VLOOKUP(F469,'Data Induk Pegawai'!B:AE,12,FALSE),5,4))</f>
        <v/>
      </c>
      <c r="S469" s="26" t="str">
        <f>IF(G469="","",VLOOKUP(F469,'Data Induk Pegawai'!B:AE,11,FALSE))</f>
        <v/>
      </c>
      <c r="T469" s="56"/>
      <c r="U469" s="18" t="str">
        <f t="shared" si="179"/>
        <v/>
      </c>
      <c r="V469" s="30"/>
      <c r="W469" s="18" t="str">
        <f t="shared" si="178"/>
        <v/>
      </c>
      <c r="Y469" t="str">
        <f t="shared" si="180"/>
        <v/>
      </c>
      <c r="Z469" t="str">
        <f t="shared" si="181"/>
        <v/>
      </c>
      <c r="AA469" t="str">
        <f t="shared" si="182"/>
        <v/>
      </c>
      <c r="AB469" t="str">
        <f>COUNTIFS(AC469:AC$596,AC469)&amp;AC469</f>
        <v>128</v>
      </c>
      <c r="AC469" t="str">
        <f t="shared" si="198"/>
        <v/>
      </c>
      <c r="AD469" t="str">
        <f>COUNTIFS(AC$2:AC469,AC469)&amp;AC469</f>
        <v>468</v>
      </c>
      <c r="AE469" t="str">
        <f t="shared" si="183"/>
        <v/>
      </c>
      <c r="AF469" t="str">
        <f t="shared" si="199"/>
        <v>..</v>
      </c>
      <c r="AG469" s="28" t="str">
        <f t="shared" si="177"/>
        <v/>
      </c>
      <c r="AH469" s="28" t="str">
        <f t="shared" si="184"/>
        <v/>
      </c>
      <c r="AI469" t="str">
        <f t="shared" si="185"/>
        <v/>
      </c>
      <c r="AJ469" t="str">
        <f t="shared" si="186"/>
        <v/>
      </c>
      <c r="AK469" t="str">
        <f t="shared" si="187"/>
        <v/>
      </c>
      <c r="AL469" t="str">
        <f t="shared" si="188"/>
        <v/>
      </c>
      <c r="AM469" t="str">
        <f t="shared" si="189"/>
        <v/>
      </c>
      <c r="AN469" t="str">
        <f t="shared" si="190"/>
        <v/>
      </c>
      <c r="AO469" t="str">
        <f t="shared" si="191"/>
        <v/>
      </c>
      <c r="AP469" t="str">
        <f t="shared" si="192"/>
        <v/>
      </c>
      <c r="AQ469" t="str">
        <f t="shared" si="193"/>
        <v/>
      </c>
      <c r="AR469" t="str">
        <f t="shared" si="194"/>
        <v/>
      </c>
      <c r="AS469" t="str">
        <f t="shared" si="195"/>
        <v/>
      </c>
      <c r="AT469" t="str">
        <f t="shared" si="196"/>
        <v/>
      </c>
      <c r="AU469" s="25" t="str">
        <f t="shared" si="200"/>
        <v/>
      </c>
      <c r="BA469">
        <f>'REGISTER SK'!F472</f>
        <v>0</v>
      </c>
    </row>
    <row r="470" spans="1:53" x14ac:dyDescent="0.35">
      <c r="A470" s="18">
        <v>469</v>
      </c>
      <c r="B470" s="18"/>
      <c r="C470" s="18" t="str">
        <f>IF(G470="","",IF(G470="Umum",G470,VLOOKUP(F470,'Data Induk Pegawai'!B:AE,4,FALSE)))</f>
        <v/>
      </c>
      <c r="D470" s="19" t="str">
        <f>IF('REGISTER SK'!A473="","",IF('REGISTER SK'!B473=0,D469,'REGISTER SK'!B473))</f>
        <v/>
      </c>
      <c r="E470" s="19" t="str">
        <f t="shared" si="197"/>
        <v/>
      </c>
      <c r="F470" s="29"/>
      <c r="G470" s="29"/>
      <c r="H470" s="31" t="str">
        <f>IF(F470="","",VLOOKUP(F470,'Data Induk Pegawai'!B:U,2,FALSE))</f>
        <v/>
      </c>
      <c r="I470" s="19" t="str">
        <f>IF('REGISTER SK'!C473="","",'REGISTER SK'!C473)</f>
        <v/>
      </c>
      <c r="J470" s="125"/>
      <c r="K470" s="125"/>
      <c r="L470" s="26" t="str">
        <f>IF('REGISTER SK'!D473="","",'REGISTER SK'!D473)</f>
        <v/>
      </c>
      <c r="M470" s="26" t="str">
        <f>IF('REGISTER SK'!E473="","",'REGISTER SK'!E473)</f>
        <v/>
      </c>
      <c r="N470" s="31" t="str">
        <f>IF(G470="","",IF(OR(G470="GTT",G470="PTT"),"--",VLOOKUP(F470,'Data Induk Pegawai'!B:AE,4,FALSE)))</f>
        <v/>
      </c>
      <c r="O470" s="18" t="str">
        <f>IF(G470="","",VLOOKUP(F470,'Data Induk Pegawai'!B:AE,6,FALSE))</f>
        <v/>
      </c>
      <c r="P470" s="31" t="str">
        <f>IF(G470="","",VLOOKUP(F470,'Data Induk Pegawai'!B:AE,7,FALSE))</f>
        <v/>
      </c>
      <c r="Q470" s="30"/>
      <c r="R470" s="26" t="str">
        <f>IF(G470="","","Nomor "&amp;RIGHT(VLOOKUP(F470,'Data Induk Pegawai'!B:AE,12,FALSE),2)&amp;" Tahun "&amp;MID(VLOOKUP(F470,'Data Induk Pegawai'!B:AE,12,FALSE),5,4))</f>
        <v/>
      </c>
      <c r="S470" s="26" t="str">
        <f>IF(G470="","",VLOOKUP(F470,'Data Induk Pegawai'!B:AE,11,FALSE))</f>
        <v/>
      </c>
      <c r="T470" s="56"/>
      <c r="U470" s="18" t="str">
        <f t="shared" si="179"/>
        <v/>
      </c>
      <c r="V470" s="30"/>
      <c r="W470" s="18" t="str">
        <f t="shared" ref="W470:W533" si="201">V470&amp;H470</f>
        <v/>
      </c>
      <c r="Y470" t="str">
        <f t="shared" si="180"/>
        <v/>
      </c>
      <c r="Z470" t="str">
        <f t="shared" si="181"/>
        <v/>
      </c>
      <c r="AA470" t="str">
        <f t="shared" si="182"/>
        <v/>
      </c>
      <c r="AB470" t="str">
        <f>COUNTIFS(AC470:AC$596,AC470)&amp;AC470</f>
        <v>127</v>
      </c>
      <c r="AC470" t="str">
        <f t="shared" si="198"/>
        <v/>
      </c>
      <c r="AD470" t="str">
        <f>COUNTIFS(AC$2:AC470,AC470)&amp;AC470</f>
        <v>469</v>
      </c>
      <c r="AE470" t="str">
        <f t="shared" si="183"/>
        <v/>
      </c>
      <c r="AF470" t="str">
        <f t="shared" si="199"/>
        <v>..</v>
      </c>
      <c r="AG470" s="28" t="str">
        <f t="shared" ref="AG470:AG533" si="202">L470</f>
        <v/>
      </c>
      <c r="AH470" s="28" t="str">
        <f t="shared" si="184"/>
        <v/>
      </c>
      <c r="AI470" t="str">
        <f t="shared" si="185"/>
        <v/>
      </c>
      <c r="AJ470" t="str">
        <f t="shared" si="186"/>
        <v/>
      </c>
      <c r="AK470" t="str">
        <f t="shared" si="187"/>
        <v/>
      </c>
      <c r="AL470" t="str">
        <f t="shared" si="188"/>
        <v/>
      </c>
      <c r="AM470" t="str">
        <f t="shared" si="189"/>
        <v/>
      </c>
      <c r="AN470" t="str">
        <f t="shared" si="190"/>
        <v/>
      </c>
      <c r="AO470" t="str">
        <f t="shared" si="191"/>
        <v/>
      </c>
      <c r="AP470" t="str">
        <f t="shared" si="192"/>
        <v/>
      </c>
      <c r="AQ470" t="str">
        <f t="shared" si="193"/>
        <v/>
      </c>
      <c r="AR470" t="str">
        <f t="shared" si="194"/>
        <v/>
      </c>
      <c r="AS470" t="str">
        <f t="shared" si="195"/>
        <v/>
      </c>
      <c r="AT470" t="str">
        <f t="shared" si="196"/>
        <v/>
      </c>
      <c r="AU470" s="25" t="str">
        <f t="shared" si="200"/>
        <v/>
      </c>
      <c r="BA470">
        <f>'REGISTER SK'!F473</f>
        <v>0</v>
      </c>
    </row>
    <row r="471" spans="1:53" x14ac:dyDescent="0.35">
      <c r="A471" s="18">
        <v>470</v>
      </c>
      <c r="B471" s="18"/>
      <c r="C471" s="18" t="str">
        <f>IF(G471="","",IF(G471="Umum",G471,VLOOKUP(F471,'Data Induk Pegawai'!B:AE,4,FALSE)))</f>
        <v/>
      </c>
      <c r="D471" s="19" t="str">
        <f>IF('REGISTER SK'!A474="","",IF('REGISTER SK'!B474=0,D470,'REGISTER SK'!B474))</f>
        <v/>
      </c>
      <c r="E471" s="19" t="str">
        <f t="shared" si="197"/>
        <v/>
      </c>
      <c r="F471" s="29"/>
      <c r="G471" s="29"/>
      <c r="H471" s="31" t="str">
        <f>IF(F471="","",VLOOKUP(F471,'Data Induk Pegawai'!B:U,2,FALSE))</f>
        <v/>
      </c>
      <c r="I471" s="19" t="str">
        <f>IF('REGISTER SK'!C474="","",'REGISTER SK'!C474)</f>
        <v/>
      </c>
      <c r="J471" s="125"/>
      <c r="K471" s="125"/>
      <c r="L471" s="26" t="str">
        <f>IF('REGISTER SK'!D474="","",'REGISTER SK'!D474)</f>
        <v/>
      </c>
      <c r="M471" s="26" t="str">
        <f>IF('REGISTER SK'!E474="","",'REGISTER SK'!E474)</f>
        <v/>
      </c>
      <c r="N471" s="31" t="str">
        <f>IF(G471="","",IF(OR(G471="GTT",G471="PTT"),"--",VLOOKUP(F471,'Data Induk Pegawai'!B:AE,4,FALSE)))</f>
        <v/>
      </c>
      <c r="O471" s="18" t="str">
        <f>IF(G471="","",VLOOKUP(F471,'Data Induk Pegawai'!B:AE,6,FALSE))</f>
        <v/>
      </c>
      <c r="P471" s="31" t="str">
        <f>IF(G471="","",VLOOKUP(F471,'Data Induk Pegawai'!B:AE,7,FALSE))</f>
        <v/>
      </c>
      <c r="Q471" s="30"/>
      <c r="R471" s="26" t="str">
        <f>IF(G471="","","Nomor "&amp;RIGHT(VLOOKUP(F471,'Data Induk Pegawai'!B:AE,12,FALSE),2)&amp;" Tahun "&amp;MID(VLOOKUP(F471,'Data Induk Pegawai'!B:AE,12,FALSE),5,4))</f>
        <v/>
      </c>
      <c r="S471" s="26" t="str">
        <f>IF(G471="","",VLOOKUP(F471,'Data Induk Pegawai'!B:AE,11,FALSE))</f>
        <v/>
      </c>
      <c r="T471" s="56"/>
      <c r="U471" s="18" t="str">
        <f t="shared" si="179"/>
        <v/>
      </c>
      <c r="V471" s="30"/>
      <c r="W471" s="18" t="str">
        <f t="shared" si="201"/>
        <v/>
      </c>
      <c r="Y471" t="str">
        <f t="shared" si="180"/>
        <v/>
      </c>
      <c r="Z471" t="str">
        <f t="shared" si="181"/>
        <v/>
      </c>
      <c r="AA471" t="str">
        <f t="shared" si="182"/>
        <v/>
      </c>
      <c r="AB471" t="str">
        <f>COUNTIFS(AC471:AC$596,AC471)&amp;AC471</f>
        <v>126</v>
      </c>
      <c r="AC471" t="str">
        <f t="shared" si="198"/>
        <v/>
      </c>
      <c r="AD471" t="str">
        <f>COUNTIFS(AC$2:AC471,AC471)&amp;AC471</f>
        <v>470</v>
      </c>
      <c r="AE471" t="str">
        <f t="shared" si="183"/>
        <v/>
      </c>
      <c r="AF471" t="str">
        <f t="shared" si="199"/>
        <v>..</v>
      </c>
      <c r="AG471" s="28" t="str">
        <f t="shared" si="202"/>
        <v/>
      </c>
      <c r="AH471" s="28" t="str">
        <f t="shared" si="184"/>
        <v/>
      </c>
      <c r="AI471" t="str">
        <f t="shared" si="185"/>
        <v/>
      </c>
      <c r="AJ471" t="str">
        <f t="shared" si="186"/>
        <v/>
      </c>
      <c r="AK471" t="str">
        <f t="shared" si="187"/>
        <v/>
      </c>
      <c r="AL471" t="str">
        <f t="shared" si="188"/>
        <v/>
      </c>
      <c r="AM471" t="str">
        <f t="shared" si="189"/>
        <v/>
      </c>
      <c r="AN471" t="str">
        <f t="shared" si="190"/>
        <v/>
      </c>
      <c r="AO471" t="str">
        <f t="shared" si="191"/>
        <v/>
      </c>
      <c r="AP471" t="str">
        <f t="shared" si="192"/>
        <v/>
      </c>
      <c r="AQ471" t="str">
        <f t="shared" si="193"/>
        <v/>
      </c>
      <c r="AR471" t="str">
        <f t="shared" si="194"/>
        <v/>
      </c>
      <c r="AS471" t="str">
        <f t="shared" si="195"/>
        <v/>
      </c>
      <c r="AT471" t="str">
        <f t="shared" si="196"/>
        <v/>
      </c>
      <c r="AU471" s="25" t="str">
        <f t="shared" si="200"/>
        <v/>
      </c>
      <c r="BA471">
        <f>'REGISTER SK'!F474</f>
        <v>0</v>
      </c>
    </row>
    <row r="472" spans="1:53" x14ac:dyDescent="0.35">
      <c r="A472" s="18">
        <v>471</v>
      </c>
      <c r="B472" s="18"/>
      <c r="C472" s="18" t="str">
        <f>IF(G472="","",IF(G472="Umum",G472,VLOOKUP(F472,'Data Induk Pegawai'!B:AE,4,FALSE)))</f>
        <v/>
      </c>
      <c r="D472" s="19" t="str">
        <f>IF('REGISTER SK'!A475="","",IF('REGISTER SK'!B475=0,D471,'REGISTER SK'!B475))</f>
        <v/>
      </c>
      <c r="E472" s="19" t="str">
        <f t="shared" si="197"/>
        <v/>
      </c>
      <c r="F472" s="29"/>
      <c r="G472" s="29"/>
      <c r="H472" s="31" t="str">
        <f>IF(F472="","",VLOOKUP(F472,'Data Induk Pegawai'!B:U,2,FALSE))</f>
        <v/>
      </c>
      <c r="I472" s="19" t="str">
        <f>IF('REGISTER SK'!C475="","",'REGISTER SK'!C475)</f>
        <v/>
      </c>
      <c r="J472" s="125"/>
      <c r="K472" s="125"/>
      <c r="L472" s="26" t="str">
        <f>IF('REGISTER SK'!D475="","",'REGISTER SK'!D475)</f>
        <v/>
      </c>
      <c r="M472" s="26" t="str">
        <f>IF('REGISTER SK'!E475="","",'REGISTER SK'!E475)</f>
        <v/>
      </c>
      <c r="N472" s="31" t="str">
        <f>IF(G472="","",IF(OR(G472="GTT",G472="PTT"),"--",VLOOKUP(F472,'Data Induk Pegawai'!B:AE,4,FALSE)))</f>
        <v/>
      </c>
      <c r="O472" s="18" t="str">
        <f>IF(G472="","",VLOOKUP(F472,'Data Induk Pegawai'!B:AE,6,FALSE))</f>
        <v/>
      </c>
      <c r="P472" s="31" t="str">
        <f>IF(G472="","",VLOOKUP(F472,'Data Induk Pegawai'!B:AE,7,FALSE))</f>
        <v/>
      </c>
      <c r="Q472" s="30"/>
      <c r="R472" s="26" t="str">
        <f>IF(G472="","","Nomor "&amp;RIGHT(VLOOKUP(F472,'Data Induk Pegawai'!B:AE,12,FALSE),2)&amp;" Tahun "&amp;MID(VLOOKUP(F472,'Data Induk Pegawai'!B:AE,12,FALSE),5,4))</f>
        <v/>
      </c>
      <c r="S472" s="26" t="str">
        <f>IF(G472="","",VLOOKUP(F472,'Data Induk Pegawai'!B:AE,11,FALSE))</f>
        <v/>
      </c>
      <c r="T472" s="56"/>
      <c r="U472" s="18" t="str">
        <f t="shared" si="179"/>
        <v/>
      </c>
      <c r="V472" s="30"/>
      <c r="W472" s="18" t="str">
        <f t="shared" si="201"/>
        <v/>
      </c>
      <c r="Y472" t="str">
        <f t="shared" si="180"/>
        <v/>
      </c>
      <c r="Z472" t="str">
        <f t="shared" si="181"/>
        <v/>
      </c>
      <c r="AA472" t="str">
        <f t="shared" si="182"/>
        <v/>
      </c>
      <c r="AB472" t="str">
        <f>COUNTIFS(AC472:AC$596,AC472)&amp;AC472</f>
        <v>125</v>
      </c>
      <c r="AC472" t="str">
        <f t="shared" si="198"/>
        <v/>
      </c>
      <c r="AD472" t="str">
        <f>COUNTIFS(AC$2:AC472,AC472)&amp;AC472</f>
        <v>471</v>
      </c>
      <c r="AE472" t="str">
        <f t="shared" si="183"/>
        <v/>
      </c>
      <c r="AF472" t="str">
        <f t="shared" si="199"/>
        <v>..</v>
      </c>
      <c r="AG472" s="28" t="str">
        <f t="shared" si="202"/>
        <v/>
      </c>
      <c r="AH472" s="28" t="str">
        <f t="shared" si="184"/>
        <v/>
      </c>
      <c r="AI472" t="str">
        <f t="shared" si="185"/>
        <v/>
      </c>
      <c r="AJ472" t="str">
        <f t="shared" si="186"/>
        <v/>
      </c>
      <c r="AK472" t="str">
        <f t="shared" si="187"/>
        <v/>
      </c>
      <c r="AL472" t="str">
        <f t="shared" si="188"/>
        <v/>
      </c>
      <c r="AM472" t="str">
        <f t="shared" si="189"/>
        <v/>
      </c>
      <c r="AN472" t="str">
        <f t="shared" si="190"/>
        <v/>
      </c>
      <c r="AO472" t="str">
        <f t="shared" si="191"/>
        <v/>
      </c>
      <c r="AP472" t="str">
        <f t="shared" si="192"/>
        <v/>
      </c>
      <c r="AQ472" t="str">
        <f t="shared" si="193"/>
        <v/>
      </c>
      <c r="AR472" t="str">
        <f t="shared" si="194"/>
        <v/>
      </c>
      <c r="AS472" t="str">
        <f t="shared" si="195"/>
        <v/>
      </c>
      <c r="AT472" t="str">
        <f t="shared" si="196"/>
        <v/>
      </c>
      <c r="AU472" s="25" t="str">
        <f t="shared" si="200"/>
        <v/>
      </c>
      <c r="BA472">
        <f>'REGISTER SK'!F475</f>
        <v>0</v>
      </c>
    </row>
    <row r="473" spans="1:53" x14ac:dyDescent="0.35">
      <c r="A473" s="18">
        <v>472</v>
      </c>
      <c r="B473" s="18"/>
      <c r="C473" s="18" t="str">
        <f>IF(G473="","",IF(G473="Umum",G473,VLOOKUP(F473,'Data Induk Pegawai'!B:AE,4,FALSE)))</f>
        <v/>
      </c>
      <c r="D473" s="19" t="str">
        <f>IF('REGISTER SK'!A476="","",IF('REGISTER SK'!B476=0,D472,'REGISTER SK'!B476))</f>
        <v/>
      </c>
      <c r="E473" s="19" t="str">
        <f t="shared" si="197"/>
        <v/>
      </c>
      <c r="F473" s="29"/>
      <c r="G473" s="29"/>
      <c r="H473" s="31" t="str">
        <f>IF(F473="","",VLOOKUP(F473,'Data Induk Pegawai'!B:U,2,FALSE))</f>
        <v/>
      </c>
      <c r="I473" s="19" t="str">
        <f>IF('REGISTER SK'!C476="","",'REGISTER SK'!C476)</f>
        <v/>
      </c>
      <c r="J473" s="125"/>
      <c r="K473" s="125"/>
      <c r="L473" s="26" t="str">
        <f>IF('REGISTER SK'!D476="","",'REGISTER SK'!D476)</f>
        <v/>
      </c>
      <c r="M473" s="26" t="str">
        <f>IF('REGISTER SK'!E476="","",'REGISTER SK'!E476)</f>
        <v/>
      </c>
      <c r="N473" s="31" t="str">
        <f>IF(G473="","",IF(OR(G473="GTT",G473="PTT"),"--",VLOOKUP(F473,'Data Induk Pegawai'!B:AE,4,FALSE)))</f>
        <v/>
      </c>
      <c r="O473" s="18" t="str">
        <f>IF(G473="","",VLOOKUP(F473,'Data Induk Pegawai'!B:AE,6,FALSE))</f>
        <v/>
      </c>
      <c r="P473" s="31" t="str">
        <f>IF(G473="","",VLOOKUP(F473,'Data Induk Pegawai'!B:AE,7,FALSE))</f>
        <v/>
      </c>
      <c r="Q473" s="30"/>
      <c r="R473" s="26" t="str">
        <f>IF(G473="","","Nomor "&amp;RIGHT(VLOOKUP(F473,'Data Induk Pegawai'!B:AE,12,FALSE),2)&amp;" Tahun "&amp;MID(VLOOKUP(F473,'Data Induk Pegawai'!B:AE,12,FALSE),5,4))</f>
        <v/>
      </c>
      <c r="S473" s="26" t="str">
        <f>IF(G473="","",VLOOKUP(F473,'Data Induk Pegawai'!B:AE,11,FALSE))</f>
        <v/>
      </c>
      <c r="T473" s="56"/>
      <c r="U473" s="18" t="str">
        <f t="shared" si="179"/>
        <v/>
      </c>
      <c r="V473" s="30"/>
      <c r="W473" s="18" t="str">
        <f t="shared" si="201"/>
        <v/>
      </c>
      <c r="Y473" t="str">
        <f t="shared" si="180"/>
        <v/>
      </c>
      <c r="Z473" t="str">
        <f t="shared" si="181"/>
        <v/>
      </c>
      <c r="AA473" t="str">
        <f t="shared" si="182"/>
        <v/>
      </c>
      <c r="AB473" t="str">
        <f>COUNTIFS(AC473:AC$596,AC473)&amp;AC473</f>
        <v>124</v>
      </c>
      <c r="AC473" t="str">
        <f t="shared" si="198"/>
        <v/>
      </c>
      <c r="AD473" t="str">
        <f>COUNTIFS(AC$2:AC473,AC473)&amp;AC473</f>
        <v>472</v>
      </c>
      <c r="AE473" t="str">
        <f t="shared" si="183"/>
        <v/>
      </c>
      <c r="AF473" t="str">
        <f t="shared" si="199"/>
        <v>..</v>
      </c>
      <c r="AG473" s="28" t="str">
        <f t="shared" si="202"/>
        <v/>
      </c>
      <c r="AH473" s="28" t="str">
        <f t="shared" si="184"/>
        <v/>
      </c>
      <c r="AI473" t="str">
        <f t="shared" si="185"/>
        <v/>
      </c>
      <c r="AJ473" t="str">
        <f t="shared" si="186"/>
        <v/>
      </c>
      <c r="AK473" t="str">
        <f t="shared" si="187"/>
        <v/>
      </c>
      <c r="AL473" t="str">
        <f t="shared" si="188"/>
        <v/>
      </c>
      <c r="AM473" t="str">
        <f t="shared" si="189"/>
        <v/>
      </c>
      <c r="AN473" t="str">
        <f t="shared" si="190"/>
        <v/>
      </c>
      <c r="AO473" t="str">
        <f t="shared" si="191"/>
        <v/>
      </c>
      <c r="AP473" t="str">
        <f t="shared" si="192"/>
        <v/>
      </c>
      <c r="AQ473" t="str">
        <f t="shared" si="193"/>
        <v/>
      </c>
      <c r="AR473" t="str">
        <f t="shared" si="194"/>
        <v/>
      </c>
      <c r="AS473" t="str">
        <f t="shared" si="195"/>
        <v/>
      </c>
      <c r="AT473" t="str">
        <f t="shared" si="196"/>
        <v/>
      </c>
      <c r="AU473" s="25" t="str">
        <f t="shared" si="200"/>
        <v/>
      </c>
      <c r="BA473">
        <f>'REGISTER SK'!F476</f>
        <v>0</v>
      </c>
    </row>
    <row r="474" spans="1:53" x14ac:dyDescent="0.35">
      <c r="A474" s="18">
        <v>473</v>
      </c>
      <c r="B474" s="18"/>
      <c r="C474" s="18" t="str">
        <f>IF(G474="","",IF(G474="Umum",G474,VLOOKUP(F474,'Data Induk Pegawai'!B:AE,4,FALSE)))</f>
        <v/>
      </c>
      <c r="D474" s="19" t="str">
        <f>IF('REGISTER SK'!A477="","",IF('REGISTER SK'!B477=0,D473,'REGISTER SK'!B477))</f>
        <v/>
      </c>
      <c r="E474" s="19" t="str">
        <f t="shared" si="197"/>
        <v/>
      </c>
      <c r="F474" s="29"/>
      <c r="G474" s="29"/>
      <c r="H474" s="31" t="str">
        <f>IF(F474="","",VLOOKUP(F474,'Data Induk Pegawai'!B:U,2,FALSE))</f>
        <v/>
      </c>
      <c r="I474" s="19" t="str">
        <f>IF('REGISTER SK'!C477="","",'REGISTER SK'!C477)</f>
        <v/>
      </c>
      <c r="J474" s="125"/>
      <c r="K474" s="125"/>
      <c r="L474" s="26" t="str">
        <f>IF('REGISTER SK'!D477="","",'REGISTER SK'!D477)</f>
        <v/>
      </c>
      <c r="M474" s="26" t="str">
        <f>IF('REGISTER SK'!E477="","",'REGISTER SK'!E477)</f>
        <v/>
      </c>
      <c r="N474" s="31" t="str">
        <f>IF(G474="","",IF(OR(G474="GTT",G474="PTT"),"--",VLOOKUP(F474,'Data Induk Pegawai'!B:AE,4,FALSE)))</f>
        <v/>
      </c>
      <c r="O474" s="18" t="str">
        <f>IF(G474="","",VLOOKUP(F474,'Data Induk Pegawai'!B:AE,6,FALSE))</f>
        <v/>
      </c>
      <c r="P474" s="31" t="str">
        <f>IF(G474="","",VLOOKUP(F474,'Data Induk Pegawai'!B:AE,7,FALSE))</f>
        <v/>
      </c>
      <c r="Q474" s="30"/>
      <c r="R474" s="26" t="str">
        <f>IF(G474="","","Nomor "&amp;RIGHT(VLOOKUP(F474,'Data Induk Pegawai'!B:AE,12,FALSE),2)&amp;" Tahun "&amp;MID(VLOOKUP(F474,'Data Induk Pegawai'!B:AE,12,FALSE),5,4))</f>
        <v/>
      </c>
      <c r="S474" s="26" t="str">
        <f>IF(G474="","",VLOOKUP(F474,'Data Induk Pegawai'!B:AE,11,FALSE))</f>
        <v/>
      </c>
      <c r="T474" s="56"/>
      <c r="U474" s="18" t="str">
        <f t="shared" si="179"/>
        <v/>
      </c>
      <c r="V474" s="30"/>
      <c r="W474" s="18" t="str">
        <f t="shared" si="201"/>
        <v/>
      </c>
      <c r="Y474" t="str">
        <f t="shared" si="180"/>
        <v/>
      </c>
      <c r="Z474" t="str">
        <f t="shared" si="181"/>
        <v/>
      </c>
      <c r="AA474" t="str">
        <f t="shared" si="182"/>
        <v/>
      </c>
      <c r="AB474" t="str">
        <f>COUNTIFS(AC474:AC$596,AC474)&amp;AC474</f>
        <v>123</v>
      </c>
      <c r="AC474" t="str">
        <f t="shared" si="198"/>
        <v/>
      </c>
      <c r="AD474" t="str">
        <f>COUNTIFS(AC$2:AC474,AC474)&amp;AC474</f>
        <v>473</v>
      </c>
      <c r="AE474" t="str">
        <f t="shared" si="183"/>
        <v/>
      </c>
      <c r="AF474" t="str">
        <f t="shared" si="199"/>
        <v>..</v>
      </c>
      <c r="AG474" s="28" t="str">
        <f t="shared" si="202"/>
        <v/>
      </c>
      <c r="AH474" s="28" t="str">
        <f t="shared" si="184"/>
        <v/>
      </c>
      <c r="AI474" t="str">
        <f t="shared" si="185"/>
        <v/>
      </c>
      <c r="AJ474" t="str">
        <f t="shared" si="186"/>
        <v/>
      </c>
      <c r="AK474" t="str">
        <f t="shared" si="187"/>
        <v/>
      </c>
      <c r="AL474" t="str">
        <f t="shared" si="188"/>
        <v/>
      </c>
      <c r="AM474" t="str">
        <f t="shared" si="189"/>
        <v/>
      </c>
      <c r="AN474" t="str">
        <f t="shared" si="190"/>
        <v/>
      </c>
      <c r="AO474" t="str">
        <f t="shared" si="191"/>
        <v/>
      </c>
      <c r="AP474" t="str">
        <f t="shared" si="192"/>
        <v/>
      </c>
      <c r="AQ474" t="str">
        <f t="shared" si="193"/>
        <v/>
      </c>
      <c r="AR474" t="str">
        <f t="shared" si="194"/>
        <v/>
      </c>
      <c r="AS474" t="str">
        <f t="shared" si="195"/>
        <v/>
      </c>
      <c r="AT474" t="str">
        <f t="shared" si="196"/>
        <v/>
      </c>
      <c r="AU474" s="25" t="str">
        <f t="shared" si="200"/>
        <v/>
      </c>
      <c r="BA474">
        <f>'REGISTER SK'!F477</f>
        <v>0</v>
      </c>
    </row>
    <row r="475" spans="1:53" x14ac:dyDescent="0.35">
      <c r="A475" s="18">
        <v>474</v>
      </c>
      <c r="B475" s="18"/>
      <c r="C475" s="18" t="str">
        <f>IF(G475="","",IF(G475="Umum",G475,VLOOKUP(F475,'Data Induk Pegawai'!B:AE,4,FALSE)))</f>
        <v/>
      </c>
      <c r="D475" s="19" t="str">
        <f>IF('REGISTER SK'!A478="","",IF('REGISTER SK'!B478=0,D474,'REGISTER SK'!B478))</f>
        <v/>
      </c>
      <c r="E475" s="19" t="str">
        <f t="shared" si="197"/>
        <v/>
      </c>
      <c r="F475" s="29"/>
      <c r="G475" s="29"/>
      <c r="H475" s="31" t="str">
        <f>IF(F475="","",VLOOKUP(F475,'Data Induk Pegawai'!B:U,2,FALSE))</f>
        <v/>
      </c>
      <c r="I475" s="19" t="str">
        <f>IF('REGISTER SK'!C478="","",'REGISTER SK'!C478)</f>
        <v/>
      </c>
      <c r="J475" s="125"/>
      <c r="K475" s="125"/>
      <c r="L475" s="26" t="str">
        <f>IF('REGISTER SK'!D478="","",'REGISTER SK'!D478)</f>
        <v/>
      </c>
      <c r="M475" s="26" t="str">
        <f>IF('REGISTER SK'!E478="","",'REGISTER SK'!E478)</f>
        <v/>
      </c>
      <c r="N475" s="31" t="str">
        <f>IF(G475="","",IF(OR(G475="GTT",G475="PTT"),"--",VLOOKUP(F475,'Data Induk Pegawai'!B:AE,4,FALSE)))</f>
        <v/>
      </c>
      <c r="O475" s="18" t="str">
        <f>IF(G475="","",VLOOKUP(F475,'Data Induk Pegawai'!B:AE,6,FALSE))</f>
        <v/>
      </c>
      <c r="P475" s="31" t="str">
        <f>IF(G475="","",VLOOKUP(F475,'Data Induk Pegawai'!B:AE,7,FALSE))</f>
        <v/>
      </c>
      <c r="Q475" s="30"/>
      <c r="R475" s="26" t="str">
        <f>IF(G475="","","Nomor "&amp;RIGHT(VLOOKUP(F475,'Data Induk Pegawai'!B:AE,12,FALSE),2)&amp;" Tahun "&amp;MID(VLOOKUP(F475,'Data Induk Pegawai'!B:AE,12,FALSE),5,4))</f>
        <v/>
      </c>
      <c r="S475" s="26" t="str">
        <f>IF(G475="","",VLOOKUP(F475,'Data Induk Pegawai'!B:AE,11,FALSE))</f>
        <v/>
      </c>
      <c r="T475" s="56"/>
      <c r="U475" s="18" t="str">
        <f t="shared" si="179"/>
        <v/>
      </c>
      <c r="V475" s="30"/>
      <c r="W475" s="18" t="str">
        <f t="shared" si="201"/>
        <v/>
      </c>
      <c r="Y475" t="str">
        <f t="shared" si="180"/>
        <v/>
      </c>
      <c r="Z475" t="str">
        <f t="shared" si="181"/>
        <v/>
      </c>
      <c r="AA475" t="str">
        <f t="shared" si="182"/>
        <v/>
      </c>
      <c r="AB475" t="str">
        <f>COUNTIFS(AC475:AC$596,AC475)&amp;AC475</f>
        <v>122</v>
      </c>
      <c r="AC475" t="str">
        <f t="shared" si="198"/>
        <v/>
      </c>
      <c r="AD475" t="str">
        <f>COUNTIFS(AC$2:AC475,AC475)&amp;AC475</f>
        <v>474</v>
      </c>
      <c r="AE475" t="str">
        <f t="shared" si="183"/>
        <v/>
      </c>
      <c r="AF475" t="str">
        <f t="shared" si="199"/>
        <v>..</v>
      </c>
      <c r="AG475" s="28" t="str">
        <f t="shared" si="202"/>
        <v/>
      </c>
      <c r="AH475" s="28" t="str">
        <f t="shared" si="184"/>
        <v/>
      </c>
      <c r="AI475" t="str">
        <f t="shared" si="185"/>
        <v/>
      </c>
      <c r="AJ475" t="str">
        <f t="shared" si="186"/>
        <v/>
      </c>
      <c r="AK475" t="str">
        <f t="shared" si="187"/>
        <v/>
      </c>
      <c r="AL475" t="str">
        <f t="shared" si="188"/>
        <v/>
      </c>
      <c r="AM475" t="str">
        <f t="shared" si="189"/>
        <v/>
      </c>
      <c r="AN475" t="str">
        <f t="shared" si="190"/>
        <v/>
      </c>
      <c r="AO475" t="str">
        <f t="shared" si="191"/>
        <v/>
      </c>
      <c r="AP475" t="str">
        <f t="shared" si="192"/>
        <v/>
      </c>
      <c r="AQ475" t="str">
        <f t="shared" si="193"/>
        <v/>
      </c>
      <c r="AR475" t="str">
        <f t="shared" si="194"/>
        <v/>
      </c>
      <c r="AS475" t="str">
        <f t="shared" si="195"/>
        <v/>
      </c>
      <c r="AT475" t="str">
        <f t="shared" si="196"/>
        <v/>
      </c>
      <c r="AU475" s="25" t="str">
        <f t="shared" si="200"/>
        <v/>
      </c>
      <c r="BA475">
        <f>'REGISTER SK'!F478</f>
        <v>0</v>
      </c>
    </row>
    <row r="476" spans="1:53" x14ac:dyDescent="0.35">
      <c r="A476" s="18">
        <v>475</v>
      </c>
      <c r="B476" s="18"/>
      <c r="C476" s="18" t="str">
        <f>IF(G476="","",IF(G476="Umum",G476,VLOOKUP(F476,'Data Induk Pegawai'!B:AE,4,FALSE)))</f>
        <v/>
      </c>
      <c r="D476" s="19" t="str">
        <f>IF('REGISTER SK'!A479="","",IF('REGISTER SK'!B479=0,D475,'REGISTER SK'!B479))</f>
        <v/>
      </c>
      <c r="E476" s="19" t="str">
        <f t="shared" si="197"/>
        <v/>
      </c>
      <c r="F476" s="29"/>
      <c r="G476" s="29"/>
      <c r="H476" s="31" t="str">
        <f>IF(F476="","",VLOOKUP(F476,'Data Induk Pegawai'!B:U,2,FALSE))</f>
        <v/>
      </c>
      <c r="I476" s="19" t="str">
        <f>IF('REGISTER SK'!C479="","",'REGISTER SK'!C479)</f>
        <v/>
      </c>
      <c r="J476" s="125"/>
      <c r="K476" s="125"/>
      <c r="L476" s="26" t="str">
        <f>IF('REGISTER SK'!D479="","",'REGISTER SK'!D479)</f>
        <v/>
      </c>
      <c r="M476" s="26" t="str">
        <f>IF('REGISTER SK'!E479="","",'REGISTER SK'!E479)</f>
        <v/>
      </c>
      <c r="N476" s="31" t="str">
        <f>IF(G476="","",IF(OR(G476="GTT",G476="PTT"),"--",VLOOKUP(F476,'Data Induk Pegawai'!B:AE,4,FALSE)))</f>
        <v/>
      </c>
      <c r="O476" s="18" t="str">
        <f>IF(G476="","",VLOOKUP(F476,'Data Induk Pegawai'!B:AE,6,FALSE))</f>
        <v/>
      </c>
      <c r="P476" s="31" t="str">
        <f>IF(G476="","",VLOOKUP(F476,'Data Induk Pegawai'!B:AE,7,FALSE))</f>
        <v/>
      </c>
      <c r="Q476" s="30"/>
      <c r="R476" s="26" t="str">
        <f>IF(G476="","","Nomor "&amp;RIGHT(VLOOKUP(F476,'Data Induk Pegawai'!B:AE,12,FALSE),2)&amp;" Tahun "&amp;MID(VLOOKUP(F476,'Data Induk Pegawai'!B:AE,12,FALSE),5,4))</f>
        <v/>
      </c>
      <c r="S476" s="26" t="str">
        <f>IF(G476="","",VLOOKUP(F476,'Data Induk Pegawai'!B:AE,11,FALSE))</f>
        <v/>
      </c>
      <c r="T476" s="56"/>
      <c r="U476" s="18" t="str">
        <f t="shared" si="179"/>
        <v/>
      </c>
      <c r="V476" s="30"/>
      <c r="W476" s="18" t="str">
        <f t="shared" si="201"/>
        <v/>
      </c>
      <c r="Y476" t="str">
        <f t="shared" si="180"/>
        <v/>
      </c>
      <c r="Z476" t="str">
        <f t="shared" si="181"/>
        <v/>
      </c>
      <c r="AA476" t="str">
        <f t="shared" si="182"/>
        <v/>
      </c>
      <c r="AB476" t="str">
        <f>COUNTIFS(AC476:AC$596,AC476)&amp;AC476</f>
        <v>121</v>
      </c>
      <c r="AC476" t="str">
        <f t="shared" si="198"/>
        <v/>
      </c>
      <c r="AD476" t="str">
        <f>COUNTIFS(AC$2:AC476,AC476)&amp;AC476</f>
        <v>475</v>
      </c>
      <c r="AE476" t="str">
        <f t="shared" si="183"/>
        <v/>
      </c>
      <c r="AF476" t="str">
        <f t="shared" si="199"/>
        <v>..</v>
      </c>
      <c r="AG476" s="28" t="str">
        <f t="shared" si="202"/>
        <v/>
      </c>
      <c r="AH476" s="28" t="str">
        <f t="shared" si="184"/>
        <v/>
      </c>
      <c r="AI476" t="str">
        <f t="shared" si="185"/>
        <v/>
      </c>
      <c r="AJ476" t="str">
        <f t="shared" si="186"/>
        <v/>
      </c>
      <c r="AK476" t="str">
        <f t="shared" si="187"/>
        <v/>
      </c>
      <c r="AL476" t="str">
        <f t="shared" si="188"/>
        <v/>
      </c>
      <c r="AM476" t="str">
        <f t="shared" si="189"/>
        <v/>
      </c>
      <c r="AN476" t="str">
        <f t="shared" si="190"/>
        <v/>
      </c>
      <c r="AO476" t="str">
        <f t="shared" si="191"/>
        <v/>
      </c>
      <c r="AP476" t="str">
        <f t="shared" si="192"/>
        <v/>
      </c>
      <c r="AQ476" t="str">
        <f t="shared" si="193"/>
        <v/>
      </c>
      <c r="AR476" t="str">
        <f t="shared" si="194"/>
        <v/>
      </c>
      <c r="AS476" t="str">
        <f t="shared" si="195"/>
        <v/>
      </c>
      <c r="AT476" t="str">
        <f t="shared" si="196"/>
        <v/>
      </c>
      <c r="AU476" s="25" t="str">
        <f t="shared" si="200"/>
        <v/>
      </c>
      <c r="BA476">
        <f>'REGISTER SK'!F479</f>
        <v>0</v>
      </c>
    </row>
    <row r="477" spans="1:53" x14ac:dyDescent="0.35">
      <c r="A477" s="18">
        <v>476</v>
      </c>
      <c r="B477" s="18"/>
      <c r="C477" s="18" t="str">
        <f>IF(G477="","",IF(G477="Umum",G477,VLOOKUP(F477,'Data Induk Pegawai'!B:AE,4,FALSE)))</f>
        <v/>
      </c>
      <c r="D477" s="19" t="str">
        <f>IF('REGISTER SK'!A480="","",IF('REGISTER SK'!B480=0,D476,'REGISTER SK'!B480))</f>
        <v/>
      </c>
      <c r="E477" s="19" t="str">
        <f t="shared" si="197"/>
        <v/>
      </c>
      <c r="F477" s="29"/>
      <c r="G477" s="29"/>
      <c r="H477" s="31" t="str">
        <f>IF(F477="","",VLOOKUP(F477,'Data Induk Pegawai'!B:U,2,FALSE))</f>
        <v/>
      </c>
      <c r="I477" s="19" t="str">
        <f>IF('REGISTER SK'!C480="","",'REGISTER SK'!C480)</f>
        <v/>
      </c>
      <c r="J477" s="125"/>
      <c r="K477" s="125"/>
      <c r="L477" s="26" t="str">
        <f>IF('REGISTER SK'!D480="","",'REGISTER SK'!D480)</f>
        <v/>
      </c>
      <c r="M477" s="26" t="str">
        <f>IF('REGISTER SK'!E480="","",'REGISTER SK'!E480)</f>
        <v/>
      </c>
      <c r="N477" s="31" t="str">
        <f>IF(G477="","",IF(OR(G477="GTT",G477="PTT"),"--",VLOOKUP(F477,'Data Induk Pegawai'!B:AE,4,FALSE)))</f>
        <v/>
      </c>
      <c r="O477" s="18" t="str">
        <f>IF(G477="","",VLOOKUP(F477,'Data Induk Pegawai'!B:AE,6,FALSE))</f>
        <v/>
      </c>
      <c r="P477" s="31" t="str">
        <f>IF(G477="","",VLOOKUP(F477,'Data Induk Pegawai'!B:AE,7,FALSE))</f>
        <v/>
      </c>
      <c r="Q477" s="30"/>
      <c r="R477" s="26" t="str">
        <f>IF(G477="","","Nomor "&amp;RIGHT(VLOOKUP(F477,'Data Induk Pegawai'!B:AE,12,FALSE),2)&amp;" Tahun "&amp;MID(VLOOKUP(F477,'Data Induk Pegawai'!B:AE,12,FALSE),5,4))</f>
        <v/>
      </c>
      <c r="S477" s="26" t="str">
        <f>IF(G477="","",VLOOKUP(F477,'Data Induk Pegawai'!B:AE,11,FALSE))</f>
        <v/>
      </c>
      <c r="T477" s="56"/>
      <c r="U477" s="18" t="str">
        <f t="shared" si="179"/>
        <v/>
      </c>
      <c r="V477" s="30"/>
      <c r="W477" s="18" t="str">
        <f t="shared" si="201"/>
        <v/>
      </c>
      <c r="Y477" t="str">
        <f t="shared" si="180"/>
        <v/>
      </c>
      <c r="Z477" t="str">
        <f t="shared" si="181"/>
        <v/>
      </c>
      <c r="AA477" t="str">
        <f t="shared" si="182"/>
        <v/>
      </c>
      <c r="AB477" t="str">
        <f>COUNTIFS(AC477:AC$596,AC477)&amp;AC477</f>
        <v>120</v>
      </c>
      <c r="AC477" t="str">
        <f t="shared" si="198"/>
        <v/>
      </c>
      <c r="AD477" t="str">
        <f>COUNTIFS(AC$2:AC477,AC477)&amp;AC477</f>
        <v>476</v>
      </c>
      <c r="AE477" t="str">
        <f t="shared" si="183"/>
        <v/>
      </c>
      <c r="AF477" t="str">
        <f t="shared" si="199"/>
        <v>..</v>
      </c>
      <c r="AG477" s="28" t="str">
        <f t="shared" si="202"/>
        <v/>
      </c>
      <c r="AH477" s="28" t="str">
        <f t="shared" si="184"/>
        <v/>
      </c>
      <c r="AI477" t="str">
        <f t="shared" si="185"/>
        <v/>
      </c>
      <c r="AJ477" t="str">
        <f t="shared" si="186"/>
        <v/>
      </c>
      <c r="AK477" t="str">
        <f t="shared" si="187"/>
        <v/>
      </c>
      <c r="AL477" t="str">
        <f t="shared" si="188"/>
        <v/>
      </c>
      <c r="AM477" t="str">
        <f t="shared" si="189"/>
        <v/>
      </c>
      <c r="AN477" t="str">
        <f t="shared" si="190"/>
        <v/>
      </c>
      <c r="AO477" t="str">
        <f t="shared" si="191"/>
        <v/>
      </c>
      <c r="AP477" t="str">
        <f t="shared" si="192"/>
        <v/>
      </c>
      <c r="AQ477" t="str">
        <f t="shared" si="193"/>
        <v/>
      </c>
      <c r="AR477" t="str">
        <f t="shared" si="194"/>
        <v/>
      </c>
      <c r="AS477" t="str">
        <f t="shared" si="195"/>
        <v/>
      </c>
      <c r="AT477" t="str">
        <f t="shared" si="196"/>
        <v/>
      </c>
      <c r="AU477" s="25" t="str">
        <f t="shared" si="200"/>
        <v/>
      </c>
      <c r="BA477">
        <f>'REGISTER SK'!F480</f>
        <v>0</v>
      </c>
    </row>
    <row r="478" spans="1:53" x14ac:dyDescent="0.35">
      <c r="A478" s="18">
        <v>477</v>
      </c>
      <c r="B478" s="18"/>
      <c r="C478" s="18" t="str">
        <f>IF(G478="","",IF(G478="Umum",G478,VLOOKUP(F478,'Data Induk Pegawai'!B:AE,4,FALSE)))</f>
        <v/>
      </c>
      <c r="D478" s="19" t="str">
        <f>IF('REGISTER SK'!A481="","",IF('REGISTER SK'!B481=0,D477,'REGISTER SK'!B481))</f>
        <v/>
      </c>
      <c r="E478" s="19" t="str">
        <f t="shared" si="197"/>
        <v/>
      </c>
      <c r="F478" s="29"/>
      <c r="G478" s="29"/>
      <c r="H478" s="31" t="str">
        <f>IF(F478="","",VLOOKUP(F478,'Data Induk Pegawai'!B:U,2,FALSE))</f>
        <v/>
      </c>
      <c r="I478" s="19" t="str">
        <f>IF('REGISTER SK'!C481="","",'REGISTER SK'!C481)</f>
        <v/>
      </c>
      <c r="J478" s="125"/>
      <c r="K478" s="125"/>
      <c r="L478" s="26" t="str">
        <f>IF('REGISTER SK'!D481="","",'REGISTER SK'!D481)</f>
        <v/>
      </c>
      <c r="M478" s="26" t="str">
        <f>IF('REGISTER SK'!E481="","",'REGISTER SK'!E481)</f>
        <v/>
      </c>
      <c r="N478" s="31" t="str">
        <f>IF(G478="","",IF(OR(G478="GTT",G478="PTT"),"--",VLOOKUP(F478,'Data Induk Pegawai'!B:AE,4,FALSE)))</f>
        <v/>
      </c>
      <c r="O478" s="18" t="str">
        <f>IF(G478="","",VLOOKUP(F478,'Data Induk Pegawai'!B:AE,6,FALSE))</f>
        <v/>
      </c>
      <c r="P478" s="31" t="str">
        <f>IF(G478="","",VLOOKUP(F478,'Data Induk Pegawai'!B:AE,7,FALSE))</f>
        <v/>
      </c>
      <c r="Q478" s="30"/>
      <c r="R478" s="26" t="str">
        <f>IF(G478="","","Nomor "&amp;RIGHT(VLOOKUP(F478,'Data Induk Pegawai'!B:AE,12,FALSE),2)&amp;" Tahun "&amp;MID(VLOOKUP(F478,'Data Induk Pegawai'!B:AE,12,FALSE),5,4))</f>
        <v/>
      </c>
      <c r="S478" s="26" t="str">
        <f>IF(G478="","",VLOOKUP(F478,'Data Induk Pegawai'!B:AE,11,FALSE))</f>
        <v/>
      </c>
      <c r="T478" s="56"/>
      <c r="U478" s="18" t="str">
        <f t="shared" si="179"/>
        <v/>
      </c>
      <c r="V478" s="30"/>
      <c r="W478" s="18" t="str">
        <f t="shared" si="201"/>
        <v/>
      </c>
      <c r="Y478" t="str">
        <f t="shared" si="180"/>
        <v/>
      </c>
      <c r="Z478" t="str">
        <f t="shared" si="181"/>
        <v/>
      </c>
      <c r="AA478" t="str">
        <f t="shared" si="182"/>
        <v/>
      </c>
      <c r="AB478" t="str">
        <f>COUNTIFS(AC478:AC$596,AC478)&amp;AC478</f>
        <v>119</v>
      </c>
      <c r="AC478" t="str">
        <f t="shared" si="198"/>
        <v/>
      </c>
      <c r="AD478" t="str">
        <f>COUNTIFS(AC$2:AC478,AC478)&amp;AC478</f>
        <v>477</v>
      </c>
      <c r="AE478" t="str">
        <f t="shared" si="183"/>
        <v/>
      </c>
      <c r="AF478" t="str">
        <f t="shared" si="199"/>
        <v>..</v>
      </c>
      <c r="AG478" s="28" t="str">
        <f t="shared" si="202"/>
        <v/>
      </c>
      <c r="AH478" s="28" t="str">
        <f t="shared" si="184"/>
        <v/>
      </c>
      <c r="AI478" t="str">
        <f t="shared" si="185"/>
        <v/>
      </c>
      <c r="AJ478" t="str">
        <f t="shared" si="186"/>
        <v/>
      </c>
      <c r="AK478" t="str">
        <f t="shared" si="187"/>
        <v/>
      </c>
      <c r="AL478" t="str">
        <f t="shared" si="188"/>
        <v/>
      </c>
      <c r="AM478" t="str">
        <f t="shared" si="189"/>
        <v/>
      </c>
      <c r="AN478" t="str">
        <f t="shared" si="190"/>
        <v/>
      </c>
      <c r="AO478" t="str">
        <f t="shared" si="191"/>
        <v/>
      </c>
      <c r="AP478" t="str">
        <f t="shared" si="192"/>
        <v/>
      </c>
      <c r="AQ478" t="str">
        <f t="shared" si="193"/>
        <v/>
      </c>
      <c r="AR478" t="str">
        <f t="shared" si="194"/>
        <v/>
      </c>
      <c r="AS478" t="str">
        <f t="shared" si="195"/>
        <v/>
      </c>
      <c r="AT478" t="str">
        <f t="shared" si="196"/>
        <v/>
      </c>
      <c r="AU478" s="25" t="str">
        <f t="shared" si="200"/>
        <v/>
      </c>
      <c r="BA478">
        <f>'REGISTER SK'!F481</f>
        <v>0</v>
      </c>
    </row>
    <row r="479" spans="1:53" x14ac:dyDescent="0.35">
      <c r="A479" s="18">
        <v>478</v>
      </c>
      <c r="B479" s="18"/>
      <c r="C479" s="18" t="str">
        <f>IF(G479="","",IF(G479="Umum",G479,VLOOKUP(F479,'Data Induk Pegawai'!B:AE,4,FALSE)))</f>
        <v/>
      </c>
      <c r="D479" s="19" t="str">
        <f>IF('REGISTER SK'!A482="","",IF('REGISTER SK'!B482=0,D478,'REGISTER SK'!B482))</f>
        <v/>
      </c>
      <c r="E479" s="19" t="str">
        <f t="shared" si="197"/>
        <v/>
      </c>
      <c r="F479" s="29"/>
      <c r="G479" s="29"/>
      <c r="H479" s="31" t="str">
        <f>IF(F479="","",VLOOKUP(F479,'Data Induk Pegawai'!B:U,2,FALSE))</f>
        <v/>
      </c>
      <c r="I479" s="19" t="str">
        <f>IF('REGISTER SK'!C482="","",'REGISTER SK'!C482)</f>
        <v/>
      </c>
      <c r="J479" s="125"/>
      <c r="K479" s="125"/>
      <c r="L479" s="26" t="str">
        <f>IF('REGISTER SK'!D482="","",'REGISTER SK'!D482)</f>
        <v/>
      </c>
      <c r="M479" s="26" t="str">
        <f>IF('REGISTER SK'!E482="","",'REGISTER SK'!E482)</f>
        <v/>
      </c>
      <c r="N479" s="31" t="str">
        <f>IF(G479="","",IF(OR(G479="GTT",G479="PTT"),"--",VLOOKUP(F479,'Data Induk Pegawai'!B:AE,4,FALSE)))</f>
        <v/>
      </c>
      <c r="O479" s="18" t="str">
        <f>IF(G479="","",VLOOKUP(F479,'Data Induk Pegawai'!B:AE,6,FALSE))</f>
        <v/>
      </c>
      <c r="P479" s="31" t="str">
        <f>IF(G479="","",VLOOKUP(F479,'Data Induk Pegawai'!B:AE,7,FALSE))</f>
        <v/>
      </c>
      <c r="Q479" s="30"/>
      <c r="R479" s="26" t="str">
        <f>IF(G479="","","Nomor "&amp;RIGHT(VLOOKUP(F479,'Data Induk Pegawai'!B:AE,12,FALSE),2)&amp;" Tahun "&amp;MID(VLOOKUP(F479,'Data Induk Pegawai'!B:AE,12,FALSE),5,4))</f>
        <v/>
      </c>
      <c r="S479" s="26" t="str">
        <f>IF(G479="","",VLOOKUP(F479,'Data Induk Pegawai'!B:AE,11,FALSE))</f>
        <v/>
      </c>
      <c r="T479" s="56"/>
      <c r="U479" s="18" t="str">
        <f t="shared" si="179"/>
        <v/>
      </c>
      <c r="V479" s="30"/>
      <c r="W479" s="18" t="str">
        <f t="shared" si="201"/>
        <v/>
      </c>
      <c r="Y479" t="str">
        <f t="shared" si="180"/>
        <v/>
      </c>
      <c r="Z479" t="str">
        <f t="shared" si="181"/>
        <v/>
      </c>
      <c r="AA479" t="str">
        <f t="shared" si="182"/>
        <v/>
      </c>
      <c r="AB479" t="str">
        <f>COUNTIFS(AC479:AC$596,AC479)&amp;AC479</f>
        <v>118</v>
      </c>
      <c r="AC479" t="str">
        <f t="shared" si="198"/>
        <v/>
      </c>
      <c r="AD479" t="str">
        <f>COUNTIFS(AC$2:AC479,AC479)&amp;AC479</f>
        <v>478</v>
      </c>
      <c r="AE479" t="str">
        <f t="shared" si="183"/>
        <v/>
      </c>
      <c r="AF479" t="str">
        <f t="shared" si="199"/>
        <v>..</v>
      </c>
      <c r="AG479" s="28" t="str">
        <f t="shared" si="202"/>
        <v/>
      </c>
      <c r="AH479" s="28" t="str">
        <f t="shared" si="184"/>
        <v/>
      </c>
      <c r="AI479" t="str">
        <f t="shared" si="185"/>
        <v/>
      </c>
      <c r="AJ479" t="str">
        <f t="shared" si="186"/>
        <v/>
      </c>
      <c r="AK479" t="str">
        <f t="shared" si="187"/>
        <v/>
      </c>
      <c r="AL479" t="str">
        <f t="shared" si="188"/>
        <v/>
      </c>
      <c r="AM479" t="str">
        <f t="shared" si="189"/>
        <v/>
      </c>
      <c r="AN479" t="str">
        <f t="shared" si="190"/>
        <v/>
      </c>
      <c r="AO479" t="str">
        <f t="shared" si="191"/>
        <v/>
      </c>
      <c r="AP479" t="str">
        <f t="shared" si="192"/>
        <v/>
      </c>
      <c r="AQ479" t="str">
        <f t="shared" si="193"/>
        <v/>
      </c>
      <c r="AR479" t="str">
        <f t="shared" si="194"/>
        <v/>
      </c>
      <c r="AS479" t="str">
        <f t="shared" si="195"/>
        <v/>
      </c>
      <c r="AT479" t="str">
        <f t="shared" si="196"/>
        <v/>
      </c>
      <c r="AU479" s="25" t="str">
        <f t="shared" si="200"/>
        <v/>
      </c>
      <c r="BA479">
        <f>'REGISTER SK'!F482</f>
        <v>0</v>
      </c>
    </row>
    <row r="480" spans="1:53" x14ac:dyDescent="0.35">
      <c r="A480" s="18">
        <v>479</v>
      </c>
      <c r="B480" s="18"/>
      <c r="C480" s="18" t="str">
        <f>IF(G480="","",IF(G480="Umum",G480,VLOOKUP(F480,'Data Induk Pegawai'!B:AE,4,FALSE)))</f>
        <v/>
      </c>
      <c r="D480" s="19" t="str">
        <f>IF('REGISTER SK'!A483="","",IF('REGISTER SK'!B483=0,D479,'REGISTER SK'!B483))</f>
        <v/>
      </c>
      <c r="E480" s="19" t="str">
        <f t="shared" si="197"/>
        <v/>
      </c>
      <c r="F480" s="29"/>
      <c r="G480" s="29"/>
      <c r="H480" s="31" t="str">
        <f>IF(F480="","",VLOOKUP(F480,'Data Induk Pegawai'!B:U,2,FALSE))</f>
        <v/>
      </c>
      <c r="I480" s="19" t="str">
        <f>IF('REGISTER SK'!C483="","",'REGISTER SK'!C483)</f>
        <v/>
      </c>
      <c r="J480" s="125"/>
      <c r="K480" s="125"/>
      <c r="L480" s="26" t="str">
        <f>IF('REGISTER SK'!D483="","",'REGISTER SK'!D483)</f>
        <v/>
      </c>
      <c r="M480" s="26" t="str">
        <f>IF('REGISTER SK'!E483="","",'REGISTER SK'!E483)</f>
        <v/>
      </c>
      <c r="N480" s="31" t="str">
        <f>IF(G480="","",IF(OR(G480="GTT",G480="PTT"),"--",VLOOKUP(F480,'Data Induk Pegawai'!B:AE,4,FALSE)))</f>
        <v/>
      </c>
      <c r="O480" s="18" t="str">
        <f>IF(G480="","",VLOOKUP(F480,'Data Induk Pegawai'!B:AE,6,FALSE))</f>
        <v/>
      </c>
      <c r="P480" s="31" t="str">
        <f>IF(G480="","",VLOOKUP(F480,'Data Induk Pegawai'!B:AE,7,FALSE))</f>
        <v/>
      </c>
      <c r="Q480" s="30"/>
      <c r="R480" s="26" t="str">
        <f>IF(G480="","","Nomor "&amp;RIGHT(VLOOKUP(F480,'Data Induk Pegawai'!B:AE,12,FALSE),2)&amp;" Tahun "&amp;MID(VLOOKUP(F480,'Data Induk Pegawai'!B:AE,12,FALSE),5,4))</f>
        <v/>
      </c>
      <c r="S480" s="26" t="str">
        <f>IF(G480="","",VLOOKUP(F480,'Data Induk Pegawai'!B:AE,11,FALSE))</f>
        <v/>
      </c>
      <c r="T480" s="56"/>
      <c r="U480" s="18" t="str">
        <f t="shared" si="179"/>
        <v/>
      </c>
      <c r="V480" s="30"/>
      <c r="W480" s="18" t="str">
        <f t="shared" si="201"/>
        <v/>
      </c>
      <c r="Y480" t="str">
        <f t="shared" si="180"/>
        <v/>
      </c>
      <c r="Z480" t="str">
        <f t="shared" si="181"/>
        <v/>
      </c>
      <c r="AA480" t="str">
        <f t="shared" si="182"/>
        <v/>
      </c>
      <c r="AB480" t="str">
        <f>COUNTIFS(AC480:AC$596,AC480)&amp;AC480</f>
        <v>117</v>
      </c>
      <c r="AC480" t="str">
        <f t="shared" si="198"/>
        <v/>
      </c>
      <c r="AD480" t="str">
        <f>COUNTIFS(AC$2:AC480,AC480)&amp;AC480</f>
        <v>479</v>
      </c>
      <c r="AE480" t="str">
        <f t="shared" si="183"/>
        <v/>
      </c>
      <c r="AF480" t="str">
        <f t="shared" si="199"/>
        <v>..</v>
      </c>
      <c r="AG480" s="28" t="str">
        <f t="shared" si="202"/>
        <v/>
      </c>
      <c r="AH480" s="28" t="str">
        <f t="shared" si="184"/>
        <v/>
      </c>
      <c r="AI480" t="str">
        <f t="shared" si="185"/>
        <v/>
      </c>
      <c r="AJ480" t="str">
        <f t="shared" si="186"/>
        <v/>
      </c>
      <c r="AK480" t="str">
        <f t="shared" si="187"/>
        <v/>
      </c>
      <c r="AL480" t="str">
        <f t="shared" si="188"/>
        <v/>
      </c>
      <c r="AM480" t="str">
        <f t="shared" si="189"/>
        <v/>
      </c>
      <c r="AN480" t="str">
        <f t="shared" si="190"/>
        <v/>
      </c>
      <c r="AO480" t="str">
        <f t="shared" si="191"/>
        <v/>
      </c>
      <c r="AP480" t="str">
        <f t="shared" si="192"/>
        <v/>
      </c>
      <c r="AQ480" t="str">
        <f t="shared" si="193"/>
        <v/>
      </c>
      <c r="AR480" t="str">
        <f t="shared" si="194"/>
        <v/>
      </c>
      <c r="AS480" t="str">
        <f t="shared" si="195"/>
        <v/>
      </c>
      <c r="AT480" t="str">
        <f t="shared" si="196"/>
        <v/>
      </c>
      <c r="AU480" s="25" t="str">
        <f t="shared" si="200"/>
        <v/>
      </c>
      <c r="BA480">
        <f>'REGISTER SK'!F483</f>
        <v>0</v>
      </c>
    </row>
    <row r="481" spans="1:53" x14ac:dyDescent="0.35">
      <c r="A481" s="18">
        <v>480</v>
      </c>
      <c r="B481" s="18"/>
      <c r="C481" s="18" t="str">
        <f>IF(G481="","",IF(G481="Umum",G481,VLOOKUP(F481,'Data Induk Pegawai'!B:AE,4,FALSE)))</f>
        <v/>
      </c>
      <c r="D481" s="19" t="str">
        <f>IF('REGISTER SK'!A484="","",IF('REGISTER SK'!B484=0,D480,'REGISTER SK'!B484))</f>
        <v/>
      </c>
      <c r="E481" s="19" t="str">
        <f t="shared" si="197"/>
        <v/>
      </c>
      <c r="F481" s="29"/>
      <c r="G481" s="29"/>
      <c r="H481" s="31" t="str">
        <f>IF(F481="","",VLOOKUP(F481,'Data Induk Pegawai'!B:U,2,FALSE))</f>
        <v/>
      </c>
      <c r="I481" s="19" t="str">
        <f>IF('REGISTER SK'!C484="","",'REGISTER SK'!C484)</f>
        <v/>
      </c>
      <c r="J481" s="125"/>
      <c r="K481" s="125"/>
      <c r="L481" s="26" t="str">
        <f>IF('REGISTER SK'!D484="","",'REGISTER SK'!D484)</f>
        <v/>
      </c>
      <c r="M481" s="26" t="str">
        <f>IF('REGISTER SK'!E484="","",'REGISTER SK'!E484)</f>
        <v/>
      </c>
      <c r="N481" s="31" t="str">
        <f>IF(G481="","",IF(OR(G481="GTT",G481="PTT"),"--",VLOOKUP(F481,'Data Induk Pegawai'!B:AE,4,FALSE)))</f>
        <v/>
      </c>
      <c r="O481" s="18" t="str">
        <f>IF(G481="","",VLOOKUP(F481,'Data Induk Pegawai'!B:AE,6,FALSE))</f>
        <v/>
      </c>
      <c r="P481" s="31" t="str">
        <f>IF(G481="","",VLOOKUP(F481,'Data Induk Pegawai'!B:AE,7,FALSE))</f>
        <v/>
      </c>
      <c r="Q481" s="30"/>
      <c r="R481" s="26" t="str">
        <f>IF(G481="","","Nomor "&amp;RIGHT(VLOOKUP(F481,'Data Induk Pegawai'!B:AE,12,FALSE),2)&amp;" Tahun "&amp;MID(VLOOKUP(F481,'Data Induk Pegawai'!B:AE,12,FALSE),5,4))</f>
        <v/>
      </c>
      <c r="S481" s="26" t="str">
        <f>IF(G481="","",VLOOKUP(F481,'Data Induk Pegawai'!B:AE,11,FALSE))</f>
        <v/>
      </c>
      <c r="T481" s="56"/>
      <c r="U481" s="18" t="str">
        <f t="shared" si="179"/>
        <v/>
      </c>
      <c r="V481" s="30"/>
      <c r="W481" s="18" t="str">
        <f t="shared" si="201"/>
        <v/>
      </c>
      <c r="Y481" t="str">
        <f t="shared" si="180"/>
        <v/>
      </c>
      <c r="Z481" t="str">
        <f t="shared" si="181"/>
        <v/>
      </c>
      <c r="AA481" t="str">
        <f t="shared" si="182"/>
        <v/>
      </c>
      <c r="AB481" t="str">
        <f>COUNTIFS(AC481:AC$596,AC481)&amp;AC481</f>
        <v>116</v>
      </c>
      <c r="AC481" t="str">
        <f t="shared" si="198"/>
        <v/>
      </c>
      <c r="AD481" t="str">
        <f>COUNTIFS(AC$2:AC481,AC481)&amp;AC481</f>
        <v>480</v>
      </c>
      <c r="AE481" t="str">
        <f t="shared" si="183"/>
        <v/>
      </c>
      <c r="AF481" t="str">
        <f t="shared" si="199"/>
        <v>..</v>
      </c>
      <c r="AG481" s="28" t="str">
        <f t="shared" si="202"/>
        <v/>
      </c>
      <c r="AH481" s="28" t="str">
        <f t="shared" si="184"/>
        <v/>
      </c>
      <c r="AI481" t="str">
        <f t="shared" si="185"/>
        <v/>
      </c>
      <c r="AJ481" t="str">
        <f t="shared" si="186"/>
        <v/>
      </c>
      <c r="AK481" t="str">
        <f t="shared" si="187"/>
        <v/>
      </c>
      <c r="AL481" t="str">
        <f t="shared" si="188"/>
        <v/>
      </c>
      <c r="AM481" t="str">
        <f t="shared" si="189"/>
        <v/>
      </c>
      <c r="AN481" t="str">
        <f t="shared" si="190"/>
        <v/>
      </c>
      <c r="AO481" t="str">
        <f t="shared" si="191"/>
        <v/>
      </c>
      <c r="AP481" t="str">
        <f t="shared" si="192"/>
        <v/>
      </c>
      <c r="AQ481" t="str">
        <f t="shared" si="193"/>
        <v/>
      </c>
      <c r="AR481" t="str">
        <f t="shared" si="194"/>
        <v/>
      </c>
      <c r="AS481" t="str">
        <f t="shared" si="195"/>
        <v/>
      </c>
      <c r="AT481" t="str">
        <f t="shared" si="196"/>
        <v/>
      </c>
      <c r="AU481" s="25" t="str">
        <f t="shared" si="200"/>
        <v/>
      </c>
      <c r="BA481">
        <f>'REGISTER SK'!F484</f>
        <v>0</v>
      </c>
    </row>
    <row r="482" spans="1:53" x14ac:dyDescent="0.35">
      <c r="A482" s="18">
        <v>481</v>
      </c>
      <c r="B482" s="18"/>
      <c r="C482" s="18" t="str">
        <f>IF(G482="","",IF(G482="Umum",G482,VLOOKUP(F482,'Data Induk Pegawai'!B:AE,4,FALSE)))</f>
        <v/>
      </c>
      <c r="D482" s="19" t="str">
        <f>IF('REGISTER SK'!A485="","",IF('REGISTER SK'!B485=0,D481,'REGISTER SK'!B485))</f>
        <v/>
      </c>
      <c r="E482" s="19" t="str">
        <f t="shared" si="197"/>
        <v/>
      </c>
      <c r="F482" s="29"/>
      <c r="G482" s="29"/>
      <c r="H482" s="31" t="str">
        <f>IF(F482="","",VLOOKUP(F482,'Data Induk Pegawai'!B:U,2,FALSE))</f>
        <v/>
      </c>
      <c r="I482" s="19" t="str">
        <f>IF('REGISTER SK'!C485="","",'REGISTER SK'!C485)</f>
        <v/>
      </c>
      <c r="J482" s="125"/>
      <c r="K482" s="125"/>
      <c r="L482" s="26" t="str">
        <f>IF('REGISTER SK'!D485="","",'REGISTER SK'!D485)</f>
        <v/>
      </c>
      <c r="M482" s="26" t="str">
        <f>IF('REGISTER SK'!E485="","",'REGISTER SK'!E485)</f>
        <v/>
      </c>
      <c r="N482" s="31" t="str">
        <f>IF(G482="","",IF(OR(G482="GTT",G482="PTT"),"--",VLOOKUP(F482,'Data Induk Pegawai'!B:AE,4,FALSE)))</f>
        <v/>
      </c>
      <c r="O482" s="18" t="str">
        <f>IF(G482="","",VLOOKUP(F482,'Data Induk Pegawai'!B:AE,6,FALSE))</f>
        <v/>
      </c>
      <c r="P482" s="31" t="str">
        <f>IF(G482="","",VLOOKUP(F482,'Data Induk Pegawai'!B:AE,7,FALSE))</f>
        <v/>
      </c>
      <c r="Q482" s="30"/>
      <c r="R482" s="26" t="str">
        <f>IF(G482="","","Nomor "&amp;RIGHT(VLOOKUP(F482,'Data Induk Pegawai'!B:AE,12,FALSE),2)&amp;" Tahun "&amp;MID(VLOOKUP(F482,'Data Induk Pegawai'!B:AE,12,FALSE),5,4))</f>
        <v/>
      </c>
      <c r="S482" s="26" t="str">
        <f>IF(G482="","",VLOOKUP(F482,'Data Induk Pegawai'!B:AE,11,FALSE))</f>
        <v/>
      </c>
      <c r="T482" s="56"/>
      <c r="U482" s="18" t="str">
        <f t="shared" si="179"/>
        <v/>
      </c>
      <c r="V482" s="30"/>
      <c r="W482" s="18" t="str">
        <f t="shared" si="201"/>
        <v/>
      </c>
      <c r="Y482" t="str">
        <f t="shared" si="180"/>
        <v/>
      </c>
      <c r="Z482" t="str">
        <f t="shared" si="181"/>
        <v/>
      </c>
      <c r="AA482" t="str">
        <f t="shared" si="182"/>
        <v/>
      </c>
      <c r="AB482" t="str">
        <f>COUNTIFS(AC482:AC$596,AC482)&amp;AC482</f>
        <v>115</v>
      </c>
      <c r="AC482" t="str">
        <f t="shared" si="198"/>
        <v/>
      </c>
      <c r="AD482" t="str">
        <f>COUNTIFS(AC$2:AC482,AC482)&amp;AC482</f>
        <v>481</v>
      </c>
      <c r="AE482" t="str">
        <f t="shared" si="183"/>
        <v/>
      </c>
      <c r="AF482" t="str">
        <f t="shared" si="199"/>
        <v>..</v>
      </c>
      <c r="AG482" s="28" t="str">
        <f t="shared" si="202"/>
        <v/>
      </c>
      <c r="AH482" s="28" t="str">
        <f t="shared" si="184"/>
        <v/>
      </c>
      <c r="AI482" t="str">
        <f t="shared" si="185"/>
        <v/>
      </c>
      <c r="AJ482" t="str">
        <f t="shared" si="186"/>
        <v/>
      </c>
      <c r="AK482" t="str">
        <f t="shared" si="187"/>
        <v/>
      </c>
      <c r="AL482" t="str">
        <f t="shared" si="188"/>
        <v/>
      </c>
      <c r="AM482" t="str">
        <f t="shared" si="189"/>
        <v/>
      </c>
      <c r="AN482" t="str">
        <f t="shared" si="190"/>
        <v/>
      </c>
      <c r="AO482" t="str">
        <f t="shared" si="191"/>
        <v/>
      </c>
      <c r="AP482" t="str">
        <f t="shared" si="192"/>
        <v/>
      </c>
      <c r="AQ482" t="str">
        <f t="shared" si="193"/>
        <v/>
      </c>
      <c r="AR482" t="str">
        <f t="shared" si="194"/>
        <v/>
      </c>
      <c r="AS482" t="str">
        <f t="shared" si="195"/>
        <v/>
      </c>
      <c r="AT482" t="str">
        <f t="shared" si="196"/>
        <v/>
      </c>
      <c r="AU482" s="25" t="str">
        <f t="shared" si="200"/>
        <v/>
      </c>
      <c r="BA482">
        <f>'REGISTER SK'!F485</f>
        <v>0</v>
      </c>
    </row>
    <row r="483" spans="1:53" x14ac:dyDescent="0.35">
      <c r="A483" s="18">
        <v>482</v>
      </c>
      <c r="B483" s="18"/>
      <c r="C483" s="18" t="str">
        <f>IF(G483="","",IF(G483="Umum",G483,VLOOKUP(F483,'Data Induk Pegawai'!B:AE,4,FALSE)))</f>
        <v/>
      </c>
      <c r="D483" s="19" t="str">
        <f>IF('REGISTER SK'!A486="","",IF('REGISTER SK'!B486=0,D482,'REGISTER SK'!B486))</f>
        <v/>
      </c>
      <c r="E483" s="19" t="str">
        <f t="shared" si="197"/>
        <v/>
      </c>
      <c r="F483" s="29"/>
      <c r="G483" s="29"/>
      <c r="H483" s="31" t="str">
        <f>IF(F483="","",VLOOKUP(F483,'Data Induk Pegawai'!B:U,2,FALSE))</f>
        <v/>
      </c>
      <c r="I483" s="19" t="str">
        <f>IF('REGISTER SK'!C486="","",'REGISTER SK'!C486)</f>
        <v/>
      </c>
      <c r="J483" s="125"/>
      <c r="K483" s="125"/>
      <c r="L483" s="26" t="str">
        <f>IF('REGISTER SK'!D486="","",'REGISTER SK'!D486)</f>
        <v/>
      </c>
      <c r="M483" s="26" t="str">
        <f>IF('REGISTER SK'!E486="","",'REGISTER SK'!E486)</f>
        <v/>
      </c>
      <c r="N483" s="31" t="str">
        <f>IF(G483="","",IF(OR(G483="GTT",G483="PTT"),"--",VLOOKUP(F483,'Data Induk Pegawai'!B:AE,4,FALSE)))</f>
        <v/>
      </c>
      <c r="O483" s="18" t="str">
        <f>IF(G483="","",VLOOKUP(F483,'Data Induk Pegawai'!B:AE,6,FALSE))</f>
        <v/>
      </c>
      <c r="P483" s="31" t="str">
        <f>IF(G483="","",VLOOKUP(F483,'Data Induk Pegawai'!B:AE,7,FALSE))</f>
        <v/>
      </c>
      <c r="Q483" s="30"/>
      <c r="R483" s="26" t="str">
        <f>IF(G483="","","Nomor "&amp;RIGHT(VLOOKUP(F483,'Data Induk Pegawai'!B:AE,12,FALSE),2)&amp;" Tahun "&amp;MID(VLOOKUP(F483,'Data Induk Pegawai'!B:AE,12,FALSE),5,4))</f>
        <v/>
      </c>
      <c r="S483" s="26" t="str">
        <f>IF(G483="","",VLOOKUP(F483,'Data Induk Pegawai'!B:AE,11,FALSE))</f>
        <v/>
      </c>
      <c r="T483" s="56"/>
      <c r="U483" s="18" t="str">
        <f t="shared" si="179"/>
        <v/>
      </c>
      <c r="V483" s="30"/>
      <c r="W483" s="18" t="str">
        <f t="shared" si="201"/>
        <v/>
      </c>
      <c r="Y483" t="str">
        <f t="shared" si="180"/>
        <v/>
      </c>
      <c r="Z483" t="str">
        <f t="shared" si="181"/>
        <v/>
      </c>
      <c r="AA483" t="str">
        <f t="shared" si="182"/>
        <v/>
      </c>
      <c r="AB483" t="str">
        <f>COUNTIFS(AC483:AC$596,AC483)&amp;AC483</f>
        <v>114</v>
      </c>
      <c r="AC483" t="str">
        <f t="shared" si="198"/>
        <v/>
      </c>
      <c r="AD483" t="str">
        <f>COUNTIFS(AC$2:AC483,AC483)&amp;AC483</f>
        <v>482</v>
      </c>
      <c r="AE483" t="str">
        <f t="shared" si="183"/>
        <v/>
      </c>
      <c r="AF483" t="str">
        <f t="shared" si="199"/>
        <v>..</v>
      </c>
      <c r="AG483" s="28" t="str">
        <f t="shared" si="202"/>
        <v/>
      </c>
      <c r="AH483" s="28" t="str">
        <f t="shared" si="184"/>
        <v/>
      </c>
      <c r="AI483" t="str">
        <f t="shared" si="185"/>
        <v/>
      </c>
      <c r="AJ483" t="str">
        <f t="shared" si="186"/>
        <v/>
      </c>
      <c r="AK483" t="str">
        <f t="shared" si="187"/>
        <v/>
      </c>
      <c r="AL483" t="str">
        <f t="shared" si="188"/>
        <v/>
      </c>
      <c r="AM483" t="str">
        <f t="shared" si="189"/>
        <v/>
      </c>
      <c r="AN483" t="str">
        <f t="shared" si="190"/>
        <v/>
      </c>
      <c r="AO483" t="str">
        <f t="shared" si="191"/>
        <v/>
      </c>
      <c r="AP483" t="str">
        <f t="shared" si="192"/>
        <v/>
      </c>
      <c r="AQ483" t="str">
        <f t="shared" si="193"/>
        <v/>
      </c>
      <c r="AR483" t="str">
        <f t="shared" si="194"/>
        <v/>
      </c>
      <c r="AS483" t="str">
        <f t="shared" si="195"/>
        <v/>
      </c>
      <c r="AT483" t="str">
        <f t="shared" si="196"/>
        <v/>
      </c>
      <c r="AU483" s="25" t="str">
        <f t="shared" si="200"/>
        <v/>
      </c>
      <c r="BA483">
        <f>'REGISTER SK'!F486</f>
        <v>0</v>
      </c>
    </row>
    <row r="484" spans="1:53" x14ac:dyDescent="0.35">
      <c r="A484" s="18">
        <v>483</v>
      </c>
      <c r="B484" s="18"/>
      <c r="C484" s="18" t="str">
        <f>IF(G484="","",IF(G484="Umum",G484,VLOOKUP(F484,'Data Induk Pegawai'!B:AE,4,FALSE)))</f>
        <v/>
      </c>
      <c r="D484" s="19" t="str">
        <f>IF('REGISTER SK'!A487="","",IF('REGISTER SK'!B487=0,D483,'REGISTER SK'!B487))</f>
        <v/>
      </c>
      <c r="E484" s="19" t="str">
        <f t="shared" si="197"/>
        <v/>
      </c>
      <c r="F484" s="29"/>
      <c r="G484" s="29"/>
      <c r="H484" s="31" t="str">
        <f>IF(F484="","",VLOOKUP(F484,'Data Induk Pegawai'!B:U,2,FALSE))</f>
        <v/>
      </c>
      <c r="I484" s="19" t="str">
        <f>IF('REGISTER SK'!C487="","",'REGISTER SK'!C487)</f>
        <v/>
      </c>
      <c r="J484" s="125"/>
      <c r="K484" s="125"/>
      <c r="L484" s="26" t="str">
        <f>IF('REGISTER SK'!D487="","",'REGISTER SK'!D487)</f>
        <v/>
      </c>
      <c r="M484" s="26" t="str">
        <f>IF('REGISTER SK'!E487="","",'REGISTER SK'!E487)</f>
        <v/>
      </c>
      <c r="N484" s="31" t="str">
        <f>IF(G484="","",IF(OR(G484="GTT",G484="PTT"),"--",VLOOKUP(F484,'Data Induk Pegawai'!B:AE,4,FALSE)))</f>
        <v/>
      </c>
      <c r="O484" s="18" t="str">
        <f>IF(G484="","",VLOOKUP(F484,'Data Induk Pegawai'!B:AE,6,FALSE))</f>
        <v/>
      </c>
      <c r="P484" s="31" t="str">
        <f>IF(G484="","",VLOOKUP(F484,'Data Induk Pegawai'!B:AE,7,FALSE))</f>
        <v/>
      </c>
      <c r="Q484" s="30"/>
      <c r="R484" s="26" t="str">
        <f>IF(G484="","","Nomor "&amp;RIGHT(VLOOKUP(F484,'Data Induk Pegawai'!B:AE,12,FALSE),2)&amp;" Tahun "&amp;MID(VLOOKUP(F484,'Data Induk Pegawai'!B:AE,12,FALSE),5,4))</f>
        <v/>
      </c>
      <c r="S484" s="26" t="str">
        <f>IF(G484="","",VLOOKUP(F484,'Data Induk Pegawai'!B:AE,11,FALSE))</f>
        <v/>
      </c>
      <c r="T484" s="56"/>
      <c r="U484" s="18" t="str">
        <f t="shared" si="179"/>
        <v/>
      </c>
      <c r="V484" s="30"/>
      <c r="W484" s="18" t="str">
        <f t="shared" si="201"/>
        <v/>
      </c>
      <c r="Y484" t="str">
        <f t="shared" si="180"/>
        <v/>
      </c>
      <c r="Z484" t="str">
        <f t="shared" si="181"/>
        <v/>
      </c>
      <c r="AA484" t="str">
        <f t="shared" si="182"/>
        <v/>
      </c>
      <c r="AB484" t="str">
        <f>COUNTIFS(AC484:AC$596,AC484)&amp;AC484</f>
        <v>113</v>
      </c>
      <c r="AC484" t="str">
        <f t="shared" si="198"/>
        <v/>
      </c>
      <c r="AD484" t="str">
        <f>COUNTIFS(AC$2:AC484,AC484)&amp;AC484</f>
        <v>483</v>
      </c>
      <c r="AE484" t="str">
        <f t="shared" si="183"/>
        <v/>
      </c>
      <c r="AF484" t="str">
        <f t="shared" si="199"/>
        <v>..</v>
      </c>
      <c r="AG484" s="28" t="str">
        <f t="shared" si="202"/>
        <v/>
      </c>
      <c r="AH484" s="28" t="str">
        <f t="shared" si="184"/>
        <v/>
      </c>
      <c r="AI484" t="str">
        <f t="shared" si="185"/>
        <v/>
      </c>
      <c r="AJ484" t="str">
        <f t="shared" si="186"/>
        <v/>
      </c>
      <c r="AK484" t="str">
        <f t="shared" si="187"/>
        <v/>
      </c>
      <c r="AL484" t="str">
        <f t="shared" si="188"/>
        <v/>
      </c>
      <c r="AM484" t="str">
        <f t="shared" si="189"/>
        <v/>
      </c>
      <c r="AN484" t="str">
        <f t="shared" si="190"/>
        <v/>
      </c>
      <c r="AO484" t="str">
        <f t="shared" si="191"/>
        <v/>
      </c>
      <c r="AP484" t="str">
        <f t="shared" si="192"/>
        <v/>
      </c>
      <c r="AQ484" t="str">
        <f t="shared" si="193"/>
        <v/>
      </c>
      <c r="AR484" t="str">
        <f t="shared" si="194"/>
        <v/>
      </c>
      <c r="AS484" t="str">
        <f t="shared" si="195"/>
        <v/>
      </c>
      <c r="AT484" t="str">
        <f t="shared" si="196"/>
        <v/>
      </c>
      <c r="AU484" s="25" t="str">
        <f t="shared" si="200"/>
        <v/>
      </c>
      <c r="BA484">
        <f>'REGISTER SK'!F487</f>
        <v>0</v>
      </c>
    </row>
    <row r="485" spans="1:53" x14ac:dyDescent="0.35">
      <c r="A485" s="18">
        <v>484</v>
      </c>
      <c r="B485" s="18"/>
      <c r="C485" s="18" t="str">
        <f>IF(G485="","",IF(G485="Umum",G485,VLOOKUP(F485,'Data Induk Pegawai'!B:AE,4,FALSE)))</f>
        <v/>
      </c>
      <c r="D485" s="19" t="str">
        <f>IF('REGISTER SK'!A488="","",IF('REGISTER SK'!B488=0,D484,'REGISTER SK'!B488))</f>
        <v/>
      </c>
      <c r="E485" s="19" t="str">
        <f t="shared" si="197"/>
        <v/>
      </c>
      <c r="F485" s="29"/>
      <c r="G485" s="29"/>
      <c r="H485" s="31" t="str">
        <f>IF(F485="","",VLOOKUP(F485,'Data Induk Pegawai'!B:U,2,FALSE))</f>
        <v/>
      </c>
      <c r="I485" s="19" t="str">
        <f>IF('REGISTER SK'!C488="","",'REGISTER SK'!C488)</f>
        <v/>
      </c>
      <c r="J485" s="125"/>
      <c r="K485" s="125"/>
      <c r="L485" s="26" t="str">
        <f>IF('REGISTER SK'!D488="","",'REGISTER SK'!D488)</f>
        <v/>
      </c>
      <c r="M485" s="26" t="str">
        <f>IF('REGISTER SK'!E488="","",'REGISTER SK'!E488)</f>
        <v/>
      </c>
      <c r="N485" s="31" t="str">
        <f>IF(G485="","",IF(OR(G485="GTT",G485="PTT"),"--",VLOOKUP(F485,'Data Induk Pegawai'!B:AE,4,FALSE)))</f>
        <v/>
      </c>
      <c r="O485" s="18" t="str">
        <f>IF(G485="","",VLOOKUP(F485,'Data Induk Pegawai'!B:AE,6,FALSE))</f>
        <v/>
      </c>
      <c r="P485" s="31" t="str">
        <f>IF(G485="","",VLOOKUP(F485,'Data Induk Pegawai'!B:AE,7,FALSE))</f>
        <v/>
      </c>
      <c r="Q485" s="30"/>
      <c r="R485" s="26" t="str">
        <f>IF(G485="","","Nomor "&amp;RIGHT(VLOOKUP(F485,'Data Induk Pegawai'!B:AE,12,FALSE),2)&amp;" Tahun "&amp;MID(VLOOKUP(F485,'Data Induk Pegawai'!B:AE,12,FALSE),5,4))</f>
        <v/>
      </c>
      <c r="S485" s="26" t="str">
        <f>IF(G485="","",VLOOKUP(F485,'Data Induk Pegawai'!B:AE,11,FALSE))</f>
        <v/>
      </c>
      <c r="T485" s="56"/>
      <c r="U485" s="18" t="str">
        <f t="shared" si="179"/>
        <v/>
      </c>
      <c r="V485" s="30"/>
      <c r="W485" s="18" t="str">
        <f t="shared" si="201"/>
        <v/>
      </c>
      <c r="Y485" t="str">
        <f t="shared" si="180"/>
        <v/>
      </c>
      <c r="Z485" t="str">
        <f t="shared" si="181"/>
        <v/>
      </c>
      <c r="AA485" t="str">
        <f t="shared" si="182"/>
        <v/>
      </c>
      <c r="AB485" t="str">
        <f>COUNTIFS(AC485:AC$596,AC485)&amp;AC485</f>
        <v>112</v>
      </c>
      <c r="AC485" t="str">
        <f t="shared" si="198"/>
        <v/>
      </c>
      <c r="AD485" t="str">
        <f>COUNTIFS(AC$2:AC485,AC485)&amp;AC485</f>
        <v>484</v>
      </c>
      <c r="AE485" t="str">
        <f t="shared" si="183"/>
        <v/>
      </c>
      <c r="AF485" t="str">
        <f t="shared" si="199"/>
        <v>..</v>
      </c>
      <c r="AG485" s="28" t="str">
        <f t="shared" si="202"/>
        <v/>
      </c>
      <c r="AH485" s="28" t="str">
        <f t="shared" si="184"/>
        <v/>
      </c>
      <c r="AI485" t="str">
        <f t="shared" si="185"/>
        <v/>
      </c>
      <c r="AJ485" t="str">
        <f t="shared" si="186"/>
        <v/>
      </c>
      <c r="AK485" t="str">
        <f t="shared" si="187"/>
        <v/>
      </c>
      <c r="AL485" t="str">
        <f t="shared" si="188"/>
        <v/>
      </c>
      <c r="AM485" t="str">
        <f t="shared" si="189"/>
        <v/>
      </c>
      <c r="AN485" t="str">
        <f t="shared" si="190"/>
        <v/>
      </c>
      <c r="AO485" t="str">
        <f t="shared" si="191"/>
        <v/>
      </c>
      <c r="AP485" t="str">
        <f t="shared" si="192"/>
        <v/>
      </c>
      <c r="AQ485" t="str">
        <f t="shared" si="193"/>
        <v/>
      </c>
      <c r="AR485" t="str">
        <f t="shared" si="194"/>
        <v/>
      </c>
      <c r="AS485" t="str">
        <f t="shared" si="195"/>
        <v/>
      </c>
      <c r="AT485" t="str">
        <f t="shared" si="196"/>
        <v/>
      </c>
      <c r="AU485" s="25" t="str">
        <f t="shared" si="200"/>
        <v/>
      </c>
      <c r="BA485">
        <f>'REGISTER SK'!F488</f>
        <v>0</v>
      </c>
    </row>
    <row r="486" spans="1:53" x14ac:dyDescent="0.35">
      <c r="A486" s="18">
        <v>485</v>
      </c>
      <c r="B486" s="18"/>
      <c r="C486" s="18" t="str">
        <f>IF(G486="","",IF(G486="Umum",G486,VLOOKUP(F486,'Data Induk Pegawai'!B:AE,4,FALSE)))</f>
        <v/>
      </c>
      <c r="D486" s="19" t="str">
        <f>IF('REGISTER SK'!A489="","",IF('REGISTER SK'!B489=0,D485,'REGISTER SK'!B489))</f>
        <v/>
      </c>
      <c r="E486" s="19" t="str">
        <f t="shared" si="197"/>
        <v/>
      </c>
      <c r="F486" s="29"/>
      <c r="G486" s="29"/>
      <c r="H486" s="31" t="str">
        <f>IF(F486="","",VLOOKUP(F486,'Data Induk Pegawai'!B:U,2,FALSE))</f>
        <v/>
      </c>
      <c r="I486" s="19" t="str">
        <f>IF('REGISTER SK'!C489="","",'REGISTER SK'!C489)</f>
        <v/>
      </c>
      <c r="J486" s="125"/>
      <c r="K486" s="125"/>
      <c r="L486" s="26" t="str">
        <f>IF('REGISTER SK'!D489="","",'REGISTER SK'!D489)</f>
        <v/>
      </c>
      <c r="M486" s="26" t="str">
        <f>IF('REGISTER SK'!E489="","",'REGISTER SK'!E489)</f>
        <v/>
      </c>
      <c r="N486" s="31" t="str">
        <f>IF(G486="","",IF(OR(G486="GTT",G486="PTT"),"--",VLOOKUP(F486,'Data Induk Pegawai'!B:AE,4,FALSE)))</f>
        <v/>
      </c>
      <c r="O486" s="18" t="str">
        <f>IF(G486="","",VLOOKUP(F486,'Data Induk Pegawai'!B:AE,6,FALSE))</f>
        <v/>
      </c>
      <c r="P486" s="31" t="str">
        <f>IF(G486="","",VLOOKUP(F486,'Data Induk Pegawai'!B:AE,7,FALSE))</f>
        <v/>
      </c>
      <c r="Q486" s="30"/>
      <c r="R486" s="26" t="str">
        <f>IF(G486="","","Nomor "&amp;RIGHT(VLOOKUP(F486,'Data Induk Pegawai'!B:AE,12,FALSE),2)&amp;" Tahun "&amp;MID(VLOOKUP(F486,'Data Induk Pegawai'!B:AE,12,FALSE),5,4))</f>
        <v/>
      </c>
      <c r="S486" s="26" t="str">
        <f>IF(G486="","",VLOOKUP(F486,'Data Induk Pegawai'!B:AE,11,FALSE))</f>
        <v/>
      </c>
      <c r="T486" s="56"/>
      <c r="U486" s="18" t="str">
        <f t="shared" si="179"/>
        <v/>
      </c>
      <c r="V486" s="30"/>
      <c r="W486" s="18" t="str">
        <f t="shared" si="201"/>
        <v/>
      </c>
      <c r="Y486" t="str">
        <f t="shared" si="180"/>
        <v/>
      </c>
      <c r="Z486" t="str">
        <f t="shared" si="181"/>
        <v/>
      </c>
      <c r="AA486" t="str">
        <f t="shared" si="182"/>
        <v/>
      </c>
      <c r="AB486" t="str">
        <f>COUNTIFS(AC486:AC$596,AC486)&amp;AC486</f>
        <v>111</v>
      </c>
      <c r="AC486" t="str">
        <f t="shared" si="198"/>
        <v/>
      </c>
      <c r="AD486" t="str">
        <f>COUNTIFS(AC$2:AC486,AC486)&amp;AC486</f>
        <v>485</v>
      </c>
      <c r="AE486" t="str">
        <f t="shared" si="183"/>
        <v/>
      </c>
      <c r="AF486" t="str">
        <f t="shared" si="199"/>
        <v>..</v>
      </c>
      <c r="AG486" s="28" t="str">
        <f t="shared" si="202"/>
        <v/>
      </c>
      <c r="AH486" s="28" t="str">
        <f t="shared" si="184"/>
        <v/>
      </c>
      <c r="AI486" t="str">
        <f t="shared" si="185"/>
        <v/>
      </c>
      <c r="AJ486" t="str">
        <f t="shared" si="186"/>
        <v/>
      </c>
      <c r="AK486" t="str">
        <f t="shared" si="187"/>
        <v/>
      </c>
      <c r="AL486" t="str">
        <f t="shared" si="188"/>
        <v/>
      </c>
      <c r="AM486" t="str">
        <f t="shared" si="189"/>
        <v/>
      </c>
      <c r="AN486" t="str">
        <f t="shared" si="190"/>
        <v/>
      </c>
      <c r="AO486" t="str">
        <f t="shared" si="191"/>
        <v/>
      </c>
      <c r="AP486" t="str">
        <f t="shared" si="192"/>
        <v/>
      </c>
      <c r="AQ486" t="str">
        <f t="shared" si="193"/>
        <v/>
      </c>
      <c r="AR486" t="str">
        <f t="shared" si="194"/>
        <v/>
      </c>
      <c r="AS486" t="str">
        <f t="shared" si="195"/>
        <v/>
      </c>
      <c r="AT486" t="str">
        <f t="shared" si="196"/>
        <v/>
      </c>
      <c r="AU486" s="25" t="str">
        <f t="shared" si="200"/>
        <v/>
      </c>
      <c r="BA486">
        <f>'REGISTER SK'!F489</f>
        <v>0</v>
      </c>
    </row>
    <row r="487" spans="1:53" x14ac:dyDescent="0.35">
      <c r="A487" s="18">
        <v>486</v>
      </c>
      <c r="B487" s="18"/>
      <c r="C487" s="18" t="str">
        <f>IF(G487="","",IF(G487="Umum",G487,VLOOKUP(F487,'Data Induk Pegawai'!B:AE,4,FALSE)))</f>
        <v/>
      </c>
      <c r="D487" s="19" t="str">
        <f>IF('REGISTER SK'!A490="","",IF('REGISTER SK'!B490=0,D486,'REGISTER SK'!B490))</f>
        <v/>
      </c>
      <c r="E487" s="19" t="str">
        <f t="shared" si="197"/>
        <v/>
      </c>
      <c r="F487" s="29"/>
      <c r="G487" s="29"/>
      <c r="H487" s="31" t="str">
        <f>IF(F487="","",VLOOKUP(F487,'Data Induk Pegawai'!B:U,2,FALSE))</f>
        <v/>
      </c>
      <c r="I487" s="19" t="str">
        <f>IF('REGISTER SK'!C490="","",'REGISTER SK'!C490)</f>
        <v/>
      </c>
      <c r="J487" s="125"/>
      <c r="K487" s="125"/>
      <c r="L487" s="26" t="str">
        <f>IF('REGISTER SK'!D490="","",'REGISTER SK'!D490)</f>
        <v/>
      </c>
      <c r="M487" s="26" t="str">
        <f>IF('REGISTER SK'!E490="","",'REGISTER SK'!E490)</f>
        <v/>
      </c>
      <c r="N487" s="31" t="str">
        <f>IF(G487="","",IF(OR(G487="GTT",G487="PTT"),"--",VLOOKUP(F487,'Data Induk Pegawai'!B:AE,4,FALSE)))</f>
        <v/>
      </c>
      <c r="O487" s="18" t="str">
        <f>IF(G487="","",VLOOKUP(F487,'Data Induk Pegawai'!B:AE,6,FALSE))</f>
        <v/>
      </c>
      <c r="P487" s="31" t="str">
        <f>IF(G487="","",VLOOKUP(F487,'Data Induk Pegawai'!B:AE,7,FALSE))</f>
        <v/>
      </c>
      <c r="Q487" s="30"/>
      <c r="R487" s="26" t="str">
        <f>IF(G487="","","Nomor "&amp;RIGHT(VLOOKUP(F487,'Data Induk Pegawai'!B:AE,12,FALSE),2)&amp;" Tahun "&amp;MID(VLOOKUP(F487,'Data Induk Pegawai'!B:AE,12,FALSE),5,4))</f>
        <v/>
      </c>
      <c r="S487" s="26" t="str">
        <f>IF(G487="","",VLOOKUP(F487,'Data Induk Pegawai'!B:AE,11,FALSE))</f>
        <v/>
      </c>
      <c r="T487" s="56"/>
      <c r="U487" s="18" t="str">
        <f t="shared" si="179"/>
        <v/>
      </c>
      <c r="V487" s="30"/>
      <c r="W487" s="18" t="str">
        <f t="shared" si="201"/>
        <v/>
      </c>
      <c r="Y487" t="str">
        <f t="shared" si="180"/>
        <v/>
      </c>
      <c r="Z487" t="str">
        <f t="shared" si="181"/>
        <v/>
      </c>
      <c r="AA487" t="str">
        <f t="shared" si="182"/>
        <v/>
      </c>
      <c r="AB487" t="str">
        <f>COUNTIFS(AC487:AC$596,AC487)&amp;AC487</f>
        <v>110</v>
      </c>
      <c r="AC487" t="str">
        <f t="shared" si="198"/>
        <v/>
      </c>
      <c r="AD487" t="str">
        <f>COUNTIFS(AC$2:AC487,AC487)&amp;AC487</f>
        <v>486</v>
      </c>
      <c r="AE487" t="str">
        <f t="shared" si="183"/>
        <v/>
      </c>
      <c r="AF487" t="str">
        <f t="shared" si="199"/>
        <v>..</v>
      </c>
      <c r="AG487" s="28" t="str">
        <f t="shared" si="202"/>
        <v/>
      </c>
      <c r="AH487" s="28" t="str">
        <f t="shared" si="184"/>
        <v/>
      </c>
      <c r="AI487" t="str">
        <f t="shared" si="185"/>
        <v/>
      </c>
      <c r="AJ487" t="str">
        <f t="shared" si="186"/>
        <v/>
      </c>
      <c r="AK487" t="str">
        <f t="shared" si="187"/>
        <v/>
      </c>
      <c r="AL487" t="str">
        <f t="shared" si="188"/>
        <v/>
      </c>
      <c r="AM487" t="str">
        <f t="shared" si="189"/>
        <v/>
      </c>
      <c r="AN487" t="str">
        <f t="shared" si="190"/>
        <v/>
      </c>
      <c r="AO487" t="str">
        <f t="shared" si="191"/>
        <v/>
      </c>
      <c r="AP487" t="str">
        <f t="shared" si="192"/>
        <v/>
      </c>
      <c r="AQ487" t="str">
        <f t="shared" si="193"/>
        <v/>
      </c>
      <c r="AR487" t="str">
        <f t="shared" si="194"/>
        <v/>
      </c>
      <c r="AS487" t="str">
        <f t="shared" si="195"/>
        <v/>
      </c>
      <c r="AT487" t="str">
        <f t="shared" si="196"/>
        <v/>
      </c>
      <c r="AU487" s="25" t="str">
        <f t="shared" si="200"/>
        <v/>
      </c>
      <c r="BA487">
        <f>'REGISTER SK'!F490</f>
        <v>0</v>
      </c>
    </row>
    <row r="488" spans="1:53" x14ac:dyDescent="0.35">
      <c r="A488" s="18">
        <v>487</v>
      </c>
      <c r="B488" s="18"/>
      <c r="C488" s="18" t="str">
        <f>IF(G488="","",IF(G488="Umum",G488,VLOOKUP(F488,'Data Induk Pegawai'!B:AE,4,FALSE)))</f>
        <v/>
      </c>
      <c r="D488" s="19" t="str">
        <f>IF('REGISTER SK'!A491="","",IF('REGISTER SK'!B491=0,D487,'REGISTER SK'!B491))</f>
        <v/>
      </c>
      <c r="E488" s="19" t="str">
        <f t="shared" si="197"/>
        <v/>
      </c>
      <c r="F488" s="29"/>
      <c r="G488" s="29"/>
      <c r="H488" s="31" t="str">
        <f>IF(F488="","",VLOOKUP(F488,'Data Induk Pegawai'!B:U,2,FALSE))</f>
        <v/>
      </c>
      <c r="I488" s="19" t="str">
        <f>IF('REGISTER SK'!C491="","",'REGISTER SK'!C491)</f>
        <v/>
      </c>
      <c r="J488" s="125"/>
      <c r="K488" s="125"/>
      <c r="L488" s="26" t="str">
        <f>IF('REGISTER SK'!D491="","",'REGISTER SK'!D491)</f>
        <v/>
      </c>
      <c r="M488" s="26" t="str">
        <f>IF('REGISTER SK'!E491="","",'REGISTER SK'!E491)</f>
        <v/>
      </c>
      <c r="N488" s="31" t="str">
        <f>IF(G488="","",IF(OR(G488="GTT",G488="PTT"),"--",VLOOKUP(F488,'Data Induk Pegawai'!B:AE,4,FALSE)))</f>
        <v/>
      </c>
      <c r="O488" s="18" t="str">
        <f>IF(G488="","",VLOOKUP(F488,'Data Induk Pegawai'!B:AE,6,FALSE))</f>
        <v/>
      </c>
      <c r="P488" s="31" t="str">
        <f>IF(G488="","",VLOOKUP(F488,'Data Induk Pegawai'!B:AE,7,FALSE))</f>
        <v/>
      </c>
      <c r="Q488" s="30"/>
      <c r="R488" s="26" t="str">
        <f>IF(G488="","","Nomor "&amp;RIGHT(VLOOKUP(F488,'Data Induk Pegawai'!B:AE,12,FALSE),2)&amp;" Tahun "&amp;MID(VLOOKUP(F488,'Data Induk Pegawai'!B:AE,12,FALSE),5,4))</f>
        <v/>
      </c>
      <c r="S488" s="26" t="str">
        <f>IF(G488="","",VLOOKUP(F488,'Data Induk Pegawai'!B:AE,11,FALSE))</f>
        <v/>
      </c>
      <c r="T488" s="56"/>
      <c r="U488" s="18" t="str">
        <f t="shared" si="179"/>
        <v/>
      </c>
      <c r="V488" s="30"/>
      <c r="W488" s="18" t="str">
        <f t="shared" si="201"/>
        <v/>
      </c>
      <c r="Y488" t="str">
        <f t="shared" si="180"/>
        <v/>
      </c>
      <c r="Z488" t="str">
        <f t="shared" si="181"/>
        <v/>
      </c>
      <c r="AA488" t="str">
        <f t="shared" si="182"/>
        <v/>
      </c>
      <c r="AB488" t="str">
        <f>COUNTIFS(AC488:AC$596,AC488)&amp;AC488</f>
        <v>109</v>
      </c>
      <c r="AC488" t="str">
        <f t="shared" si="198"/>
        <v/>
      </c>
      <c r="AD488" t="str">
        <f>COUNTIFS(AC$2:AC488,AC488)&amp;AC488</f>
        <v>487</v>
      </c>
      <c r="AE488" t="str">
        <f t="shared" si="183"/>
        <v/>
      </c>
      <c r="AF488" t="str">
        <f t="shared" si="199"/>
        <v>..</v>
      </c>
      <c r="AG488" s="28" t="str">
        <f t="shared" si="202"/>
        <v/>
      </c>
      <c r="AH488" s="28" t="str">
        <f t="shared" si="184"/>
        <v/>
      </c>
      <c r="AI488" t="str">
        <f t="shared" si="185"/>
        <v/>
      </c>
      <c r="AJ488" t="str">
        <f t="shared" si="186"/>
        <v/>
      </c>
      <c r="AK488" t="str">
        <f t="shared" si="187"/>
        <v/>
      </c>
      <c r="AL488" t="str">
        <f t="shared" si="188"/>
        <v/>
      </c>
      <c r="AM488" t="str">
        <f t="shared" si="189"/>
        <v/>
      </c>
      <c r="AN488" t="str">
        <f t="shared" si="190"/>
        <v/>
      </c>
      <c r="AO488" t="str">
        <f t="shared" si="191"/>
        <v/>
      </c>
      <c r="AP488" t="str">
        <f t="shared" si="192"/>
        <v/>
      </c>
      <c r="AQ488" t="str">
        <f t="shared" si="193"/>
        <v/>
      </c>
      <c r="AR488" t="str">
        <f t="shared" si="194"/>
        <v/>
      </c>
      <c r="AS488" t="str">
        <f t="shared" si="195"/>
        <v/>
      </c>
      <c r="AT488" t="str">
        <f t="shared" si="196"/>
        <v/>
      </c>
      <c r="AU488" s="25" t="str">
        <f t="shared" si="200"/>
        <v/>
      </c>
      <c r="BA488">
        <f>'REGISTER SK'!F491</f>
        <v>0</v>
      </c>
    </row>
    <row r="489" spans="1:53" x14ac:dyDescent="0.35">
      <c r="A489" s="18">
        <v>488</v>
      </c>
      <c r="B489" s="18"/>
      <c r="C489" s="18" t="str">
        <f>IF(G489="","",IF(G489="Umum",G489,VLOOKUP(F489,'Data Induk Pegawai'!B:AE,4,FALSE)))</f>
        <v/>
      </c>
      <c r="D489" s="19" t="str">
        <f>IF('REGISTER SK'!A492="","",IF('REGISTER SK'!B492=0,D488,'REGISTER SK'!B492))</f>
        <v/>
      </c>
      <c r="E489" s="19" t="str">
        <f t="shared" si="197"/>
        <v/>
      </c>
      <c r="F489" s="29"/>
      <c r="G489" s="29"/>
      <c r="H489" s="31" t="str">
        <f>IF(F489="","",VLOOKUP(F489,'Data Induk Pegawai'!B:U,2,FALSE))</f>
        <v/>
      </c>
      <c r="I489" s="19" t="str">
        <f>IF('REGISTER SK'!C492="","",'REGISTER SK'!C492)</f>
        <v/>
      </c>
      <c r="J489" s="125"/>
      <c r="K489" s="125"/>
      <c r="L489" s="26" t="str">
        <f>IF('REGISTER SK'!D492="","",'REGISTER SK'!D492)</f>
        <v/>
      </c>
      <c r="M489" s="26" t="str">
        <f>IF('REGISTER SK'!E492="","",'REGISTER SK'!E492)</f>
        <v/>
      </c>
      <c r="N489" s="31" t="str">
        <f>IF(G489="","",IF(OR(G489="GTT",G489="PTT"),"--",VLOOKUP(F489,'Data Induk Pegawai'!B:AE,4,FALSE)))</f>
        <v/>
      </c>
      <c r="O489" s="18" t="str">
        <f>IF(G489="","",VLOOKUP(F489,'Data Induk Pegawai'!B:AE,6,FALSE))</f>
        <v/>
      </c>
      <c r="P489" s="31" t="str">
        <f>IF(G489="","",VLOOKUP(F489,'Data Induk Pegawai'!B:AE,7,FALSE))</f>
        <v/>
      </c>
      <c r="Q489" s="30"/>
      <c r="R489" s="26" t="str">
        <f>IF(G489="","","Nomor "&amp;RIGHT(VLOOKUP(F489,'Data Induk Pegawai'!B:AE,12,FALSE),2)&amp;" Tahun "&amp;MID(VLOOKUP(F489,'Data Induk Pegawai'!B:AE,12,FALSE),5,4))</f>
        <v/>
      </c>
      <c r="S489" s="26" t="str">
        <f>IF(G489="","",VLOOKUP(F489,'Data Induk Pegawai'!B:AE,11,FALSE))</f>
        <v/>
      </c>
      <c r="T489" s="56"/>
      <c r="U489" s="18" t="str">
        <f t="shared" si="179"/>
        <v/>
      </c>
      <c r="V489" s="30"/>
      <c r="W489" s="18" t="str">
        <f t="shared" si="201"/>
        <v/>
      </c>
      <c r="Y489" t="str">
        <f t="shared" si="180"/>
        <v/>
      </c>
      <c r="Z489" t="str">
        <f t="shared" si="181"/>
        <v/>
      </c>
      <c r="AA489" t="str">
        <f t="shared" si="182"/>
        <v/>
      </c>
      <c r="AB489" t="str">
        <f>COUNTIFS(AC489:AC$596,AC489)&amp;AC489</f>
        <v>108</v>
      </c>
      <c r="AC489" t="str">
        <f t="shared" si="198"/>
        <v/>
      </c>
      <c r="AD489" t="str">
        <f>COUNTIFS(AC$2:AC489,AC489)&amp;AC489</f>
        <v>488</v>
      </c>
      <c r="AE489" t="str">
        <f t="shared" si="183"/>
        <v/>
      </c>
      <c r="AF489" t="str">
        <f t="shared" si="199"/>
        <v>..</v>
      </c>
      <c r="AG489" s="28" t="str">
        <f t="shared" si="202"/>
        <v/>
      </c>
      <c r="AH489" s="28" t="str">
        <f t="shared" si="184"/>
        <v/>
      </c>
      <c r="AI489" t="str">
        <f t="shared" si="185"/>
        <v/>
      </c>
      <c r="AJ489" t="str">
        <f t="shared" si="186"/>
        <v/>
      </c>
      <c r="AK489" t="str">
        <f t="shared" si="187"/>
        <v/>
      </c>
      <c r="AL489" t="str">
        <f t="shared" si="188"/>
        <v/>
      </c>
      <c r="AM489" t="str">
        <f t="shared" si="189"/>
        <v/>
      </c>
      <c r="AN489" t="str">
        <f t="shared" si="190"/>
        <v/>
      </c>
      <c r="AO489" t="str">
        <f t="shared" si="191"/>
        <v/>
      </c>
      <c r="AP489" t="str">
        <f t="shared" si="192"/>
        <v/>
      </c>
      <c r="AQ489" t="str">
        <f t="shared" si="193"/>
        <v/>
      </c>
      <c r="AR489" t="str">
        <f t="shared" si="194"/>
        <v/>
      </c>
      <c r="AS489" t="str">
        <f t="shared" si="195"/>
        <v/>
      </c>
      <c r="AT489" t="str">
        <f t="shared" si="196"/>
        <v/>
      </c>
      <c r="AU489" s="25" t="str">
        <f t="shared" si="200"/>
        <v/>
      </c>
      <c r="BA489">
        <f>'REGISTER SK'!F492</f>
        <v>0</v>
      </c>
    </row>
    <row r="490" spans="1:53" x14ac:dyDescent="0.35">
      <c r="A490" s="18">
        <v>489</v>
      </c>
      <c r="B490" s="18"/>
      <c r="C490" s="18" t="str">
        <f>IF(G490="","",IF(G490="Umum",G490,VLOOKUP(F490,'Data Induk Pegawai'!B:AE,4,FALSE)))</f>
        <v/>
      </c>
      <c r="D490" s="19" t="str">
        <f>IF('REGISTER SK'!A493="","",IF('REGISTER SK'!B493=0,D489,'REGISTER SK'!B493))</f>
        <v/>
      </c>
      <c r="E490" s="19" t="str">
        <f t="shared" si="197"/>
        <v/>
      </c>
      <c r="F490" s="29"/>
      <c r="G490" s="29"/>
      <c r="H490" s="31" t="str">
        <f>IF(F490="","",VLOOKUP(F490,'Data Induk Pegawai'!B:U,2,FALSE))</f>
        <v/>
      </c>
      <c r="I490" s="19" t="str">
        <f>IF('REGISTER SK'!C493="","",'REGISTER SK'!C493)</f>
        <v/>
      </c>
      <c r="J490" s="125"/>
      <c r="K490" s="125"/>
      <c r="L490" s="26" t="str">
        <f>IF('REGISTER SK'!D493="","",'REGISTER SK'!D493)</f>
        <v/>
      </c>
      <c r="M490" s="26" t="str">
        <f>IF('REGISTER SK'!E493="","",'REGISTER SK'!E493)</f>
        <v/>
      </c>
      <c r="N490" s="31" t="str">
        <f>IF(G490="","",IF(OR(G490="GTT",G490="PTT"),"--",VLOOKUP(F490,'Data Induk Pegawai'!B:AE,4,FALSE)))</f>
        <v/>
      </c>
      <c r="O490" s="18" t="str">
        <f>IF(G490="","",VLOOKUP(F490,'Data Induk Pegawai'!B:AE,6,FALSE))</f>
        <v/>
      </c>
      <c r="P490" s="31" t="str">
        <f>IF(G490="","",VLOOKUP(F490,'Data Induk Pegawai'!B:AE,7,FALSE))</f>
        <v/>
      </c>
      <c r="Q490" s="30"/>
      <c r="R490" s="26" t="str">
        <f>IF(G490="","","Nomor "&amp;RIGHT(VLOOKUP(F490,'Data Induk Pegawai'!B:AE,12,FALSE),2)&amp;" Tahun "&amp;MID(VLOOKUP(F490,'Data Induk Pegawai'!B:AE,12,FALSE),5,4))</f>
        <v/>
      </c>
      <c r="S490" s="26" t="str">
        <f>IF(G490="","",VLOOKUP(F490,'Data Induk Pegawai'!B:AE,11,FALSE))</f>
        <v/>
      </c>
      <c r="T490" s="56"/>
      <c r="U490" s="18" t="str">
        <f t="shared" si="179"/>
        <v/>
      </c>
      <c r="V490" s="30"/>
      <c r="W490" s="18" t="str">
        <f t="shared" si="201"/>
        <v/>
      </c>
      <c r="Y490" t="str">
        <f t="shared" si="180"/>
        <v/>
      </c>
      <c r="Z490" t="str">
        <f t="shared" si="181"/>
        <v/>
      </c>
      <c r="AA490" t="str">
        <f t="shared" si="182"/>
        <v/>
      </c>
      <c r="AB490" t="str">
        <f>COUNTIFS(AC490:AC$596,AC490)&amp;AC490</f>
        <v>107</v>
      </c>
      <c r="AC490" t="str">
        <f t="shared" si="198"/>
        <v/>
      </c>
      <c r="AD490" t="str">
        <f>COUNTIFS(AC$2:AC490,AC490)&amp;AC490</f>
        <v>489</v>
      </c>
      <c r="AE490" t="str">
        <f t="shared" si="183"/>
        <v/>
      </c>
      <c r="AF490" t="str">
        <f t="shared" si="199"/>
        <v>..</v>
      </c>
      <c r="AG490" s="28" t="str">
        <f t="shared" si="202"/>
        <v/>
      </c>
      <c r="AH490" s="28" t="str">
        <f t="shared" si="184"/>
        <v/>
      </c>
      <c r="AI490" t="str">
        <f t="shared" si="185"/>
        <v/>
      </c>
      <c r="AJ490" t="str">
        <f t="shared" si="186"/>
        <v/>
      </c>
      <c r="AK490" t="str">
        <f t="shared" si="187"/>
        <v/>
      </c>
      <c r="AL490" t="str">
        <f t="shared" si="188"/>
        <v/>
      </c>
      <c r="AM490" t="str">
        <f t="shared" si="189"/>
        <v/>
      </c>
      <c r="AN490" t="str">
        <f t="shared" si="190"/>
        <v/>
      </c>
      <c r="AO490" t="str">
        <f t="shared" si="191"/>
        <v/>
      </c>
      <c r="AP490" t="str">
        <f t="shared" si="192"/>
        <v/>
      </c>
      <c r="AQ490" t="str">
        <f t="shared" si="193"/>
        <v/>
      </c>
      <c r="AR490" t="str">
        <f t="shared" si="194"/>
        <v/>
      </c>
      <c r="AS490" t="str">
        <f t="shared" si="195"/>
        <v/>
      </c>
      <c r="AT490" t="str">
        <f t="shared" si="196"/>
        <v/>
      </c>
      <c r="AU490" s="25" t="str">
        <f t="shared" si="200"/>
        <v/>
      </c>
      <c r="BA490">
        <f>'REGISTER SK'!F493</f>
        <v>0</v>
      </c>
    </row>
    <row r="491" spans="1:53" x14ac:dyDescent="0.35">
      <c r="A491" s="18">
        <v>490</v>
      </c>
      <c r="B491" s="18"/>
      <c r="C491" s="18" t="str">
        <f>IF(G491="","",IF(G491="Umum",G491,VLOOKUP(F491,'Data Induk Pegawai'!B:AE,4,FALSE)))</f>
        <v/>
      </c>
      <c r="D491" s="19" t="str">
        <f>IF('REGISTER SK'!A494="","",IF('REGISTER SK'!B494=0,D490,'REGISTER SK'!B494))</f>
        <v/>
      </c>
      <c r="E491" s="19" t="str">
        <f t="shared" si="197"/>
        <v/>
      </c>
      <c r="F491" s="29"/>
      <c r="G491" s="29"/>
      <c r="H491" s="31" t="str">
        <f>IF(F491="","",VLOOKUP(F491,'Data Induk Pegawai'!B:U,2,FALSE))</f>
        <v/>
      </c>
      <c r="I491" s="19" t="str">
        <f>IF('REGISTER SK'!C494="","",'REGISTER SK'!C494)</f>
        <v/>
      </c>
      <c r="J491" s="125"/>
      <c r="K491" s="125"/>
      <c r="L491" s="26" t="str">
        <f>IF('REGISTER SK'!D494="","",'REGISTER SK'!D494)</f>
        <v/>
      </c>
      <c r="M491" s="26" t="str">
        <f>IF('REGISTER SK'!E494="","",'REGISTER SK'!E494)</f>
        <v/>
      </c>
      <c r="N491" s="31" t="str">
        <f>IF(G491="","",IF(OR(G491="GTT",G491="PTT"),"--",VLOOKUP(F491,'Data Induk Pegawai'!B:AE,4,FALSE)))</f>
        <v/>
      </c>
      <c r="O491" s="18" t="str">
        <f>IF(G491="","",VLOOKUP(F491,'Data Induk Pegawai'!B:AE,6,FALSE))</f>
        <v/>
      </c>
      <c r="P491" s="31" t="str">
        <f>IF(G491="","",VLOOKUP(F491,'Data Induk Pegawai'!B:AE,7,FALSE))</f>
        <v/>
      </c>
      <c r="Q491" s="30"/>
      <c r="R491" s="26" t="str">
        <f>IF(G491="","","Nomor "&amp;RIGHT(VLOOKUP(F491,'Data Induk Pegawai'!B:AE,12,FALSE),2)&amp;" Tahun "&amp;MID(VLOOKUP(F491,'Data Induk Pegawai'!B:AE,12,FALSE),5,4))</f>
        <v/>
      </c>
      <c r="S491" s="26" t="str">
        <f>IF(G491="","",VLOOKUP(F491,'Data Induk Pegawai'!B:AE,11,FALSE))</f>
        <v/>
      </c>
      <c r="T491" s="56"/>
      <c r="U491" s="18" t="str">
        <f t="shared" si="179"/>
        <v/>
      </c>
      <c r="V491" s="30"/>
      <c r="W491" s="18" t="str">
        <f t="shared" si="201"/>
        <v/>
      </c>
      <c r="Y491" t="str">
        <f t="shared" si="180"/>
        <v/>
      </c>
      <c r="Z491" t="str">
        <f t="shared" si="181"/>
        <v/>
      </c>
      <c r="AA491" t="str">
        <f t="shared" si="182"/>
        <v/>
      </c>
      <c r="AB491" t="str">
        <f>COUNTIFS(AC491:AC$596,AC491)&amp;AC491</f>
        <v>106</v>
      </c>
      <c r="AC491" t="str">
        <f t="shared" si="198"/>
        <v/>
      </c>
      <c r="AD491" t="str">
        <f>COUNTIFS(AC$2:AC491,AC491)&amp;AC491</f>
        <v>490</v>
      </c>
      <c r="AE491" t="str">
        <f t="shared" si="183"/>
        <v/>
      </c>
      <c r="AF491" t="str">
        <f t="shared" si="199"/>
        <v>..</v>
      </c>
      <c r="AG491" s="28" t="str">
        <f t="shared" si="202"/>
        <v/>
      </c>
      <c r="AH491" s="28" t="str">
        <f t="shared" si="184"/>
        <v/>
      </c>
      <c r="AI491" t="str">
        <f t="shared" si="185"/>
        <v/>
      </c>
      <c r="AJ491" t="str">
        <f t="shared" si="186"/>
        <v/>
      </c>
      <c r="AK491" t="str">
        <f t="shared" si="187"/>
        <v/>
      </c>
      <c r="AL491" t="str">
        <f t="shared" si="188"/>
        <v/>
      </c>
      <c r="AM491" t="str">
        <f t="shared" si="189"/>
        <v/>
      </c>
      <c r="AN491" t="str">
        <f t="shared" si="190"/>
        <v/>
      </c>
      <c r="AO491" t="str">
        <f t="shared" si="191"/>
        <v/>
      </c>
      <c r="AP491" t="str">
        <f t="shared" si="192"/>
        <v/>
      </c>
      <c r="AQ491" t="str">
        <f t="shared" si="193"/>
        <v/>
      </c>
      <c r="AR491" t="str">
        <f t="shared" si="194"/>
        <v/>
      </c>
      <c r="AS491" t="str">
        <f t="shared" si="195"/>
        <v/>
      </c>
      <c r="AT491" t="str">
        <f t="shared" si="196"/>
        <v/>
      </c>
      <c r="AU491" s="25" t="str">
        <f t="shared" si="200"/>
        <v/>
      </c>
      <c r="BA491">
        <f>'REGISTER SK'!F494</f>
        <v>0</v>
      </c>
    </row>
    <row r="492" spans="1:53" x14ac:dyDescent="0.35">
      <c r="A492" s="18">
        <v>491</v>
      </c>
      <c r="B492" s="18"/>
      <c r="C492" s="18" t="str">
        <f>IF(G492="","",IF(G492="Umum",G492,VLOOKUP(F492,'Data Induk Pegawai'!B:AE,4,FALSE)))</f>
        <v/>
      </c>
      <c r="D492" s="19" t="str">
        <f>IF('REGISTER SK'!A495="","",IF('REGISTER SK'!B495=0,D491,'REGISTER SK'!B495))</f>
        <v/>
      </c>
      <c r="E492" s="19" t="str">
        <f t="shared" si="197"/>
        <v/>
      </c>
      <c r="F492" s="29"/>
      <c r="G492" s="29"/>
      <c r="H492" s="31" t="str">
        <f>IF(F492="","",VLOOKUP(F492,'Data Induk Pegawai'!B:U,2,FALSE))</f>
        <v/>
      </c>
      <c r="I492" s="19" t="str">
        <f>IF('REGISTER SK'!C495="","",'REGISTER SK'!C495)</f>
        <v/>
      </c>
      <c r="J492" s="125"/>
      <c r="K492" s="125"/>
      <c r="L492" s="26" t="str">
        <f>IF('REGISTER SK'!D495="","",'REGISTER SK'!D495)</f>
        <v/>
      </c>
      <c r="M492" s="26" t="str">
        <f>IF('REGISTER SK'!E495="","",'REGISTER SK'!E495)</f>
        <v/>
      </c>
      <c r="N492" s="31" t="str">
        <f>IF(G492="","",IF(OR(G492="GTT",G492="PTT"),"--",VLOOKUP(F492,'Data Induk Pegawai'!B:AE,4,FALSE)))</f>
        <v/>
      </c>
      <c r="O492" s="18" t="str">
        <f>IF(G492="","",VLOOKUP(F492,'Data Induk Pegawai'!B:AE,6,FALSE))</f>
        <v/>
      </c>
      <c r="P492" s="31" t="str">
        <f>IF(G492="","",VLOOKUP(F492,'Data Induk Pegawai'!B:AE,7,FALSE))</f>
        <v/>
      </c>
      <c r="Q492" s="30"/>
      <c r="R492" s="26" t="str">
        <f>IF(G492="","","Nomor "&amp;RIGHT(VLOOKUP(F492,'Data Induk Pegawai'!B:AE,12,FALSE),2)&amp;" Tahun "&amp;MID(VLOOKUP(F492,'Data Induk Pegawai'!B:AE,12,FALSE),5,4))</f>
        <v/>
      </c>
      <c r="S492" s="26" t="str">
        <f>IF(G492="","",VLOOKUP(F492,'Data Induk Pegawai'!B:AE,11,FALSE))</f>
        <v/>
      </c>
      <c r="T492" s="56"/>
      <c r="U492" s="18" t="str">
        <f t="shared" si="179"/>
        <v/>
      </c>
      <c r="V492" s="30"/>
      <c r="W492" s="18" t="str">
        <f t="shared" si="201"/>
        <v/>
      </c>
      <c r="Y492" t="str">
        <f t="shared" si="180"/>
        <v/>
      </c>
      <c r="Z492" t="str">
        <f t="shared" si="181"/>
        <v/>
      </c>
      <c r="AA492" t="str">
        <f t="shared" si="182"/>
        <v/>
      </c>
      <c r="AB492" t="str">
        <f>COUNTIFS(AC492:AC$596,AC492)&amp;AC492</f>
        <v>105</v>
      </c>
      <c r="AC492" t="str">
        <f t="shared" si="198"/>
        <v/>
      </c>
      <c r="AD492" t="str">
        <f>COUNTIFS(AC$2:AC492,AC492)&amp;AC492</f>
        <v>491</v>
      </c>
      <c r="AE492" t="str">
        <f t="shared" si="183"/>
        <v/>
      </c>
      <c r="AF492" t="str">
        <f t="shared" si="199"/>
        <v>..</v>
      </c>
      <c r="AG492" s="28" t="str">
        <f t="shared" si="202"/>
        <v/>
      </c>
      <c r="AH492" s="28" t="str">
        <f t="shared" si="184"/>
        <v/>
      </c>
      <c r="AI492" t="str">
        <f t="shared" si="185"/>
        <v/>
      </c>
      <c r="AJ492" t="str">
        <f t="shared" si="186"/>
        <v/>
      </c>
      <c r="AK492" t="str">
        <f t="shared" si="187"/>
        <v/>
      </c>
      <c r="AL492" t="str">
        <f t="shared" si="188"/>
        <v/>
      </c>
      <c r="AM492" t="str">
        <f t="shared" si="189"/>
        <v/>
      </c>
      <c r="AN492" t="str">
        <f t="shared" si="190"/>
        <v/>
      </c>
      <c r="AO492" t="str">
        <f t="shared" si="191"/>
        <v/>
      </c>
      <c r="AP492" t="str">
        <f t="shared" si="192"/>
        <v/>
      </c>
      <c r="AQ492" t="str">
        <f t="shared" si="193"/>
        <v/>
      </c>
      <c r="AR492" t="str">
        <f t="shared" si="194"/>
        <v/>
      </c>
      <c r="AS492" t="str">
        <f t="shared" si="195"/>
        <v/>
      </c>
      <c r="AT492" t="str">
        <f t="shared" si="196"/>
        <v/>
      </c>
      <c r="AU492" s="25" t="str">
        <f t="shared" si="200"/>
        <v/>
      </c>
      <c r="BA492">
        <f>'REGISTER SK'!F495</f>
        <v>0</v>
      </c>
    </row>
    <row r="493" spans="1:53" x14ac:dyDescent="0.35">
      <c r="A493" s="18">
        <v>492</v>
      </c>
      <c r="B493" s="18"/>
      <c r="C493" s="18" t="str">
        <f>IF(G493="","",IF(G493="Umum",G493,VLOOKUP(F493,'Data Induk Pegawai'!B:AE,4,FALSE)))</f>
        <v/>
      </c>
      <c r="D493" s="19" t="str">
        <f>IF('REGISTER SK'!A496="","",IF('REGISTER SK'!B496=0,D492,'REGISTER SK'!B496))</f>
        <v/>
      </c>
      <c r="E493" s="19" t="str">
        <f t="shared" si="197"/>
        <v/>
      </c>
      <c r="F493" s="29"/>
      <c r="G493" s="29"/>
      <c r="H493" s="31" t="str">
        <f>IF(F493="","",VLOOKUP(F493,'Data Induk Pegawai'!B:U,2,FALSE))</f>
        <v/>
      </c>
      <c r="I493" s="19" t="str">
        <f>IF('REGISTER SK'!C496="","",'REGISTER SK'!C496)</f>
        <v/>
      </c>
      <c r="J493" s="125"/>
      <c r="K493" s="125"/>
      <c r="L493" s="26" t="str">
        <f>IF('REGISTER SK'!D496="","",'REGISTER SK'!D496)</f>
        <v/>
      </c>
      <c r="M493" s="26" t="str">
        <f>IF('REGISTER SK'!E496="","",'REGISTER SK'!E496)</f>
        <v/>
      </c>
      <c r="N493" s="31" t="str">
        <f>IF(G493="","",IF(OR(G493="GTT",G493="PTT"),"--",VLOOKUP(F493,'Data Induk Pegawai'!B:AE,4,FALSE)))</f>
        <v/>
      </c>
      <c r="O493" s="18" t="str">
        <f>IF(G493="","",VLOOKUP(F493,'Data Induk Pegawai'!B:AE,6,FALSE))</f>
        <v/>
      </c>
      <c r="P493" s="31" t="str">
        <f>IF(G493="","",VLOOKUP(F493,'Data Induk Pegawai'!B:AE,7,FALSE))</f>
        <v/>
      </c>
      <c r="Q493" s="30"/>
      <c r="R493" s="26" t="str">
        <f>IF(G493="","","Nomor "&amp;RIGHT(VLOOKUP(F493,'Data Induk Pegawai'!B:AE,12,FALSE),2)&amp;" Tahun "&amp;MID(VLOOKUP(F493,'Data Induk Pegawai'!B:AE,12,FALSE),5,4))</f>
        <v/>
      </c>
      <c r="S493" s="26" t="str">
        <f>IF(G493="","",VLOOKUP(F493,'Data Induk Pegawai'!B:AE,11,FALSE))</f>
        <v/>
      </c>
      <c r="T493" s="56"/>
      <c r="U493" s="18" t="str">
        <f t="shared" si="179"/>
        <v/>
      </c>
      <c r="V493" s="30"/>
      <c r="W493" s="18" t="str">
        <f t="shared" si="201"/>
        <v/>
      </c>
      <c r="Y493" t="str">
        <f t="shared" si="180"/>
        <v/>
      </c>
      <c r="Z493" t="str">
        <f t="shared" si="181"/>
        <v/>
      </c>
      <c r="AA493" t="str">
        <f t="shared" si="182"/>
        <v/>
      </c>
      <c r="AB493" t="str">
        <f>COUNTIFS(AC493:AC$596,AC493)&amp;AC493</f>
        <v>104</v>
      </c>
      <c r="AC493" t="str">
        <f t="shared" si="198"/>
        <v/>
      </c>
      <c r="AD493" t="str">
        <f>COUNTIFS(AC$2:AC493,AC493)&amp;AC493</f>
        <v>492</v>
      </c>
      <c r="AE493" t="str">
        <f t="shared" si="183"/>
        <v/>
      </c>
      <c r="AF493" t="str">
        <f t="shared" si="199"/>
        <v>..</v>
      </c>
      <c r="AG493" s="28" t="str">
        <f t="shared" si="202"/>
        <v/>
      </c>
      <c r="AH493" s="28" t="str">
        <f t="shared" si="184"/>
        <v/>
      </c>
      <c r="AI493" t="str">
        <f t="shared" si="185"/>
        <v/>
      </c>
      <c r="AJ493" t="str">
        <f t="shared" si="186"/>
        <v/>
      </c>
      <c r="AK493" t="str">
        <f t="shared" si="187"/>
        <v/>
      </c>
      <c r="AL493" t="str">
        <f t="shared" si="188"/>
        <v/>
      </c>
      <c r="AM493" t="str">
        <f t="shared" si="189"/>
        <v/>
      </c>
      <c r="AN493" t="str">
        <f t="shared" si="190"/>
        <v/>
      </c>
      <c r="AO493" t="str">
        <f t="shared" si="191"/>
        <v/>
      </c>
      <c r="AP493" t="str">
        <f t="shared" si="192"/>
        <v/>
      </c>
      <c r="AQ493" t="str">
        <f t="shared" si="193"/>
        <v/>
      </c>
      <c r="AR493" t="str">
        <f t="shared" si="194"/>
        <v/>
      </c>
      <c r="AS493" t="str">
        <f t="shared" si="195"/>
        <v/>
      </c>
      <c r="AT493" t="str">
        <f t="shared" si="196"/>
        <v/>
      </c>
      <c r="AU493" s="25" t="str">
        <f t="shared" si="200"/>
        <v/>
      </c>
      <c r="BA493">
        <f>'REGISTER SK'!F496</f>
        <v>0</v>
      </c>
    </row>
    <row r="494" spans="1:53" x14ac:dyDescent="0.35">
      <c r="A494" s="18">
        <v>493</v>
      </c>
      <c r="B494" s="18"/>
      <c r="C494" s="18" t="str">
        <f>IF(G494="","",IF(G494="Umum",G494,VLOOKUP(F494,'Data Induk Pegawai'!B:AE,4,FALSE)))</f>
        <v/>
      </c>
      <c r="D494" s="19" t="str">
        <f>IF('REGISTER SK'!A497="","",IF('REGISTER SK'!B497=0,D493,'REGISTER SK'!B497))</f>
        <v/>
      </c>
      <c r="E494" s="19" t="str">
        <f t="shared" si="197"/>
        <v/>
      </c>
      <c r="F494" s="29"/>
      <c r="G494" s="29"/>
      <c r="H494" s="31" t="str">
        <f>IF(F494="","",VLOOKUP(F494,'Data Induk Pegawai'!B:U,2,FALSE))</f>
        <v/>
      </c>
      <c r="I494" s="19" t="str">
        <f>IF('REGISTER SK'!C497="","",'REGISTER SK'!C497)</f>
        <v/>
      </c>
      <c r="J494" s="125"/>
      <c r="K494" s="125"/>
      <c r="L494" s="26" t="str">
        <f>IF('REGISTER SK'!D497="","",'REGISTER SK'!D497)</f>
        <v/>
      </c>
      <c r="M494" s="26" t="str">
        <f>IF('REGISTER SK'!E497="","",'REGISTER SK'!E497)</f>
        <v/>
      </c>
      <c r="N494" s="31" t="str">
        <f>IF(G494="","",IF(OR(G494="GTT",G494="PTT"),"--",VLOOKUP(F494,'Data Induk Pegawai'!B:AE,4,FALSE)))</f>
        <v/>
      </c>
      <c r="O494" s="18" t="str">
        <f>IF(G494="","",VLOOKUP(F494,'Data Induk Pegawai'!B:AE,6,FALSE))</f>
        <v/>
      </c>
      <c r="P494" s="31" t="str">
        <f>IF(G494="","",VLOOKUP(F494,'Data Induk Pegawai'!B:AE,7,FALSE))</f>
        <v/>
      </c>
      <c r="Q494" s="30"/>
      <c r="R494" s="26" t="str">
        <f>IF(G494="","","Nomor "&amp;RIGHT(VLOOKUP(F494,'Data Induk Pegawai'!B:AE,12,FALSE),2)&amp;" Tahun "&amp;MID(VLOOKUP(F494,'Data Induk Pegawai'!B:AE,12,FALSE),5,4))</f>
        <v/>
      </c>
      <c r="S494" s="26" t="str">
        <f>IF(G494="","",VLOOKUP(F494,'Data Induk Pegawai'!B:AE,11,FALSE))</f>
        <v/>
      </c>
      <c r="T494" s="56"/>
      <c r="U494" s="18" t="str">
        <f t="shared" si="179"/>
        <v/>
      </c>
      <c r="V494" s="30"/>
      <c r="W494" s="18" t="str">
        <f t="shared" si="201"/>
        <v/>
      </c>
      <c r="Y494" t="str">
        <f t="shared" si="180"/>
        <v/>
      </c>
      <c r="Z494" t="str">
        <f t="shared" si="181"/>
        <v/>
      </c>
      <c r="AA494" t="str">
        <f t="shared" si="182"/>
        <v/>
      </c>
      <c r="AB494" t="str">
        <f>COUNTIFS(AC494:AC$596,AC494)&amp;AC494</f>
        <v>103</v>
      </c>
      <c r="AC494" t="str">
        <f t="shared" si="198"/>
        <v/>
      </c>
      <c r="AD494" t="str">
        <f>COUNTIFS(AC$2:AC494,AC494)&amp;AC494</f>
        <v>493</v>
      </c>
      <c r="AE494" t="str">
        <f t="shared" si="183"/>
        <v/>
      </c>
      <c r="AF494" t="str">
        <f t="shared" si="199"/>
        <v>..</v>
      </c>
      <c r="AG494" s="28" t="str">
        <f t="shared" si="202"/>
        <v/>
      </c>
      <c r="AH494" s="28" t="str">
        <f t="shared" si="184"/>
        <v/>
      </c>
      <c r="AI494" t="str">
        <f t="shared" si="185"/>
        <v/>
      </c>
      <c r="AJ494" t="str">
        <f t="shared" si="186"/>
        <v/>
      </c>
      <c r="AK494" t="str">
        <f t="shared" si="187"/>
        <v/>
      </c>
      <c r="AL494" t="str">
        <f t="shared" si="188"/>
        <v/>
      </c>
      <c r="AM494" t="str">
        <f t="shared" si="189"/>
        <v/>
      </c>
      <c r="AN494" t="str">
        <f t="shared" si="190"/>
        <v/>
      </c>
      <c r="AO494" t="str">
        <f t="shared" si="191"/>
        <v/>
      </c>
      <c r="AP494" t="str">
        <f t="shared" si="192"/>
        <v/>
      </c>
      <c r="AQ494" t="str">
        <f t="shared" si="193"/>
        <v/>
      </c>
      <c r="AR494" t="str">
        <f t="shared" si="194"/>
        <v/>
      </c>
      <c r="AS494" t="str">
        <f t="shared" si="195"/>
        <v/>
      </c>
      <c r="AT494" t="str">
        <f t="shared" si="196"/>
        <v/>
      </c>
      <c r="AU494" s="25" t="str">
        <f t="shared" si="200"/>
        <v/>
      </c>
      <c r="BA494">
        <f>'REGISTER SK'!F497</f>
        <v>0</v>
      </c>
    </row>
    <row r="495" spans="1:53" x14ac:dyDescent="0.35">
      <c r="A495" s="18">
        <v>494</v>
      </c>
      <c r="B495" s="18"/>
      <c r="C495" s="18" t="str">
        <f>IF(G495="","",IF(G495="Umum",G495,VLOOKUP(F495,'Data Induk Pegawai'!B:AE,4,FALSE)))</f>
        <v/>
      </c>
      <c r="D495" s="19" t="str">
        <f>IF('REGISTER SK'!A498="","",IF('REGISTER SK'!B498=0,D494,'REGISTER SK'!B498))</f>
        <v/>
      </c>
      <c r="E495" s="19" t="str">
        <f t="shared" si="197"/>
        <v/>
      </c>
      <c r="F495" s="29"/>
      <c r="G495" s="29"/>
      <c r="H495" s="31" t="str">
        <f>IF(F495="","",VLOOKUP(F495,'Data Induk Pegawai'!B:U,2,FALSE))</f>
        <v/>
      </c>
      <c r="I495" s="19" t="str">
        <f>IF('REGISTER SK'!C498="","",'REGISTER SK'!C498)</f>
        <v/>
      </c>
      <c r="J495" s="125"/>
      <c r="K495" s="125"/>
      <c r="L495" s="26" t="str">
        <f>IF('REGISTER SK'!D498="","",'REGISTER SK'!D498)</f>
        <v/>
      </c>
      <c r="M495" s="26" t="str">
        <f>IF('REGISTER SK'!E498="","",'REGISTER SK'!E498)</f>
        <v/>
      </c>
      <c r="N495" s="31" t="str">
        <f>IF(G495="","",IF(OR(G495="GTT",G495="PTT"),"--",VLOOKUP(F495,'Data Induk Pegawai'!B:AE,4,FALSE)))</f>
        <v/>
      </c>
      <c r="O495" s="18" t="str">
        <f>IF(G495="","",VLOOKUP(F495,'Data Induk Pegawai'!B:AE,6,FALSE))</f>
        <v/>
      </c>
      <c r="P495" s="31" t="str">
        <f>IF(G495="","",VLOOKUP(F495,'Data Induk Pegawai'!B:AE,7,FALSE))</f>
        <v/>
      </c>
      <c r="Q495" s="30"/>
      <c r="R495" s="26" t="str">
        <f>IF(G495="","","Nomor "&amp;RIGHT(VLOOKUP(F495,'Data Induk Pegawai'!B:AE,12,FALSE),2)&amp;" Tahun "&amp;MID(VLOOKUP(F495,'Data Induk Pegawai'!B:AE,12,FALSE),5,4))</f>
        <v/>
      </c>
      <c r="S495" s="26" t="str">
        <f>IF(G495="","",VLOOKUP(F495,'Data Induk Pegawai'!B:AE,11,FALSE))</f>
        <v/>
      </c>
      <c r="T495" s="56"/>
      <c r="U495" s="18" t="str">
        <f t="shared" si="179"/>
        <v/>
      </c>
      <c r="V495" s="30"/>
      <c r="W495" s="18" t="str">
        <f t="shared" si="201"/>
        <v/>
      </c>
      <c r="Y495" t="str">
        <f t="shared" si="180"/>
        <v/>
      </c>
      <c r="Z495" t="str">
        <f t="shared" si="181"/>
        <v/>
      </c>
      <c r="AA495" t="str">
        <f t="shared" si="182"/>
        <v/>
      </c>
      <c r="AB495" t="str">
        <f>COUNTIFS(AC495:AC$596,AC495)&amp;AC495</f>
        <v>102</v>
      </c>
      <c r="AC495" t="str">
        <f t="shared" si="198"/>
        <v/>
      </c>
      <c r="AD495" t="str">
        <f>COUNTIFS(AC$2:AC495,AC495)&amp;AC495</f>
        <v>494</v>
      </c>
      <c r="AE495" t="str">
        <f t="shared" si="183"/>
        <v/>
      </c>
      <c r="AF495" t="str">
        <f t="shared" si="199"/>
        <v>..</v>
      </c>
      <c r="AG495" s="28" t="str">
        <f t="shared" si="202"/>
        <v/>
      </c>
      <c r="AH495" s="28" t="str">
        <f t="shared" si="184"/>
        <v/>
      </c>
      <c r="AI495" t="str">
        <f t="shared" si="185"/>
        <v/>
      </c>
      <c r="AJ495" t="str">
        <f t="shared" si="186"/>
        <v/>
      </c>
      <c r="AK495" t="str">
        <f t="shared" si="187"/>
        <v/>
      </c>
      <c r="AL495" t="str">
        <f t="shared" si="188"/>
        <v/>
      </c>
      <c r="AM495" t="str">
        <f t="shared" si="189"/>
        <v/>
      </c>
      <c r="AN495" t="str">
        <f t="shared" si="190"/>
        <v/>
      </c>
      <c r="AO495" t="str">
        <f t="shared" si="191"/>
        <v/>
      </c>
      <c r="AP495" t="str">
        <f t="shared" si="192"/>
        <v/>
      </c>
      <c r="AQ495" t="str">
        <f t="shared" si="193"/>
        <v/>
      </c>
      <c r="AR495" t="str">
        <f t="shared" si="194"/>
        <v/>
      </c>
      <c r="AS495" t="str">
        <f t="shared" si="195"/>
        <v/>
      </c>
      <c r="AT495" t="str">
        <f t="shared" si="196"/>
        <v/>
      </c>
      <c r="AU495" s="25" t="str">
        <f t="shared" si="200"/>
        <v/>
      </c>
      <c r="BA495">
        <f>'REGISTER SK'!F498</f>
        <v>0</v>
      </c>
    </row>
    <row r="496" spans="1:53" x14ac:dyDescent="0.35">
      <c r="A496" s="18">
        <v>495</v>
      </c>
      <c r="B496" s="18"/>
      <c r="C496" s="18" t="str">
        <f>IF(G496="","",IF(G496="Umum",G496,VLOOKUP(F496,'Data Induk Pegawai'!B:AE,4,FALSE)))</f>
        <v/>
      </c>
      <c r="D496" s="19" t="str">
        <f>IF('REGISTER SK'!A499="","",IF('REGISTER SK'!B499=0,D495,'REGISTER SK'!B499))</f>
        <v/>
      </c>
      <c r="E496" s="19" t="str">
        <f t="shared" si="197"/>
        <v/>
      </c>
      <c r="F496" s="29"/>
      <c r="G496" s="29"/>
      <c r="H496" s="31" t="str">
        <f>IF(F496="","",VLOOKUP(F496,'Data Induk Pegawai'!B:U,2,FALSE))</f>
        <v/>
      </c>
      <c r="I496" s="19" t="str">
        <f>IF('REGISTER SK'!C499="","",'REGISTER SK'!C499)</f>
        <v/>
      </c>
      <c r="J496" s="125"/>
      <c r="K496" s="125"/>
      <c r="L496" s="26" t="str">
        <f>IF('REGISTER SK'!D499="","",'REGISTER SK'!D499)</f>
        <v/>
      </c>
      <c r="M496" s="26" t="str">
        <f>IF('REGISTER SK'!E499="","",'REGISTER SK'!E499)</f>
        <v/>
      </c>
      <c r="N496" s="31" t="str">
        <f>IF(G496="","",IF(OR(G496="GTT",G496="PTT"),"--",VLOOKUP(F496,'Data Induk Pegawai'!B:AE,4,FALSE)))</f>
        <v/>
      </c>
      <c r="O496" s="18" t="str">
        <f>IF(G496="","",VLOOKUP(F496,'Data Induk Pegawai'!B:AE,6,FALSE))</f>
        <v/>
      </c>
      <c r="P496" s="31" t="str">
        <f>IF(G496="","",VLOOKUP(F496,'Data Induk Pegawai'!B:AE,7,FALSE))</f>
        <v/>
      </c>
      <c r="Q496" s="30"/>
      <c r="R496" s="26" t="str">
        <f>IF(G496="","","Nomor "&amp;RIGHT(VLOOKUP(F496,'Data Induk Pegawai'!B:AE,12,FALSE),2)&amp;" Tahun "&amp;MID(VLOOKUP(F496,'Data Induk Pegawai'!B:AE,12,FALSE),5,4))</f>
        <v/>
      </c>
      <c r="S496" s="26" t="str">
        <f>IF(G496="","",VLOOKUP(F496,'Data Induk Pegawai'!B:AE,11,FALSE))</f>
        <v/>
      </c>
      <c r="T496" s="56"/>
      <c r="U496" s="18" t="str">
        <f t="shared" si="179"/>
        <v/>
      </c>
      <c r="V496" s="30"/>
      <c r="W496" s="18" t="str">
        <f t="shared" si="201"/>
        <v/>
      </c>
      <c r="Y496" t="str">
        <f t="shared" si="180"/>
        <v/>
      </c>
      <c r="Z496" t="str">
        <f t="shared" si="181"/>
        <v/>
      </c>
      <c r="AA496" t="str">
        <f t="shared" si="182"/>
        <v/>
      </c>
      <c r="AB496" t="str">
        <f>COUNTIFS(AC496:AC$596,AC496)&amp;AC496</f>
        <v>101</v>
      </c>
      <c r="AC496" t="str">
        <f t="shared" si="198"/>
        <v/>
      </c>
      <c r="AD496" t="str">
        <f>COUNTIFS(AC$2:AC496,AC496)&amp;AC496</f>
        <v>495</v>
      </c>
      <c r="AE496" t="str">
        <f t="shared" si="183"/>
        <v/>
      </c>
      <c r="AF496" t="str">
        <f t="shared" si="199"/>
        <v>..</v>
      </c>
      <c r="AG496" s="28" t="str">
        <f t="shared" si="202"/>
        <v/>
      </c>
      <c r="AH496" s="28" t="str">
        <f t="shared" si="184"/>
        <v/>
      </c>
      <c r="AI496" t="str">
        <f t="shared" si="185"/>
        <v/>
      </c>
      <c r="AJ496" t="str">
        <f t="shared" si="186"/>
        <v/>
      </c>
      <c r="AK496" t="str">
        <f t="shared" si="187"/>
        <v/>
      </c>
      <c r="AL496" t="str">
        <f t="shared" si="188"/>
        <v/>
      </c>
      <c r="AM496" t="str">
        <f t="shared" si="189"/>
        <v/>
      </c>
      <c r="AN496" t="str">
        <f t="shared" si="190"/>
        <v/>
      </c>
      <c r="AO496" t="str">
        <f t="shared" si="191"/>
        <v/>
      </c>
      <c r="AP496" t="str">
        <f t="shared" si="192"/>
        <v/>
      </c>
      <c r="AQ496" t="str">
        <f t="shared" si="193"/>
        <v/>
      </c>
      <c r="AR496" t="str">
        <f t="shared" si="194"/>
        <v/>
      </c>
      <c r="AS496" t="str">
        <f t="shared" si="195"/>
        <v/>
      </c>
      <c r="AT496" t="str">
        <f t="shared" si="196"/>
        <v/>
      </c>
      <c r="AU496" s="25" t="str">
        <f t="shared" si="200"/>
        <v/>
      </c>
      <c r="BA496">
        <f>'REGISTER SK'!F499</f>
        <v>0</v>
      </c>
    </row>
    <row r="497" spans="1:53" x14ac:dyDescent="0.35">
      <c r="A497" s="18">
        <v>496</v>
      </c>
      <c r="B497" s="18"/>
      <c r="C497" s="18" t="str">
        <f>IF(G497="","",IF(G497="Umum",G497,VLOOKUP(F497,'Data Induk Pegawai'!B:AE,4,FALSE)))</f>
        <v/>
      </c>
      <c r="D497" s="19" t="str">
        <f>IF('REGISTER SK'!A500="","",IF('REGISTER SK'!B500=0,D496,'REGISTER SK'!B500))</f>
        <v/>
      </c>
      <c r="E497" s="19" t="str">
        <f t="shared" si="197"/>
        <v/>
      </c>
      <c r="F497" s="29"/>
      <c r="G497" s="29"/>
      <c r="H497" s="31" t="str">
        <f>IF(F497="","",VLOOKUP(F497,'Data Induk Pegawai'!B:U,2,FALSE))</f>
        <v/>
      </c>
      <c r="I497" s="19" t="str">
        <f>IF('REGISTER SK'!C500="","",'REGISTER SK'!C500)</f>
        <v/>
      </c>
      <c r="J497" s="125"/>
      <c r="K497" s="125"/>
      <c r="L497" s="26" t="str">
        <f>IF('REGISTER SK'!D500="","",'REGISTER SK'!D500)</f>
        <v/>
      </c>
      <c r="M497" s="26" t="str">
        <f>IF('REGISTER SK'!E500="","",'REGISTER SK'!E500)</f>
        <v/>
      </c>
      <c r="N497" s="31" t="str">
        <f>IF(G497="","",IF(OR(G497="GTT",G497="PTT"),"--",VLOOKUP(F497,'Data Induk Pegawai'!B:AE,4,FALSE)))</f>
        <v/>
      </c>
      <c r="O497" s="18" t="str">
        <f>IF(G497="","",VLOOKUP(F497,'Data Induk Pegawai'!B:AE,6,FALSE))</f>
        <v/>
      </c>
      <c r="P497" s="31" t="str">
        <f>IF(G497="","",VLOOKUP(F497,'Data Induk Pegawai'!B:AE,7,FALSE))</f>
        <v/>
      </c>
      <c r="Q497" s="30"/>
      <c r="R497" s="26" t="str">
        <f>IF(G497="","","Nomor "&amp;RIGHT(VLOOKUP(F497,'Data Induk Pegawai'!B:AE,12,FALSE),2)&amp;" Tahun "&amp;MID(VLOOKUP(F497,'Data Induk Pegawai'!B:AE,12,FALSE),5,4))</f>
        <v/>
      </c>
      <c r="S497" s="26" t="str">
        <f>IF(G497="","",VLOOKUP(F497,'Data Induk Pegawai'!B:AE,11,FALSE))</f>
        <v/>
      </c>
      <c r="T497" s="56"/>
      <c r="U497" s="18" t="str">
        <f t="shared" si="179"/>
        <v/>
      </c>
      <c r="V497" s="30"/>
      <c r="W497" s="18" t="str">
        <f t="shared" si="201"/>
        <v/>
      </c>
      <c r="Y497" t="str">
        <f t="shared" si="180"/>
        <v/>
      </c>
      <c r="Z497" t="str">
        <f t="shared" si="181"/>
        <v/>
      </c>
      <c r="AA497" t="str">
        <f t="shared" si="182"/>
        <v/>
      </c>
      <c r="AB497" t="str">
        <f>COUNTIFS(AC497:AC$596,AC497)&amp;AC497</f>
        <v>100</v>
      </c>
      <c r="AC497" t="str">
        <f t="shared" si="198"/>
        <v/>
      </c>
      <c r="AD497" t="str">
        <f>COUNTIFS(AC$2:AC497,AC497)&amp;AC497</f>
        <v>496</v>
      </c>
      <c r="AE497" t="str">
        <f t="shared" si="183"/>
        <v/>
      </c>
      <c r="AF497" t="str">
        <f t="shared" si="199"/>
        <v>..</v>
      </c>
      <c r="AG497" s="28" t="str">
        <f t="shared" si="202"/>
        <v/>
      </c>
      <c r="AH497" s="28" t="str">
        <f t="shared" si="184"/>
        <v/>
      </c>
      <c r="AI497" t="str">
        <f t="shared" si="185"/>
        <v/>
      </c>
      <c r="AJ497" t="str">
        <f t="shared" si="186"/>
        <v/>
      </c>
      <c r="AK497" t="str">
        <f t="shared" si="187"/>
        <v/>
      </c>
      <c r="AL497" t="str">
        <f t="shared" si="188"/>
        <v/>
      </c>
      <c r="AM497" t="str">
        <f t="shared" si="189"/>
        <v/>
      </c>
      <c r="AN497" t="str">
        <f t="shared" si="190"/>
        <v/>
      </c>
      <c r="AO497" t="str">
        <f t="shared" si="191"/>
        <v/>
      </c>
      <c r="AP497" t="str">
        <f t="shared" si="192"/>
        <v/>
      </c>
      <c r="AQ497" t="str">
        <f t="shared" si="193"/>
        <v/>
      </c>
      <c r="AR497" t="str">
        <f t="shared" si="194"/>
        <v/>
      </c>
      <c r="AS497" t="str">
        <f t="shared" si="195"/>
        <v/>
      </c>
      <c r="AT497" t="str">
        <f t="shared" si="196"/>
        <v/>
      </c>
      <c r="AU497" s="25" t="str">
        <f t="shared" si="200"/>
        <v/>
      </c>
      <c r="BA497">
        <f>'REGISTER SK'!F500</f>
        <v>0</v>
      </c>
    </row>
    <row r="498" spans="1:53" x14ac:dyDescent="0.35">
      <c r="A498" s="18">
        <v>497</v>
      </c>
      <c r="B498" s="18"/>
      <c r="C498" s="18" t="str">
        <f>IF(G498="","",IF(G498="Umum",G498,VLOOKUP(F498,'Data Induk Pegawai'!B:AE,4,FALSE)))</f>
        <v/>
      </c>
      <c r="D498" s="19" t="str">
        <f>IF('REGISTER SK'!A501="","",IF('REGISTER SK'!B501=0,D497,'REGISTER SK'!B501))</f>
        <v/>
      </c>
      <c r="E498" s="19" t="str">
        <f t="shared" si="197"/>
        <v/>
      </c>
      <c r="F498" s="29"/>
      <c r="G498" s="29"/>
      <c r="H498" s="31" t="str">
        <f>IF(F498="","",VLOOKUP(F498,'Data Induk Pegawai'!B:U,2,FALSE))</f>
        <v/>
      </c>
      <c r="I498" s="19" t="str">
        <f>IF('REGISTER SK'!C501="","",'REGISTER SK'!C501)</f>
        <v/>
      </c>
      <c r="J498" s="125"/>
      <c r="K498" s="125"/>
      <c r="L498" s="26" t="str">
        <f>IF('REGISTER SK'!D501="","",'REGISTER SK'!D501)</f>
        <v/>
      </c>
      <c r="M498" s="26" t="str">
        <f>IF('REGISTER SK'!E501="","",'REGISTER SK'!E501)</f>
        <v/>
      </c>
      <c r="N498" s="31" t="str">
        <f>IF(G498="","",IF(OR(G498="GTT",G498="PTT"),"--",VLOOKUP(F498,'Data Induk Pegawai'!B:AE,4,FALSE)))</f>
        <v/>
      </c>
      <c r="O498" s="18" t="str">
        <f>IF(G498="","",VLOOKUP(F498,'Data Induk Pegawai'!B:AE,6,FALSE))</f>
        <v/>
      </c>
      <c r="P498" s="31" t="str">
        <f>IF(G498="","",VLOOKUP(F498,'Data Induk Pegawai'!B:AE,7,FALSE))</f>
        <v/>
      </c>
      <c r="Q498" s="30"/>
      <c r="R498" s="26" t="str">
        <f>IF(G498="","","Nomor "&amp;RIGHT(VLOOKUP(F498,'Data Induk Pegawai'!B:AE,12,FALSE),2)&amp;" Tahun "&amp;MID(VLOOKUP(F498,'Data Induk Pegawai'!B:AE,12,FALSE),5,4))</f>
        <v/>
      </c>
      <c r="S498" s="26" t="str">
        <f>IF(G498="","",VLOOKUP(F498,'Data Induk Pegawai'!B:AE,11,FALSE))</f>
        <v/>
      </c>
      <c r="T498" s="56"/>
      <c r="U498" s="18" t="str">
        <f t="shared" si="179"/>
        <v/>
      </c>
      <c r="V498" s="30"/>
      <c r="W498" s="18" t="str">
        <f t="shared" si="201"/>
        <v/>
      </c>
      <c r="Y498" t="str">
        <f t="shared" si="180"/>
        <v/>
      </c>
      <c r="Z498" t="str">
        <f t="shared" si="181"/>
        <v/>
      </c>
      <c r="AA498" t="str">
        <f t="shared" si="182"/>
        <v/>
      </c>
      <c r="AB498" t="str">
        <f>COUNTIFS(AC498:AC$596,AC498)&amp;AC498</f>
        <v>99</v>
      </c>
      <c r="AC498" t="str">
        <f t="shared" si="198"/>
        <v/>
      </c>
      <c r="AD498" t="str">
        <f>COUNTIFS(AC$2:AC498,AC498)&amp;AC498</f>
        <v>497</v>
      </c>
      <c r="AE498" t="str">
        <f t="shared" si="183"/>
        <v/>
      </c>
      <c r="AF498" t="str">
        <f t="shared" si="199"/>
        <v>..</v>
      </c>
      <c r="AG498" s="28" t="str">
        <f t="shared" si="202"/>
        <v/>
      </c>
      <c r="AH498" s="28" t="str">
        <f t="shared" si="184"/>
        <v/>
      </c>
      <c r="AI498" t="str">
        <f t="shared" si="185"/>
        <v/>
      </c>
      <c r="AJ498" t="str">
        <f t="shared" si="186"/>
        <v/>
      </c>
      <c r="AK498" t="str">
        <f t="shared" si="187"/>
        <v/>
      </c>
      <c r="AL498" t="str">
        <f t="shared" si="188"/>
        <v/>
      </c>
      <c r="AM498" t="str">
        <f t="shared" si="189"/>
        <v/>
      </c>
      <c r="AN498" t="str">
        <f t="shared" si="190"/>
        <v/>
      </c>
      <c r="AO498" t="str">
        <f t="shared" si="191"/>
        <v/>
      </c>
      <c r="AP498" t="str">
        <f t="shared" si="192"/>
        <v/>
      </c>
      <c r="AQ498" t="str">
        <f t="shared" si="193"/>
        <v/>
      </c>
      <c r="AR498" t="str">
        <f t="shared" si="194"/>
        <v/>
      </c>
      <c r="AS498" t="str">
        <f t="shared" si="195"/>
        <v/>
      </c>
      <c r="AT498" t="str">
        <f t="shared" si="196"/>
        <v/>
      </c>
      <c r="AU498" s="25" t="str">
        <f t="shared" si="200"/>
        <v/>
      </c>
      <c r="BA498">
        <f>'REGISTER SK'!F501</f>
        <v>0</v>
      </c>
    </row>
    <row r="499" spans="1:53" x14ac:dyDescent="0.35">
      <c r="A499" s="18">
        <v>498</v>
      </c>
      <c r="B499" s="18"/>
      <c r="C499" s="18" t="str">
        <f>IF(G499="","",IF(G499="Umum",G499,VLOOKUP(F499,'Data Induk Pegawai'!B:AE,4,FALSE)))</f>
        <v/>
      </c>
      <c r="D499" s="19" t="str">
        <f>IF('REGISTER SK'!A502="","",IF('REGISTER SK'!B502=0,D498,'REGISTER SK'!B502))</f>
        <v/>
      </c>
      <c r="E499" s="19" t="str">
        <f t="shared" si="197"/>
        <v/>
      </c>
      <c r="F499" s="29"/>
      <c r="G499" s="29"/>
      <c r="H499" s="31" t="str">
        <f>IF(F499="","",VLOOKUP(F499,'Data Induk Pegawai'!B:U,2,FALSE))</f>
        <v/>
      </c>
      <c r="I499" s="19" t="str">
        <f>IF('REGISTER SK'!C502="","",'REGISTER SK'!C502)</f>
        <v/>
      </c>
      <c r="J499" s="125"/>
      <c r="K499" s="125"/>
      <c r="L499" s="26" t="str">
        <f>IF('REGISTER SK'!D502="","",'REGISTER SK'!D502)</f>
        <v/>
      </c>
      <c r="M499" s="26" t="str">
        <f>IF('REGISTER SK'!E502="","",'REGISTER SK'!E502)</f>
        <v/>
      </c>
      <c r="N499" s="31" t="str">
        <f>IF(G499="","",IF(OR(G499="GTT",G499="PTT"),"--",VLOOKUP(F499,'Data Induk Pegawai'!B:AE,4,FALSE)))</f>
        <v/>
      </c>
      <c r="O499" s="18" t="str">
        <f>IF(G499="","",VLOOKUP(F499,'Data Induk Pegawai'!B:AE,6,FALSE))</f>
        <v/>
      </c>
      <c r="P499" s="31" t="str">
        <f>IF(G499="","",VLOOKUP(F499,'Data Induk Pegawai'!B:AE,7,FALSE))</f>
        <v/>
      </c>
      <c r="Q499" s="30"/>
      <c r="R499" s="26" t="str">
        <f>IF(G499="","","Nomor "&amp;RIGHT(VLOOKUP(F499,'Data Induk Pegawai'!B:AE,12,FALSE),2)&amp;" Tahun "&amp;MID(VLOOKUP(F499,'Data Induk Pegawai'!B:AE,12,FALSE),5,4))</f>
        <v/>
      </c>
      <c r="S499" s="26" t="str">
        <f>IF(G499="","",VLOOKUP(F499,'Data Induk Pegawai'!B:AE,11,FALSE))</f>
        <v/>
      </c>
      <c r="T499" s="56"/>
      <c r="U499" s="18" t="str">
        <f t="shared" si="179"/>
        <v/>
      </c>
      <c r="V499" s="30"/>
      <c r="W499" s="18" t="str">
        <f t="shared" si="201"/>
        <v/>
      </c>
      <c r="Y499" t="str">
        <f t="shared" si="180"/>
        <v/>
      </c>
      <c r="Z499" t="str">
        <f t="shared" si="181"/>
        <v/>
      </c>
      <c r="AA499" t="str">
        <f t="shared" si="182"/>
        <v/>
      </c>
      <c r="AB499" t="str">
        <f>COUNTIFS(AC499:AC$596,AC499)&amp;AC499</f>
        <v>98</v>
      </c>
      <c r="AC499" t="str">
        <f t="shared" si="198"/>
        <v/>
      </c>
      <c r="AD499" t="str">
        <f>COUNTIFS(AC$2:AC499,AC499)&amp;AC499</f>
        <v>498</v>
      </c>
      <c r="AE499" t="str">
        <f t="shared" si="183"/>
        <v/>
      </c>
      <c r="AF499" t="str">
        <f t="shared" si="199"/>
        <v>..</v>
      </c>
      <c r="AG499" s="28" t="str">
        <f t="shared" si="202"/>
        <v/>
      </c>
      <c r="AH499" s="28" t="str">
        <f t="shared" si="184"/>
        <v/>
      </c>
      <c r="AI499" t="str">
        <f t="shared" si="185"/>
        <v/>
      </c>
      <c r="AJ499" t="str">
        <f t="shared" si="186"/>
        <v/>
      </c>
      <c r="AK499" t="str">
        <f t="shared" si="187"/>
        <v/>
      </c>
      <c r="AL499" t="str">
        <f t="shared" si="188"/>
        <v/>
      </c>
      <c r="AM499" t="str">
        <f t="shared" si="189"/>
        <v/>
      </c>
      <c r="AN499" t="str">
        <f t="shared" si="190"/>
        <v/>
      </c>
      <c r="AO499" t="str">
        <f t="shared" si="191"/>
        <v/>
      </c>
      <c r="AP499" t="str">
        <f t="shared" si="192"/>
        <v/>
      </c>
      <c r="AQ499" t="str">
        <f t="shared" si="193"/>
        <v/>
      </c>
      <c r="AR499" t="str">
        <f t="shared" si="194"/>
        <v/>
      </c>
      <c r="AS499" t="str">
        <f t="shared" si="195"/>
        <v/>
      </c>
      <c r="AT499" t="str">
        <f t="shared" si="196"/>
        <v/>
      </c>
      <c r="AU499" s="25" t="str">
        <f t="shared" si="200"/>
        <v/>
      </c>
      <c r="BA499">
        <f>'REGISTER SK'!F502</f>
        <v>0</v>
      </c>
    </row>
    <row r="500" spans="1:53" x14ac:dyDescent="0.35">
      <c r="A500" s="18">
        <v>499</v>
      </c>
      <c r="B500" s="18"/>
      <c r="C500" s="18" t="str">
        <f>IF(G500="","",IF(G500="Umum",G500,VLOOKUP(F500,'Data Induk Pegawai'!B:AE,4,FALSE)))</f>
        <v/>
      </c>
      <c r="D500" s="19" t="str">
        <f>IF('REGISTER SK'!A503="","",IF('REGISTER SK'!B503=0,D499,'REGISTER SK'!B503))</f>
        <v/>
      </c>
      <c r="E500" s="19" t="str">
        <f t="shared" si="197"/>
        <v/>
      </c>
      <c r="F500" s="29"/>
      <c r="G500" s="29"/>
      <c r="H500" s="31" t="str">
        <f>IF(F500="","",VLOOKUP(F500,'Data Induk Pegawai'!B:U,2,FALSE))</f>
        <v/>
      </c>
      <c r="I500" s="19" t="str">
        <f>IF('REGISTER SK'!C503="","",'REGISTER SK'!C503)</f>
        <v/>
      </c>
      <c r="J500" s="125"/>
      <c r="K500" s="125"/>
      <c r="L500" s="26" t="str">
        <f>IF('REGISTER SK'!D503="","",'REGISTER SK'!D503)</f>
        <v/>
      </c>
      <c r="M500" s="26" t="str">
        <f>IF('REGISTER SK'!E503="","",'REGISTER SK'!E503)</f>
        <v/>
      </c>
      <c r="N500" s="31" t="str">
        <f>IF(G500="","",IF(OR(G500="GTT",G500="PTT"),"--",VLOOKUP(F500,'Data Induk Pegawai'!B:AE,4,FALSE)))</f>
        <v/>
      </c>
      <c r="O500" s="18" t="str">
        <f>IF(G500="","",VLOOKUP(F500,'Data Induk Pegawai'!B:AE,6,FALSE))</f>
        <v/>
      </c>
      <c r="P500" s="31" t="str">
        <f>IF(G500="","",VLOOKUP(F500,'Data Induk Pegawai'!B:AE,7,FALSE))</f>
        <v/>
      </c>
      <c r="Q500" s="30"/>
      <c r="R500" s="26" t="str">
        <f>IF(G500="","","Nomor "&amp;RIGHT(VLOOKUP(F500,'Data Induk Pegawai'!B:AE,12,FALSE),2)&amp;" Tahun "&amp;MID(VLOOKUP(F500,'Data Induk Pegawai'!B:AE,12,FALSE),5,4))</f>
        <v/>
      </c>
      <c r="S500" s="26" t="str">
        <f>IF(G500="","",VLOOKUP(F500,'Data Induk Pegawai'!B:AE,11,FALSE))</f>
        <v/>
      </c>
      <c r="T500" s="56"/>
      <c r="U500" s="18" t="str">
        <f t="shared" si="179"/>
        <v/>
      </c>
      <c r="V500" s="30"/>
      <c r="W500" s="18" t="str">
        <f t="shared" si="201"/>
        <v/>
      </c>
      <c r="Y500" t="str">
        <f t="shared" si="180"/>
        <v/>
      </c>
      <c r="Z500" t="str">
        <f t="shared" si="181"/>
        <v/>
      </c>
      <c r="AA500" t="str">
        <f t="shared" si="182"/>
        <v/>
      </c>
      <c r="AB500" t="str">
        <f>COUNTIFS(AC500:AC$596,AC500)&amp;AC500</f>
        <v>97</v>
      </c>
      <c r="AC500" t="str">
        <f t="shared" si="198"/>
        <v/>
      </c>
      <c r="AD500" t="str">
        <f>COUNTIFS(AC$2:AC500,AC500)&amp;AC500</f>
        <v>499</v>
      </c>
      <c r="AE500" t="str">
        <f t="shared" si="183"/>
        <v/>
      </c>
      <c r="AF500" t="str">
        <f t="shared" si="199"/>
        <v>..</v>
      </c>
      <c r="AG500" s="28" t="str">
        <f t="shared" si="202"/>
        <v/>
      </c>
      <c r="AH500" s="28" t="str">
        <f t="shared" si="184"/>
        <v/>
      </c>
      <c r="AI500" t="str">
        <f t="shared" si="185"/>
        <v/>
      </c>
      <c r="AJ500" t="str">
        <f t="shared" si="186"/>
        <v/>
      </c>
      <c r="AK500" t="str">
        <f t="shared" si="187"/>
        <v/>
      </c>
      <c r="AL500" t="str">
        <f t="shared" si="188"/>
        <v/>
      </c>
      <c r="AM500" t="str">
        <f t="shared" si="189"/>
        <v/>
      </c>
      <c r="AN500" t="str">
        <f t="shared" si="190"/>
        <v/>
      </c>
      <c r="AO500" t="str">
        <f t="shared" si="191"/>
        <v/>
      </c>
      <c r="AP500" t="str">
        <f t="shared" si="192"/>
        <v/>
      </c>
      <c r="AQ500" t="str">
        <f t="shared" si="193"/>
        <v/>
      </c>
      <c r="AR500" t="str">
        <f t="shared" si="194"/>
        <v/>
      </c>
      <c r="AS500" t="str">
        <f t="shared" si="195"/>
        <v/>
      </c>
      <c r="AT500" t="str">
        <f t="shared" si="196"/>
        <v/>
      </c>
      <c r="AU500" s="25" t="str">
        <f t="shared" si="200"/>
        <v/>
      </c>
      <c r="BA500">
        <f>'REGISTER SK'!F503</f>
        <v>0</v>
      </c>
    </row>
    <row r="501" spans="1:53" x14ac:dyDescent="0.35">
      <c r="A501" s="18">
        <v>500</v>
      </c>
      <c r="B501" s="18"/>
      <c r="C501" s="18" t="str">
        <f>IF(G501="","",IF(G501="Umum",G501,VLOOKUP(F501,'Data Induk Pegawai'!B:AE,4,FALSE)))</f>
        <v/>
      </c>
      <c r="D501" s="19" t="str">
        <f>IF('REGISTER SK'!A504="","",IF('REGISTER SK'!B504=0,D500,'REGISTER SK'!B504))</f>
        <v/>
      </c>
      <c r="E501" s="19" t="str">
        <f t="shared" si="197"/>
        <v/>
      </c>
      <c r="F501" s="29"/>
      <c r="G501" s="29"/>
      <c r="H501" s="31" t="str">
        <f>IF(F501="","",VLOOKUP(F501,'Data Induk Pegawai'!B:U,2,FALSE))</f>
        <v/>
      </c>
      <c r="I501" s="19" t="str">
        <f>IF('REGISTER SK'!C504="","",'REGISTER SK'!C504)</f>
        <v/>
      </c>
      <c r="J501" s="125"/>
      <c r="K501" s="125"/>
      <c r="L501" s="26" t="str">
        <f>IF('REGISTER SK'!D504="","",'REGISTER SK'!D504)</f>
        <v/>
      </c>
      <c r="M501" s="26" t="str">
        <f>IF('REGISTER SK'!E504="","",'REGISTER SK'!E504)</f>
        <v/>
      </c>
      <c r="N501" s="31" t="str">
        <f>IF(G501="","",IF(OR(G501="GTT",G501="PTT"),"--",VLOOKUP(F501,'Data Induk Pegawai'!B:AE,4,FALSE)))</f>
        <v/>
      </c>
      <c r="O501" s="18" t="str">
        <f>IF(G501="","",VLOOKUP(F501,'Data Induk Pegawai'!B:AE,6,FALSE))</f>
        <v/>
      </c>
      <c r="P501" s="31" t="str">
        <f>IF(G501="","",VLOOKUP(F501,'Data Induk Pegawai'!B:AE,7,FALSE))</f>
        <v/>
      </c>
      <c r="Q501" s="30"/>
      <c r="R501" s="26" t="str">
        <f>IF(G501="","","Nomor "&amp;RIGHT(VLOOKUP(F501,'Data Induk Pegawai'!B:AE,12,FALSE),2)&amp;" Tahun "&amp;MID(VLOOKUP(F501,'Data Induk Pegawai'!B:AE,12,FALSE),5,4))</f>
        <v/>
      </c>
      <c r="S501" s="26" t="str">
        <f>IF(G501="","",VLOOKUP(F501,'Data Induk Pegawai'!B:AE,11,FALSE))</f>
        <v/>
      </c>
      <c r="T501" s="56"/>
      <c r="U501" s="18" t="str">
        <f t="shared" si="179"/>
        <v/>
      </c>
      <c r="V501" s="30"/>
      <c r="W501" s="18" t="str">
        <f t="shared" si="201"/>
        <v/>
      </c>
      <c r="Y501" t="str">
        <f t="shared" si="180"/>
        <v/>
      </c>
      <c r="Z501" t="str">
        <f t="shared" si="181"/>
        <v/>
      </c>
      <c r="AA501" t="str">
        <f t="shared" si="182"/>
        <v/>
      </c>
      <c r="AB501" t="str">
        <f>COUNTIFS(AC501:AC$596,AC501)&amp;AC501</f>
        <v>96</v>
      </c>
      <c r="AC501" t="str">
        <f t="shared" si="198"/>
        <v/>
      </c>
      <c r="AD501" t="str">
        <f>COUNTIFS(AC$2:AC501,AC501)&amp;AC501</f>
        <v>500</v>
      </c>
      <c r="AE501" t="str">
        <f t="shared" si="183"/>
        <v/>
      </c>
      <c r="AF501" t="str">
        <f t="shared" si="199"/>
        <v>..</v>
      </c>
      <c r="AG501" s="28" t="str">
        <f t="shared" si="202"/>
        <v/>
      </c>
      <c r="AH501" s="28" t="str">
        <f t="shared" si="184"/>
        <v/>
      </c>
      <c r="AI501" t="str">
        <f t="shared" si="185"/>
        <v/>
      </c>
      <c r="AJ501" t="str">
        <f t="shared" si="186"/>
        <v/>
      </c>
      <c r="AK501" t="str">
        <f t="shared" si="187"/>
        <v/>
      </c>
      <c r="AL501" t="str">
        <f t="shared" si="188"/>
        <v/>
      </c>
      <c r="AM501" t="str">
        <f t="shared" si="189"/>
        <v/>
      </c>
      <c r="AN501" t="str">
        <f t="shared" si="190"/>
        <v/>
      </c>
      <c r="AO501" t="str">
        <f t="shared" si="191"/>
        <v/>
      </c>
      <c r="AP501" t="str">
        <f t="shared" si="192"/>
        <v/>
      </c>
      <c r="AQ501" t="str">
        <f t="shared" si="193"/>
        <v/>
      </c>
      <c r="AR501" t="str">
        <f t="shared" si="194"/>
        <v/>
      </c>
      <c r="AS501" t="str">
        <f t="shared" si="195"/>
        <v/>
      </c>
      <c r="AT501" t="str">
        <f t="shared" si="196"/>
        <v/>
      </c>
      <c r="AU501" s="25" t="str">
        <f t="shared" si="200"/>
        <v/>
      </c>
      <c r="BA501">
        <f>'REGISTER SK'!F504</f>
        <v>0</v>
      </c>
    </row>
    <row r="502" spans="1:53" x14ac:dyDescent="0.35">
      <c r="A502" s="18">
        <v>501</v>
      </c>
      <c r="B502" s="18"/>
      <c r="C502" s="18" t="str">
        <f>IF(G502="","",IF(G502="Umum",G502,VLOOKUP(F502,'Data Induk Pegawai'!B:AE,4,FALSE)))</f>
        <v/>
      </c>
      <c r="D502" s="19" t="str">
        <f>IF('REGISTER SK'!A505="","",IF('REGISTER SK'!B505=0,D501,'REGISTER SK'!B505))</f>
        <v/>
      </c>
      <c r="E502" s="19" t="str">
        <f t="shared" si="197"/>
        <v/>
      </c>
      <c r="F502" s="29"/>
      <c r="G502" s="29"/>
      <c r="H502" s="31" t="str">
        <f>IF(F502="","",VLOOKUP(F502,'Data Induk Pegawai'!B:U,2,FALSE))</f>
        <v/>
      </c>
      <c r="I502" s="19" t="str">
        <f>IF('REGISTER SK'!C505="","",'REGISTER SK'!C505)</f>
        <v/>
      </c>
      <c r="J502" s="125"/>
      <c r="K502" s="125"/>
      <c r="L502" s="26" t="str">
        <f>IF('REGISTER SK'!D505="","",'REGISTER SK'!D505)</f>
        <v/>
      </c>
      <c r="M502" s="26" t="str">
        <f>IF('REGISTER SK'!E505="","",'REGISTER SK'!E505)</f>
        <v/>
      </c>
      <c r="N502" s="31" t="str">
        <f>IF(G502="","",IF(OR(G502="GTT",G502="PTT"),"--",VLOOKUP(F502,'Data Induk Pegawai'!B:AE,4,FALSE)))</f>
        <v/>
      </c>
      <c r="O502" s="18" t="str">
        <f>IF(G502="","",VLOOKUP(F502,'Data Induk Pegawai'!B:AE,6,FALSE))</f>
        <v/>
      </c>
      <c r="P502" s="31" t="str">
        <f>IF(G502="","",VLOOKUP(F502,'Data Induk Pegawai'!B:AE,7,FALSE))</f>
        <v/>
      </c>
      <c r="Q502" s="30"/>
      <c r="R502" s="26" t="str">
        <f>IF(G502="","","Nomor "&amp;RIGHT(VLOOKUP(F502,'Data Induk Pegawai'!B:AE,12,FALSE),2)&amp;" Tahun "&amp;MID(VLOOKUP(F502,'Data Induk Pegawai'!B:AE,12,FALSE),5,4))</f>
        <v/>
      </c>
      <c r="S502" s="26" t="str">
        <f>IF(G502="","",VLOOKUP(F502,'Data Induk Pegawai'!B:AE,11,FALSE))</f>
        <v/>
      </c>
      <c r="T502" s="56"/>
      <c r="U502" s="18" t="str">
        <f t="shared" si="179"/>
        <v/>
      </c>
      <c r="V502" s="30"/>
      <c r="W502" s="18" t="str">
        <f t="shared" si="201"/>
        <v/>
      </c>
      <c r="Y502" t="str">
        <f t="shared" si="180"/>
        <v/>
      </c>
      <c r="Z502" t="str">
        <f t="shared" si="181"/>
        <v/>
      </c>
      <c r="AA502" t="str">
        <f t="shared" si="182"/>
        <v/>
      </c>
      <c r="AB502" t="str">
        <f>COUNTIFS(AC502:AC$596,AC502)&amp;AC502</f>
        <v>95</v>
      </c>
      <c r="AC502" t="str">
        <f t="shared" si="198"/>
        <v/>
      </c>
      <c r="AD502" t="str">
        <f>COUNTIFS(AC$2:AC502,AC502)&amp;AC502</f>
        <v>501</v>
      </c>
      <c r="AE502" t="str">
        <f t="shared" si="183"/>
        <v/>
      </c>
      <c r="AF502" t="str">
        <f t="shared" si="199"/>
        <v>..</v>
      </c>
      <c r="AG502" s="28" t="str">
        <f t="shared" si="202"/>
        <v/>
      </c>
      <c r="AH502" s="28" t="str">
        <f t="shared" si="184"/>
        <v/>
      </c>
      <c r="AI502" t="str">
        <f t="shared" si="185"/>
        <v/>
      </c>
      <c r="AJ502" t="str">
        <f t="shared" si="186"/>
        <v/>
      </c>
      <c r="AK502" t="str">
        <f t="shared" si="187"/>
        <v/>
      </c>
      <c r="AL502" t="str">
        <f t="shared" si="188"/>
        <v/>
      </c>
      <c r="AM502" t="str">
        <f t="shared" si="189"/>
        <v/>
      </c>
      <c r="AN502" t="str">
        <f t="shared" si="190"/>
        <v/>
      </c>
      <c r="AO502" t="str">
        <f t="shared" si="191"/>
        <v/>
      </c>
      <c r="AP502" t="str">
        <f t="shared" si="192"/>
        <v/>
      </c>
      <c r="AQ502" t="str">
        <f t="shared" si="193"/>
        <v/>
      </c>
      <c r="AR502" t="str">
        <f t="shared" si="194"/>
        <v/>
      </c>
      <c r="AS502" t="str">
        <f t="shared" si="195"/>
        <v/>
      </c>
      <c r="AT502" t="str">
        <f t="shared" si="196"/>
        <v/>
      </c>
      <c r="AU502" s="25" t="str">
        <f t="shared" si="200"/>
        <v/>
      </c>
      <c r="BA502">
        <f>'REGISTER SK'!F505</f>
        <v>0</v>
      </c>
    </row>
    <row r="503" spans="1:53" x14ac:dyDescent="0.35">
      <c r="A503" s="18">
        <v>502</v>
      </c>
      <c r="B503" s="18"/>
      <c r="C503" s="18" t="str">
        <f>IF(G503="","",IF(G503="Umum",G503,VLOOKUP(F503,'Data Induk Pegawai'!B:AE,4,FALSE)))</f>
        <v/>
      </c>
      <c r="D503" s="19" t="str">
        <f>IF('REGISTER SK'!A506="","",IF('REGISTER SK'!B506=0,D502,'REGISTER SK'!B506))</f>
        <v/>
      </c>
      <c r="E503" s="19" t="str">
        <f t="shared" si="197"/>
        <v/>
      </c>
      <c r="F503" s="29"/>
      <c r="G503" s="29"/>
      <c r="H503" s="31" t="str">
        <f>IF(F503="","",VLOOKUP(F503,'Data Induk Pegawai'!B:U,2,FALSE))</f>
        <v/>
      </c>
      <c r="I503" s="19" t="str">
        <f>IF('REGISTER SK'!C506="","",'REGISTER SK'!C506)</f>
        <v/>
      </c>
      <c r="J503" s="125"/>
      <c r="K503" s="125"/>
      <c r="L503" s="26" t="str">
        <f>IF('REGISTER SK'!D506="","",'REGISTER SK'!D506)</f>
        <v/>
      </c>
      <c r="M503" s="26" t="str">
        <f>IF('REGISTER SK'!E506="","",'REGISTER SK'!E506)</f>
        <v/>
      </c>
      <c r="N503" s="31" t="str">
        <f>IF(G503="","",IF(OR(G503="GTT",G503="PTT"),"--",VLOOKUP(F503,'Data Induk Pegawai'!B:AE,4,FALSE)))</f>
        <v/>
      </c>
      <c r="O503" s="18" t="str">
        <f>IF(G503="","",VLOOKUP(F503,'Data Induk Pegawai'!B:AE,6,FALSE))</f>
        <v/>
      </c>
      <c r="P503" s="31" t="str">
        <f>IF(G503="","",VLOOKUP(F503,'Data Induk Pegawai'!B:AE,7,FALSE))</f>
        <v/>
      </c>
      <c r="Q503" s="30"/>
      <c r="R503" s="26" t="str">
        <f>IF(G503="","","Nomor "&amp;RIGHT(VLOOKUP(F503,'Data Induk Pegawai'!B:AE,12,FALSE),2)&amp;" Tahun "&amp;MID(VLOOKUP(F503,'Data Induk Pegawai'!B:AE,12,FALSE),5,4))</f>
        <v/>
      </c>
      <c r="S503" s="26" t="str">
        <f>IF(G503="","",VLOOKUP(F503,'Data Induk Pegawai'!B:AE,11,FALSE))</f>
        <v/>
      </c>
      <c r="T503" s="56"/>
      <c r="U503" s="18" t="str">
        <f t="shared" si="179"/>
        <v/>
      </c>
      <c r="V503" s="30"/>
      <c r="W503" s="18" t="str">
        <f t="shared" si="201"/>
        <v/>
      </c>
      <c r="Y503" t="str">
        <f t="shared" si="180"/>
        <v/>
      </c>
      <c r="Z503" t="str">
        <f t="shared" si="181"/>
        <v/>
      </c>
      <c r="AA503" t="str">
        <f t="shared" si="182"/>
        <v/>
      </c>
      <c r="AB503" t="str">
        <f>COUNTIFS(AC503:AC$596,AC503)&amp;AC503</f>
        <v>94</v>
      </c>
      <c r="AC503" t="str">
        <f t="shared" si="198"/>
        <v/>
      </c>
      <c r="AD503" t="str">
        <f>COUNTIFS(AC$2:AC503,AC503)&amp;AC503</f>
        <v>502</v>
      </c>
      <c r="AE503" t="str">
        <f t="shared" si="183"/>
        <v/>
      </c>
      <c r="AF503" t="str">
        <f t="shared" si="199"/>
        <v>..</v>
      </c>
      <c r="AG503" s="28" t="str">
        <f t="shared" si="202"/>
        <v/>
      </c>
      <c r="AH503" s="28" t="str">
        <f t="shared" si="184"/>
        <v/>
      </c>
      <c r="AI503" t="str">
        <f t="shared" si="185"/>
        <v/>
      </c>
      <c r="AJ503" t="str">
        <f t="shared" si="186"/>
        <v/>
      </c>
      <c r="AK503" t="str">
        <f t="shared" si="187"/>
        <v/>
      </c>
      <c r="AL503" t="str">
        <f t="shared" si="188"/>
        <v/>
      </c>
      <c r="AM503" t="str">
        <f t="shared" si="189"/>
        <v/>
      </c>
      <c r="AN503" t="str">
        <f t="shared" si="190"/>
        <v/>
      </c>
      <c r="AO503" t="str">
        <f t="shared" si="191"/>
        <v/>
      </c>
      <c r="AP503" t="str">
        <f t="shared" si="192"/>
        <v/>
      </c>
      <c r="AQ503" t="str">
        <f t="shared" si="193"/>
        <v/>
      </c>
      <c r="AR503" t="str">
        <f t="shared" si="194"/>
        <v/>
      </c>
      <c r="AS503" t="str">
        <f t="shared" si="195"/>
        <v/>
      </c>
      <c r="AT503" t="str">
        <f t="shared" si="196"/>
        <v/>
      </c>
      <c r="AU503" s="25" t="str">
        <f t="shared" si="200"/>
        <v/>
      </c>
      <c r="BA503">
        <f>'REGISTER SK'!F506</f>
        <v>0</v>
      </c>
    </row>
    <row r="504" spans="1:53" x14ac:dyDescent="0.35">
      <c r="A504" s="18">
        <v>503</v>
      </c>
      <c r="B504" s="18"/>
      <c r="C504" s="18" t="str">
        <f>IF(G504="","",IF(G504="Umum",G504,VLOOKUP(F504,'Data Induk Pegawai'!B:AE,4,FALSE)))</f>
        <v/>
      </c>
      <c r="D504" s="19" t="str">
        <f>IF('REGISTER SK'!A507="","",IF('REGISTER SK'!B507=0,D503,'REGISTER SK'!B507))</f>
        <v/>
      </c>
      <c r="E504" s="19" t="str">
        <f t="shared" si="197"/>
        <v/>
      </c>
      <c r="F504" s="29"/>
      <c r="G504" s="29"/>
      <c r="H504" s="31" t="str">
        <f>IF(F504="","",VLOOKUP(F504,'Data Induk Pegawai'!B:U,2,FALSE))</f>
        <v/>
      </c>
      <c r="I504" s="19" t="str">
        <f>IF('REGISTER SK'!C507="","",'REGISTER SK'!C507)</f>
        <v/>
      </c>
      <c r="J504" s="125"/>
      <c r="K504" s="125"/>
      <c r="L504" s="26" t="str">
        <f>IF('REGISTER SK'!D507="","",'REGISTER SK'!D507)</f>
        <v/>
      </c>
      <c r="M504" s="26" t="str">
        <f>IF('REGISTER SK'!E507="","",'REGISTER SK'!E507)</f>
        <v/>
      </c>
      <c r="N504" s="31" t="str">
        <f>IF(G504="","",IF(OR(G504="GTT",G504="PTT"),"--",VLOOKUP(F504,'Data Induk Pegawai'!B:AE,4,FALSE)))</f>
        <v/>
      </c>
      <c r="O504" s="18" t="str">
        <f>IF(G504="","",VLOOKUP(F504,'Data Induk Pegawai'!B:AE,6,FALSE))</f>
        <v/>
      </c>
      <c r="P504" s="31" t="str">
        <f>IF(G504="","",VLOOKUP(F504,'Data Induk Pegawai'!B:AE,7,FALSE))</f>
        <v/>
      </c>
      <c r="Q504" s="30"/>
      <c r="R504" s="26" t="str">
        <f>IF(G504="","","Nomor "&amp;RIGHT(VLOOKUP(F504,'Data Induk Pegawai'!B:AE,12,FALSE),2)&amp;" Tahun "&amp;MID(VLOOKUP(F504,'Data Induk Pegawai'!B:AE,12,FALSE),5,4))</f>
        <v/>
      </c>
      <c r="S504" s="26" t="str">
        <f>IF(G504="","",VLOOKUP(F504,'Data Induk Pegawai'!B:AE,11,FALSE))</f>
        <v/>
      </c>
      <c r="T504" s="56"/>
      <c r="U504" s="18" t="str">
        <f t="shared" si="179"/>
        <v/>
      </c>
      <c r="V504" s="30"/>
      <c r="W504" s="18" t="str">
        <f t="shared" si="201"/>
        <v/>
      </c>
      <c r="Y504" t="str">
        <f t="shared" si="180"/>
        <v/>
      </c>
      <c r="Z504" t="str">
        <f t="shared" si="181"/>
        <v/>
      </c>
      <c r="AA504" t="str">
        <f t="shared" si="182"/>
        <v/>
      </c>
      <c r="AB504" t="str">
        <f>COUNTIFS(AC504:AC$596,AC504)&amp;AC504</f>
        <v>93</v>
      </c>
      <c r="AC504" t="str">
        <f t="shared" si="198"/>
        <v/>
      </c>
      <c r="AD504" t="str">
        <f>COUNTIFS(AC$2:AC504,AC504)&amp;AC504</f>
        <v>503</v>
      </c>
      <c r="AE504" t="str">
        <f t="shared" si="183"/>
        <v/>
      </c>
      <c r="AF504" t="str">
        <f t="shared" si="199"/>
        <v>..</v>
      </c>
      <c r="AG504" s="28" t="str">
        <f t="shared" si="202"/>
        <v/>
      </c>
      <c r="AH504" s="28" t="str">
        <f t="shared" si="184"/>
        <v/>
      </c>
      <c r="AI504" t="str">
        <f t="shared" si="185"/>
        <v/>
      </c>
      <c r="AJ504" t="str">
        <f t="shared" si="186"/>
        <v/>
      </c>
      <c r="AK504" t="str">
        <f t="shared" si="187"/>
        <v/>
      </c>
      <c r="AL504" t="str">
        <f t="shared" si="188"/>
        <v/>
      </c>
      <c r="AM504" t="str">
        <f t="shared" si="189"/>
        <v/>
      </c>
      <c r="AN504" t="str">
        <f t="shared" si="190"/>
        <v/>
      </c>
      <c r="AO504" t="str">
        <f t="shared" si="191"/>
        <v/>
      </c>
      <c r="AP504" t="str">
        <f t="shared" si="192"/>
        <v/>
      </c>
      <c r="AQ504" t="str">
        <f t="shared" si="193"/>
        <v/>
      </c>
      <c r="AR504" t="str">
        <f t="shared" si="194"/>
        <v/>
      </c>
      <c r="AS504" t="str">
        <f t="shared" si="195"/>
        <v/>
      </c>
      <c r="AT504" t="str">
        <f t="shared" si="196"/>
        <v/>
      </c>
      <c r="AU504" s="25" t="str">
        <f t="shared" si="200"/>
        <v/>
      </c>
      <c r="BA504">
        <f>'REGISTER SK'!F507</f>
        <v>0</v>
      </c>
    </row>
    <row r="505" spans="1:53" x14ac:dyDescent="0.35">
      <c r="A505" s="18">
        <v>504</v>
      </c>
      <c r="B505" s="18"/>
      <c r="C505" s="18" t="str">
        <f>IF(G505="","",IF(G505="Umum",G505,VLOOKUP(F505,'Data Induk Pegawai'!B:AE,4,FALSE)))</f>
        <v/>
      </c>
      <c r="D505" s="19" t="str">
        <f>IF('REGISTER SK'!A508="","",IF('REGISTER SK'!B508=0,D504,'REGISTER SK'!B508))</f>
        <v/>
      </c>
      <c r="E505" s="19" t="str">
        <f t="shared" si="197"/>
        <v/>
      </c>
      <c r="F505" s="29"/>
      <c r="G505" s="29"/>
      <c r="H505" s="31" t="str">
        <f>IF(F505="","",VLOOKUP(F505,'Data Induk Pegawai'!B:U,2,FALSE))</f>
        <v/>
      </c>
      <c r="I505" s="19" t="str">
        <f>IF('REGISTER SK'!C508="","",'REGISTER SK'!C508)</f>
        <v/>
      </c>
      <c r="J505" s="125"/>
      <c r="K505" s="125"/>
      <c r="L505" s="26" t="str">
        <f>IF('REGISTER SK'!D508="","",'REGISTER SK'!D508)</f>
        <v/>
      </c>
      <c r="M505" s="26" t="str">
        <f>IF('REGISTER SK'!E508="","",'REGISTER SK'!E508)</f>
        <v/>
      </c>
      <c r="N505" s="31" t="str">
        <f>IF(G505="","",IF(OR(G505="GTT",G505="PTT"),"--",VLOOKUP(F505,'Data Induk Pegawai'!B:AE,4,FALSE)))</f>
        <v/>
      </c>
      <c r="O505" s="18" t="str">
        <f>IF(G505="","",VLOOKUP(F505,'Data Induk Pegawai'!B:AE,6,FALSE))</f>
        <v/>
      </c>
      <c r="P505" s="31" t="str">
        <f>IF(G505="","",VLOOKUP(F505,'Data Induk Pegawai'!B:AE,7,FALSE))</f>
        <v/>
      </c>
      <c r="Q505" s="30"/>
      <c r="R505" s="26" t="str">
        <f>IF(G505="","","Nomor "&amp;RIGHT(VLOOKUP(F505,'Data Induk Pegawai'!B:AE,12,FALSE),2)&amp;" Tahun "&amp;MID(VLOOKUP(F505,'Data Induk Pegawai'!B:AE,12,FALSE),5,4))</f>
        <v/>
      </c>
      <c r="S505" s="26" t="str">
        <f>IF(G505="","",VLOOKUP(F505,'Data Induk Pegawai'!B:AE,11,FALSE))</f>
        <v/>
      </c>
      <c r="T505" s="56"/>
      <c r="U505" s="18" t="str">
        <f t="shared" si="179"/>
        <v/>
      </c>
      <c r="V505" s="30"/>
      <c r="W505" s="18" t="str">
        <f t="shared" si="201"/>
        <v/>
      </c>
      <c r="Y505" t="str">
        <f t="shared" si="180"/>
        <v/>
      </c>
      <c r="Z505" t="str">
        <f t="shared" si="181"/>
        <v/>
      </c>
      <c r="AA505" t="str">
        <f t="shared" si="182"/>
        <v/>
      </c>
      <c r="AB505" t="str">
        <f>COUNTIFS(AC505:AC$596,AC505)&amp;AC505</f>
        <v>92</v>
      </c>
      <c r="AC505" t="str">
        <f t="shared" si="198"/>
        <v/>
      </c>
      <c r="AD505" t="str">
        <f>COUNTIFS(AC$2:AC505,AC505)&amp;AC505</f>
        <v>504</v>
      </c>
      <c r="AE505" t="str">
        <f t="shared" si="183"/>
        <v/>
      </c>
      <c r="AF505" t="str">
        <f t="shared" si="199"/>
        <v>..</v>
      </c>
      <c r="AG505" s="28" t="str">
        <f t="shared" si="202"/>
        <v/>
      </c>
      <c r="AH505" s="28" t="str">
        <f t="shared" si="184"/>
        <v/>
      </c>
      <c r="AI505" t="str">
        <f t="shared" si="185"/>
        <v/>
      </c>
      <c r="AJ505" t="str">
        <f t="shared" si="186"/>
        <v/>
      </c>
      <c r="AK505" t="str">
        <f t="shared" si="187"/>
        <v/>
      </c>
      <c r="AL505" t="str">
        <f t="shared" si="188"/>
        <v/>
      </c>
      <c r="AM505" t="str">
        <f t="shared" si="189"/>
        <v/>
      </c>
      <c r="AN505" t="str">
        <f t="shared" si="190"/>
        <v/>
      </c>
      <c r="AO505" t="str">
        <f t="shared" si="191"/>
        <v/>
      </c>
      <c r="AP505" t="str">
        <f t="shared" si="192"/>
        <v/>
      </c>
      <c r="AQ505" t="str">
        <f t="shared" si="193"/>
        <v/>
      </c>
      <c r="AR505" t="str">
        <f t="shared" si="194"/>
        <v/>
      </c>
      <c r="AS505" t="str">
        <f t="shared" si="195"/>
        <v/>
      </c>
      <c r="AT505" t="str">
        <f t="shared" si="196"/>
        <v/>
      </c>
      <c r="AU505" s="25" t="str">
        <f t="shared" si="200"/>
        <v/>
      </c>
      <c r="BA505">
        <f>'REGISTER SK'!F508</f>
        <v>0</v>
      </c>
    </row>
    <row r="506" spans="1:53" x14ac:dyDescent="0.35">
      <c r="A506" s="18">
        <v>505</v>
      </c>
      <c r="B506" s="18"/>
      <c r="C506" s="18" t="str">
        <f>IF(G506="","",IF(G506="Umum",G506,VLOOKUP(F506,'Data Induk Pegawai'!B:AE,4,FALSE)))</f>
        <v/>
      </c>
      <c r="D506" s="19" t="str">
        <f>IF('REGISTER SK'!A509="","",IF('REGISTER SK'!B509=0,D505,'REGISTER SK'!B509))</f>
        <v/>
      </c>
      <c r="E506" s="19" t="str">
        <f t="shared" si="197"/>
        <v/>
      </c>
      <c r="F506" s="29"/>
      <c r="G506" s="29"/>
      <c r="H506" s="31" t="str">
        <f>IF(F506="","",VLOOKUP(F506,'Data Induk Pegawai'!B:U,2,FALSE))</f>
        <v/>
      </c>
      <c r="I506" s="19" t="str">
        <f>IF('REGISTER SK'!C509="","",'REGISTER SK'!C509)</f>
        <v/>
      </c>
      <c r="J506" s="125"/>
      <c r="K506" s="125"/>
      <c r="L506" s="26" t="str">
        <f>IF('REGISTER SK'!D509="","",'REGISTER SK'!D509)</f>
        <v/>
      </c>
      <c r="M506" s="26" t="str">
        <f>IF('REGISTER SK'!E509="","",'REGISTER SK'!E509)</f>
        <v/>
      </c>
      <c r="N506" s="31" t="str">
        <f>IF(G506="","",IF(OR(G506="GTT",G506="PTT"),"--",VLOOKUP(F506,'Data Induk Pegawai'!B:AE,4,FALSE)))</f>
        <v/>
      </c>
      <c r="O506" s="18" t="str">
        <f>IF(G506="","",VLOOKUP(F506,'Data Induk Pegawai'!B:AE,6,FALSE))</f>
        <v/>
      </c>
      <c r="P506" s="31" t="str">
        <f>IF(G506="","",VLOOKUP(F506,'Data Induk Pegawai'!B:AE,7,FALSE))</f>
        <v/>
      </c>
      <c r="Q506" s="30"/>
      <c r="R506" s="26" t="str">
        <f>IF(G506="","","Nomor "&amp;RIGHT(VLOOKUP(F506,'Data Induk Pegawai'!B:AE,12,FALSE),2)&amp;" Tahun "&amp;MID(VLOOKUP(F506,'Data Induk Pegawai'!B:AE,12,FALSE),5,4))</f>
        <v/>
      </c>
      <c r="S506" s="26" t="str">
        <f>IF(G506="","",VLOOKUP(F506,'Data Induk Pegawai'!B:AE,11,FALSE))</f>
        <v/>
      </c>
      <c r="T506" s="56"/>
      <c r="U506" s="18" t="str">
        <f t="shared" si="179"/>
        <v/>
      </c>
      <c r="V506" s="30"/>
      <c r="W506" s="18" t="str">
        <f t="shared" si="201"/>
        <v/>
      </c>
      <c r="Y506" t="str">
        <f t="shared" si="180"/>
        <v/>
      </c>
      <c r="Z506" t="str">
        <f t="shared" si="181"/>
        <v/>
      </c>
      <c r="AA506" t="str">
        <f t="shared" si="182"/>
        <v/>
      </c>
      <c r="AB506" t="str">
        <f>COUNTIFS(AC506:AC$596,AC506)&amp;AC506</f>
        <v>91</v>
      </c>
      <c r="AC506" t="str">
        <f t="shared" si="198"/>
        <v/>
      </c>
      <c r="AD506" t="str">
        <f>COUNTIFS(AC$2:AC506,AC506)&amp;AC506</f>
        <v>505</v>
      </c>
      <c r="AE506" t="str">
        <f t="shared" si="183"/>
        <v/>
      </c>
      <c r="AF506" t="str">
        <f t="shared" si="199"/>
        <v>..</v>
      </c>
      <c r="AG506" s="28" t="str">
        <f t="shared" si="202"/>
        <v/>
      </c>
      <c r="AH506" s="28" t="str">
        <f t="shared" si="184"/>
        <v/>
      </c>
      <c r="AI506" t="str">
        <f t="shared" si="185"/>
        <v/>
      </c>
      <c r="AJ506" t="str">
        <f t="shared" si="186"/>
        <v/>
      </c>
      <c r="AK506" t="str">
        <f t="shared" si="187"/>
        <v/>
      </c>
      <c r="AL506" t="str">
        <f t="shared" si="188"/>
        <v/>
      </c>
      <c r="AM506" t="str">
        <f t="shared" si="189"/>
        <v/>
      </c>
      <c r="AN506" t="str">
        <f t="shared" si="190"/>
        <v/>
      </c>
      <c r="AO506" t="str">
        <f t="shared" si="191"/>
        <v/>
      </c>
      <c r="AP506" t="str">
        <f t="shared" si="192"/>
        <v/>
      </c>
      <c r="AQ506" t="str">
        <f t="shared" si="193"/>
        <v/>
      </c>
      <c r="AR506" t="str">
        <f t="shared" si="194"/>
        <v/>
      </c>
      <c r="AS506" t="str">
        <f t="shared" si="195"/>
        <v/>
      </c>
      <c r="AT506" t="str">
        <f t="shared" si="196"/>
        <v/>
      </c>
      <c r="AU506" s="25" t="str">
        <f t="shared" si="200"/>
        <v/>
      </c>
      <c r="BA506">
        <f>'REGISTER SK'!F509</f>
        <v>0</v>
      </c>
    </row>
    <row r="507" spans="1:53" x14ac:dyDescent="0.35">
      <c r="A507" s="18">
        <v>506</v>
      </c>
      <c r="B507" s="18"/>
      <c r="C507" s="18" t="str">
        <f>IF(G507="","",IF(G507="Umum",G507,VLOOKUP(F507,'Data Induk Pegawai'!B:AE,4,FALSE)))</f>
        <v/>
      </c>
      <c r="D507" s="19" t="str">
        <f>IF('REGISTER SK'!A510="","",IF('REGISTER SK'!B510=0,D506,'REGISTER SK'!B510))</f>
        <v/>
      </c>
      <c r="E507" s="19" t="str">
        <f t="shared" si="197"/>
        <v/>
      </c>
      <c r="F507" s="29"/>
      <c r="G507" s="29"/>
      <c r="H507" s="31" t="str">
        <f>IF(F507="","",VLOOKUP(F507,'Data Induk Pegawai'!B:U,2,FALSE))</f>
        <v/>
      </c>
      <c r="I507" s="19" t="str">
        <f>IF('REGISTER SK'!C510="","",'REGISTER SK'!C510)</f>
        <v/>
      </c>
      <c r="J507" s="125"/>
      <c r="K507" s="125"/>
      <c r="L507" s="26" t="str">
        <f>IF('REGISTER SK'!D510="","",'REGISTER SK'!D510)</f>
        <v/>
      </c>
      <c r="M507" s="26" t="str">
        <f>IF('REGISTER SK'!E510="","",'REGISTER SK'!E510)</f>
        <v/>
      </c>
      <c r="N507" s="31" t="str">
        <f>IF(G507="","",IF(OR(G507="GTT",G507="PTT"),"--",VLOOKUP(F507,'Data Induk Pegawai'!B:AE,4,FALSE)))</f>
        <v/>
      </c>
      <c r="O507" s="18" t="str">
        <f>IF(G507="","",VLOOKUP(F507,'Data Induk Pegawai'!B:AE,6,FALSE))</f>
        <v/>
      </c>
      <c r="P507" s="31" t="str">
        <f>IF(G507="","",VLOOKUP(F507,'Data Induk Pegawai'!B:AE,7,FALSE))</f>
        <v/>
      </c>
      <c r="Q507" s="30"/>
      <c r="R507" s="26" t="str">
        <f>IF(G507="","","Nomor "&amp;RIGHT(VLOOKUP(F507,'Data Induk Pegawai'!B:AE,12,FALSE),2)&amp;" Tahun "&amp;MID(VLOOKUP(F507,'Data Induk Pegawai'!B:AE,12,FALSE),5,4))</f>
        <v/>
      </c>
      <c r="S507" s="26" t="str">
        <f>IF(G507="","",VLOOKUP(F507,'Data Induk Pegawai'!B:AE,11,FALSE))</f>
        <v/>
      </c>
      <c r="T507" s="56"/>
      <c r="U507" s="18" t="str">
        <f t="shared" si="179"/>
        <v/>
      </c>
      <c r="V507" s="30"/>
      <c r="W507" s="18" t="str">
        <f t="shared" si="201"/>
        <v/>
      </c>
      <c r="Y507" t="str">
        <f t="shared" si="180"/>
        <v/>
      </c>
      <c r="Z507" t="str">
        <f t="shared" si="181"/>
        <v/>
      </c>
      <c r="AA507" t="str">
        <f t="shared" si="182"/>
        <v/>
      </c>
      <c r="AB507" t="str">
        <f>COUNTIFS(AC507:AC$596,AC507)&amp;AC507</f>
        <v>90</v>
      </c>
      <c r="AC507" t="str">
        <f t="shared" si="198"/>
        <v/>
      </c>
      <c r="AD507" t="str">
        <f>COUNTIFS(AC$2:AC507,AC507)&amp;AC507</f>
        <v>506</v>
      </c>
      <c r="AE507" t="str">
        <f t="shared" si="183"/>
        <v/>
      </c>
      <c r="AF507" t="str">
        <f t="shared" si="199"/>
        <v>..</v>
      </c>
      <c r="AG507" s="28" t="str">
        <f t="shared" si="202"/>
        <v/>
      </c>
      <c r="AH507" s="28" t="str">
        <f t="shared" si="184"/>
        <v/>
      </c>
      <c r="AI507" t="str">
        <f t="shared" si="185"/>
        <v/>
      </c>
      <c r="AJ507" t="str">
        <f t="shared" si="186"/>
        <v/>
      </c>
      <c r="AK507" t="str">
        <f t="shared" si="187"/>
        <v/>
      </c>
      <c r="AL507" t="str">
        <f t="shared" si="188"/>
        <v/>
      </c>
      <c r="AM507" t="str">
        <f t="shared" si="189"/>
        <v/>
      </c>
      <c r="AN507" t="str">
        <f t="shared" si="190"/>
        <v/>
      </c>
      <c r="AO507" t="str">
        <f t="shared" si="191"/>
        <v/>
      </c>
      <c r="AP507" t="str">
        <f t="shared" si="192"/>
        <v/>
      </c>
      <c r="AQ507" t="str">
        <f t="shared" si="193"/>
        <v/>
      </c>
      <c r="AR507" t="str">
        <f t="shared" si="194"/>
        <v/>
      </c>
      <c r="AS507" t="str">
        <f t="shared" si="195"/>
        <v/>
      </c>
      <c r="AT507" t="str">
        <f t="shared" si="196"/>
        <v/>
      </c>
      <c r="AU507" s="25" t="str">
        <f t="shared" si="200"/>
        <v/>
      </c>
      <c r="BA507">
        <f>'REGISTER SK'!F510</f>
        <v>0</v>
      </c>
    </row>
    <row r="508" spans="1:53" x14ac:dyDescent="0.35">
      <c r="A508" s="18">
        <v>507</v>
      </c>
      <c r="B508" s="18"/>
      <c r="C508" s="18" t="str">
        <f>IF(G508="","",IF(G508="Umum",G508,VLOOKUP(F508,'Data Induk Pegawai'!B:AE,4,FALSE)))</f>
        <v/>
      </c>
      <c r="D508" s="19" t="str">
        <f>IF('REGISTER SK'!A511="","",IF('REGISTER SK'!B511=0,D507,'REGISTER SK'!B511))</f>
        <v/>
      </c>
      <c r="E508" s="19" t="str">
        <f t="shared" si="197"/>
        <v/>
      </c>
      <c r="F508" s="29"/>
      <c r="G508" s="29"/>
      <c r="H508" s="31" t="str">
        <f>IF(F508="","",VLOOKUP(F508,'Data Induk Pegawai'!B:U,2,FALSE))</f>
        <v/>
      </c>
      <c r="I508" s="19" t="str">
        <f>IF('REGISTER SK'!C511="","",'REGISTER SK'!C511)</f>
        <v/>
      </c>
      <c r="J508" s="125"/>
      <c r="K508" s="125"/>
      <c r="L508" s="26" t="str">
        <f>IF('REGISTER SK'!D511="","",'REGISTER SK'!D511)</f>
        <v/>
      </c>
      <c r="M508" s="26" t="str">
        <f>IF('REGISTER SK'!E511="","",'REGISTER SK'!E511)</f>
        <v/>
      </c>
      <c r="N508" s="31" t="str">
        <f>IF(G508="","",IF(OR(G508="GTT",G508="PTT"),"--",VLOOKUP(F508,'Data Induk Pegawai'!B:AE,4,FALSE)))</f>
        <v/>
      </c>
      <c r="O508" s="18" t="str">
        <f>IF(G508="","",VLOOKUP(F508,'Data Induk Pegawai'!B:AE,6,FALSE))</f>
        <v/>
      </c>
      <c r="P508" s="31" t="str">
        <f>IF(G508="","",VLOOKUP(F508,'Data Induk Pegawai'!B:AE,7,FALSE))</f>
        <v/>
      </c>
      <c r="Q508" s="30"/>
      <c r="R508" s="26" t="str">
        <f>IF(G508="","","Nomor "&amp;RIGHT(VLOOKUP(F508,'Data Induk Pegawai'!B:AE,12,FALSE),2)&amp;" Tahun "&amp;MID(VLOOKUP(F508,'Data Induk Pegawai'!B:AE,12,FALSE),5,4))</f>
        <v/>
      </c>
      <c r="S508" s="26" t="str">
        <f>IF(G508="","",VLOOKUP(F508,'Data Induk Pegawai'!B:AE,11,FALSE))</f>
        <v/>
      </c>
      <c r="T508" s="56"/>
      <c r="U508" s="18" t="str">
        <f t="shared" si="179"/>
        <v/>
      </c>
      <c r="V508" s="30"/>
      <c r="W508" s="18" t="str">
        <f t="shared" si="201"/>
        <v/>
      </c>
      <c r="Y508" t="str">
        <f t="shared" si="180"/>
        <v/>
      </c>
      <c r="Z508" t="str">
        <f t="shared" si="181"/>
        <v/>
      </c>
      <c r="AA508" t="str">
        <f t="shared" si="182"/>
        <v/>
      </c>
      <c r="AB508" t="str">
        <f>COUNTIFS(AC508:AC$596,AC508)&amp;AC508</f>
        <v>89</v>
      </c>
      <c r="AC508" t="str">
        <f t="shared" si="198"/>
        <v/>
      </c>
      <c r="AD508" t="str">
        <f>COUNTIFS(AC$2:AC508,AC508)&amp;AC508</f>
        <v>507</v>
      </c>
      <c r="AE508" t="str">
        <f t="shared" si="183"/>
        <v/>
      </c>
      <c r="AF508" t="str">
        <f t="shared" si="199"/>
        <v>..</v>
      </c>
      <c r="AG508" s="28" t="str">
        <f t="shared" si="202"/>
        <v/>
      </c>
      <c r="AH508" s="28" t="str">
        <f t="shared" si="184"/>
        <v/>
      </c>
      <c r="AI508" t="str">
        <f t="shared" si="185"/>
        <v/>
      </c>
      <c r="AJ508" t="str">
        <f t="shared" si="186"/>
        <v/>
      </c>
      <c r="AK508" t="str">
        <f t="shared" si="187"/>
        <v/>
      </c>
      <c r="AL508" t="str">
        <f t="shared" si="188"/>
        <v/>
      </c>
      <c r="AM508" t="str">
        <f t="shared" si="189"/>
        <v/>
      </c>
      <c r="AN508" t="str">
        <f t="shared" si="190"/>
        <v/>
      </c>
      <c r="AO508" t="str">
        <f t="shared" si="191"/>
        <v/>
      </c>
      <c r="AP508" t="str">
        <f t="shared" si="192"/>
        <v/>
      </c>
      <c r="AQ508" t="str">
        <f t="shared" si="193"/>
        <v/>
      </c>
      <c r="AR508" t="str">
        <f t="shared" si="194"/>
        <v/>
      </c>
      <c r="AS508" t="str">
        <f t="shared" si="195"/>
        <v/>
      </c>
      <c r="AT508" t="str">
        <f t="shared" si="196"/>
        <v/>
      </c>
      <c r="AU508" s="25" t="str">
        <f t="shared" si="200"/>
        <v/>
      </c>
      <c r="BA508">
        <f>'REGISTER SK'!F511</f>
        <v>0</v>
      </c>
    </row>
    <row r="509" spans="1:53" x14ac:dyDescent="0.35">
      <c r="A509" s="18">
        <v>508</v>
      </c>
      <c r="B509" s="18"/>
      <c r="C509" s="18" t="str">
        <f>IF(G509="","",IF(G509="Umum",G509,VLOOKUP(F509,'Data Induk Pegawai'!B:AE,4,FALSE)))</f>
        <v/>
      </c>
      <c r="D509" s="19" t="str">
        <f>IF('REGISTER SK'!A512="","",IF('REGISTER SK'!B512=0,D508,'REGISTER SK'!B512))</f>
        <v/>
      </c>
      <c r="E509" s="19" t="str">
        <f t="shared" si="197"/>
        <v/>
      </c>
      <c r="F509" s="29"/>
      <c r="G509" s="29"/>
      <c r="H509" s="31" t="str">
        <f>IF(F509="","",VLOOKUP(F509,'Data Induk Pegawai'!B:U,2,FALSE))</f>
        <v/>
      </c>
      <c r="I509" s="19" t="str">
        <f>IF('REGISTER SK'!C512="","",'REGISTER SK'!C512)</f>
        <v/>
      </c>
      <c r="J509" s="125"/>
      <c r="K509" s="125"/>
      <c r="L509" s="26" t="str">
        <f>IF('REGISTER SK'!D512="","",'REGISTER SK'!D512)</f>
        <v/>
      </c>
      <c r="M509" s="26" t="str">
        <f>IF('REGISTER SK'!E512="","",'REGISTER SK'!E512)</f>
        <v/>
      </c>
      <c r="N509" s="31" t="str">
        <f>IF(G509="","",IF(OR(G509="GTT",G509="PTT"),"--",VLOOKUP(F509,'Data Induk Pegawai'!B:AE,4,FALSE)))</f>
        <v/>
      </c>
      <c r="O509" s="18" t="str">
        <f>IF(G509="","",VLOOKUP(F509,'Data Induk Pegawai'!B:AE,6,FALSE))</f>
        <v/>
      </c>
      <c r="P509" s="31" t="str">
        <f>IF(G509="","",VLOOKUP(F509,'Data Induk Pegawai'!B:AE,7,FALSE))</f>
        <v/>
      </c>
      <c r="Q509" s="30"/>
      <c r="R509" s="26" t="str">
        <f>IF(G509="","","Nomor "&amp;RIGHT(VLOOKUP(F509,'Data Induk Pegawai'!B:AE,12,FALSE),2)&amp;" Tahun "&amp;MID(VLOOKUP(F509,'Data Induk Pegawai'!B:AE,12,FALSE),5,4))</f>
        <v/>
      </c>
      <c r="S509" s="26" t="str">
        <f>IF(G509="","",VLOOKUP(F509,'Data Induk Pegawai'!B:AE,11,FALSE))</f>
        <v/>
      </c>
      <c r="T509" s="56"/>
      <c r="U509" s="18" t="str">
        <f t="shared" si="179"/>
        <v/>
      </c>
      <c r="V509" s="30"/>
      <c r="W509" s="18" t="str">
        <f t="shared" si="201"/>
        <v/>
      </c>
      <c r="Y509" t="str">
        <f t="shared" si="180"/>
        <v/>
      </c>
      <c r="Z509" t="str">
        <f t="shared" si="181"/>
        <v/>
      </c>
      <c r="AA509" t="str">
        <f t="shared" si="182"/>
        <v/>
      </c>
      <c r="AB509" t="str">
        <f>COUNTIFS(AC509:AC$596,AC509)&amp;AC509</f>
        <v>88</v>
      </c>
      <c r="AC509" t="str">
        <f t="shared" si="198"/>
        <v/>
      </c>
      <c r="AD509" t="str">
        <f>COUNTIFS(AC$2:AC509,AC509)&amp;AC509</f>
        <v>508</v>
      </c>
      <c r="AE509" t="str">
        <f t="shared" si="183"/>
        <v/>
      </c>
      <c r="AF509" t="str">
        <f t="shared" si="199"/>
        <v>..</v>
      </c>
      <c r="AG509" s="28" t="str">
        <f t="shared" si="202"/>
        <v/>
      </c>
      <c r="AH509" s="28" t="str">
        <f t="shared" si="184"/>
        <v/>
      </c>
      <c r="AI509" t="str">
        <f t="shared" si="185"/>
        <v/>
      </c>
      <c r="AJ509" t="str">
        <f t="shared" si="186"/>
        <v/>
      </c>
      <c r="AK509" t="str">
        <f t="shared" si="187"/>
        <v/>
      </c>
      <c r="AL509" t="str">
        <f t="shared" si="188"/>
        <v/>
      </c>
      <c r="AM509" t="str">
        <f t="shared" si="189"/>
        <v/>
      </c>
      <c r="AN509" t="str">
        <f t="shared" si="190"/>
        <v/>
      </c>
      <c r="AO509" t="str">
        <f t="shared" si="191"/>
        <v/>
      </c>
      <c r="AP509" t="str">
        <f t="shared" si="192"/>
        <v/>
      </c>
      <c r="AQ509" t="str">
        <f t="shared" si="193"/>
        <v/>
      </c>
      <c r="AR509" t="str">
        <f t="shared" si="194"/>
        <v/>
      </c>
      <c r="AS509" t="str">
        <f t="shared" si="195"/>
        <v/>
      </c>
      <c r="AT509" t="str">
        <f t="shared" si="196"/>
        <v/>
      </c>
      <c r="AU509" s="25" t="str">
        <f t="shared" si="200"/>
        <v/>
      </c>
      <c r="BA509">
        <f>'REGISTER SK'!F512</f>
        <v>0</v>
      </c>
    </row>
    <row r="510" spans="1:53" x14ac:dyDescent="0.35">
      <c r="A510" s="18">
        <v>509</v>
      </c>
      <c r="B510" s="18"/>
      <c r="C510" s="18" t="str">
        <f>IF(G510="","",IF(G510="Umum",G510,VLOOKUP(F510,'Data Induk Pegawai'!B:AE,4,FALSE)))</f>
        <v/>
      </c>
      <c r="D510" s="19" t="str">
        <f>IF('REGISTER SK'!A513="","",IF('REGISTER SK'!B513=0,D509,'REGISTER SK'!B513))</f>
        <v/>
      </c>
      <c r="E510" s="19" t="str">
        <f t="shared" si="197"/>
        <v/>
      </c>
      <c r="F510" s="29"/>
      <c r="G510" s="29"/>
      <c r="H510" s="31" t="str">
        <f>IF(F510="","",VLOOKUP(F510,'Data Induk Pegawai'!B:U,2,FALSE))</f>
        <v/>
      </c>
      <c r="I510" s="19" t="str">
        <f>IF('REGISTER SK'!C513="","",'REGISTER SK'!C513)</f>
        <v/>
      </c>
      <c r="J510" s="125"/>
      <c r="K510" s="125"/>
      <c r="L510" s="26" t="str">
        <f>IF('REGISTER SK'!D513="","",'REGISTER SK'!D513)</f>
        <v/>
      </c>
      <c r="M510" s="26" t="str">
        <f>IF('REGISTER SK'!E513="","",'REGISTER SK'!E513)</f>
        <v/>
      </c>
      <c r="N510" s="31" t="str">
        <f>IF(G510="","",IF(OR(G510="GTT",G510="PTT"),"--",VLOOKUP(F510,'Data Induk Pegawai'!B:AE,4,FALSE)))</f>
        <v/>
      </c>
      <c r="O510" s="18" t="str">
        <f>IF(G510="","",VLOOKUP(F510,'Data Induk Pegawai'!B:AE,6,FALSE))</f>
        <v/>
      </c>
      <c r="P510" s="31" t="str">
        <f>IF(G510="","",VLOOKUP(F510,'Data Induk Pegawai'!B:AE,7,FALSE))</f>
        <v/>
      </c>
      <c r="Q510" s="30"/>
      <c r="R510" s="26" t="str">
        <f>IF(G510="","","Nomor "&amp;RIGHT(VLOOKUP(F510,'Data Induk Pegawai'!B:AE,12,FALSE),2)&amp;" Tahun "&amp;MID(VLOOKUP(F510,'Data Induk Pegawai'!B:AE,12,FALSE),5,4))</f>
        <v/>
      </c>
      <c r="S510" s="26" t="str">
        <f>IF(G510="","",VLOOKUP(F510,'Data Induk Pegawai'!B:AE,11,FALSE))</f>
        <v/>
      </c>
      <c r="T510" s="56"/>
      <c r="U510" s="18" t="str">
        <f t="shared" si="179"/>
        <v/>
      </c>
      <c r="V510" s="30"/>
      <c r="W510" s="18" t="str">
        <f t="shared" si="201"/>
        <v/>
      </c>
      <c r="Y510" t="str">
        <f t="shared" si="180"/>
        <v/>
      </c>
      <c r="Z510" t="str">
        <f t="shared" si="181"/>
        <v/>
      </c>
      <c r="AA510" t="str">
        <f t="shared" si="182"/>
        <v/>
      </c>
      <c r="AB510" t="str">
        <f>COUNTIFS(AC510:AC$596,AC510)&amp;AC510</f>
        <v>87</v>
      </c>
      <c r="AC510" t="str">
        <f t="shared" si="198"/>
        <v/>
      </c>
      <c r="AD510" t="str">
        <f>COUNTIFS(AC$2:AC510,AC510)&amp;AC510</f>
        <v>509</v>
      </c>
      <c r="AE510" t="str">
        <f t="shared" si="183"/>
        <v/>
      </c>
      <c r="AF510" t="str">
        <f t="shared" si="199"/>
        <v>..</v>
      </c>
      <c r="AG510" s="28" t="str">
        <f t="shared" si="202"/>
        <v/>
      </c>
      <c r="AH510" s="28" t="str">
        <f t="shared" si="184"/>
        <v/>
      </c>
      <c r="AI510" t="str">
        <f t="shared" si="185"/>
        <v/>
      </c>
      <c r="AJ510" t="str">
        <f t="shared" si="186"/>
        <v/>
      </c>
      <c r="AK510" t="str">
        <f t="shared" si="187"/>
        <v/>
      </c>
      <c r="AL510" t="str">
        <f t="shared" si="188"/>
        <v/>
      </c>
      <c r="AM510" t="str">
        <f t="shared" si="189"/>
        <v/>
      </c>
      <c r="AN510" t="str">
        <f t="shared" si="190"/>
        <v/>
      </c>
      <c r="AO510" t="str">
        <f t="shared" si="191"/>
        <v/>
      </c>
      <c r="AP510" t="str">
        <f t="shared" si="192"/>
        <v/>
      </c>
      <c r="AQ510" t="str">
        <f t="shared" si="193"/>
        <v/>
      </c>
      <c r="AR510" t="str">
        <f t="shared" si="194"/>
        <v/>
      </c>
      <c r="AS510" t="str">
        <f t="shared" si="195"/>
        <v/>
      </c>
      <c r="AT510" t="str">
        <f t="shared" si="196"/>
        <v/>
      </c>
      <c r="AU510" s="25" t="str">
        <f t="shared" si="200"/>
        <v/>
      </c>
      <c r="BA510">
        <f>'REGISTER SK'!F513</f>
        <v>0</v>
      </c>
    </row>
    <row r="511" spans="1:53" x14ac:dyDescent="0.35">
      <c r="A511" s="18">
        <v>510</v>
      </c>
      <c r="B511" s="18"/>
      <c r="C511" s="18" t="str">
        <f>IF(G511="","",IF(G511="Umum",G511,VLOOKUP(F511,'Data Induk Pegawai'!B:AE,4,FALSE)))</f>
        <v/>
      </c>
      <c r="D511" s="19" t="str">
        <f>IF('REGISTER SK'!A514="","",IF('REGISTER SK'!B514=0,D510,'REGISTER SK'!B514))</f>
        <v/>
      </c>
      <c r="E511" s="19" t="str">
        <f t="shared" si="197"/>
        <v/>
      </c>
      <c r="F511" s="29"/>
      <c r="G511" s="29"/>
      <c r="H511" s="31" t="str">
        <f>IF(F511="","",VLOOKUP(F511,'Data Induk Pegawai'!B:U,2,FALSE))</f>
        <v/>
      </c>
      <c r="I511" s="19" t="str">
        <f>IF('REGISTER SK'!C514="","",'REGISTER SK'!C514)</f>
        <v/>
      </c>
      <c r="J511" s="125"/>
      <c r="K511" s="125"/>
      <c r="L511" s="26" t="str">
        <f>IF('REGISTER SK'!D514="","",'REGISTER SK'!D514)</f>
        <v/>
      </c>
      <c r="M511" s="26" t="str">
        <f>IF('REGISTER SK'!E514="","",'REGISTER SK'!E514)</f>
        <v/>
      </c>
      <c r="N511" s="31" t="str">
        <f>IF(G511="","",IF(OR(G511="GTT",G511="PTT"),"--",VLOOKUP(F511,'Data Induk Pegawai'!B:AE,4,FALSE)))</f>
        <v/>
      </c>
      <c r="O511" s="18" t="str">
        <f>IF(G511="","",VLOOKUP(F511,'Data Induk Pegawai'!B:AE,6,FALSE))</f>
        <v/>
      </c>
      <c r="P511" s="31" t="str">
        <f>IF(G511="","",VLOOKUP(F511,'Data Induk Pegawai'!B:AE,7,FALSE))</f>
        <v/>
      </c>
      <c r="Q511" s="30"/>
      <c r="R511" s="26" t="str">
        <f>IF(G511="","","Nomor "&amp;RIGHT(VLOOKUP(F511,'Data Induk Pegawai'!B:AE,12,FALSE),2)&amp;" Tahun "&amp;MID(VLOOKUP(F511,'Data Induk Pegawai'!B:AE,12,FALSE),5,4))</f>
        <v/>
      </c>
      <c r="S511" s="26" t="str">
        <f>IF(G511="","",VLOOKUP(F511,'Data Induk Pegawai'!B:AE,11,FALSE))</f>
        <v/>
      </c>
      <c r="T511" s="56"/>
      <c r="U511" s="18" t="str">
        <f t="shared" si="179"/>
        <v/>
      </c>
      <c r="V511" s="30"/>
      <c r="W511" s="18" t="str">
        <f t="shared" si="201"/>
        <v/>
      </c>
      <c r="Y511" t="str">
        <f t="shared" si="180"/>
        <v/>
      </c>
      <c r="Z511" t="str">
        <f t="shared" si="181"/>
        <v/>
      </c>
      <c r="AA511" t="str">
        <f t="shared" si="182"/>
        <v/>
      </c>
      <c r="AB511" t="str">
        <f>COUNTIFS(AC511:AC$596,AC511)&amp;AC511</f>
        <v>86</v>
      </c>
      <c r="AC511" t="str">
        <f t="shared" si="198"/>
        <v/>
      </c>
      <c r="AD511" t="str">
        <f>COUNTIFS(AC$2:AC511,AC511)&amp;AC511</f>
        <v>510</v>
      </c>
      <c r="AE511" t="str">
        <f t="shared" si="183"/>
        <v/>
      </c>
      <c r="AF511" t="str">
        <f t="shared" si="199"/>
        <v>..</v>
      </c>
      <c r="AG511" s="28" t="str">
        <f t="shared" si="202"/>
        <v/>
      </c>
      <c r="AH511" s="28" t="str">
        <f t="shared" si="184"/>
        <v/>
      </c>
      <c r="AI511" t="str">
        <f t="shared" si="185"/>
        <v/>
      </c>
      <c r="AJ511" t="str">
        <f t="shared" si="186"/>
        <v/>
      </c>
      <c r="AK511" t="str">
        <f t="shared" si="187"/>
        <v/>
      </c>
      <c r="AL511" t="str">
        <f t="shared" si="188"/>
        <v/>
      </c>
      <c r="AM511" t="str">
        <f t="shared" si="189"/>
        <v/>
      </c>
      <c r="AN511" t="str">
        <f t="shared" si="190"/>
        <v/>
      </c>
      <c r="AO511" t="str">
        <f t="shared" si="191"/>
        <v/>
      </c>
      <c r="AP511" t="str">
        <f t="shared" si="192"/>
        <v/>
      </c>
      <c r="AQ511" t="str">
        <f t="shared" si="193"/>
        <v/>
      </c>
      <c r="AR511" t="str">
        <f t="shared" si="194"/>
        <v/>
      </c>
      <c r="AS511" t="str">
        <f t="shared" si="195"/>
        <v/>
      </c>
      <c r="AT511" t="str">
        <f t="shared" si="196"/>
        <v/>
      </c>
      <c r="AU511" s="25" t="str">
        <f t="shared" si="200"/>
        <v/>
      </c>
      <c r="BA511">
        <f>'REGISTER SK'!F514</f>
        <v>0</v>
      </c>
    </row>
    <row r="512" spans="1:53" x14ac:dyDescent="0.35">
      <c r="A512" s="18">
        <v>511</v>
      </c>
      <c r="B512" s="18"/>
      <c r="C512" s="18" t="str">
        <f>IF(G512="","",IF(G512="Umum",G512,VLOOKUP(F512,'Data Induk Pegawai'!B:AE,4,FALSE)))</f>
        <v/>
      </c>
      <c r="D512" s="19" t="str">
        <f>IF('REGISTER SK'!A515="","",IF('REGISTER SK'!B515=0,D511,'REGISTER SK'!B515))</f>
        <v/>
      </c>
      <c r="E512" s="19" t="str">
        <f t="shared" si="197"/>
        <v/>
      </c>
      <c r="F512" s="29"/>
      <c r="G512" s="29"/>
      <c r="H512" s="31" t="str">
        <f>IF(F512="","",VLOOKUP(F512,'Data Induk Pegawai'!B:U,2,FALSE))</f>
        <v/>
      </c>
      <c r="I512" s="19" t="str">
        <f>IF('REGISTER SK'!C515="","",'REGISTER SK'!C515)</f>
        <v/>
      </c>
      <c r="J512" s="125"/>
      <c r="K512" s="125"/>
      <c r="L512" s="26" t="str">
        <f>IF('REGISTER SK'!D515="","",'REGISTER SK'!D515)</f>
        <v/>
      </c>
      <c r="M512" s="26" t="str">
        <f>IF('REGISTER SK'!E515="","",'REGISTER SK'!E515)</f>
        <v/>
      </c>
      <c r="N512" s="31" t="str">
        <f>IF(G512="","",IF(OR(G512="GTT",G512="PTT"),"--",VLOOKUP(F512,'Data Induk Pegawai'!B:AE,4,FALSE)))</f>
        <v/>
      </c>
      <c r="O512" s="18" t="str">
        <f>IF(G512="","",VLOOKUP(F512,'Data Induk Pegawai'!B:AE,6,FALSE))</f>
        <v/>
      </c>
      <c r="P512" s="31" t="str">
        <f>IF(G512="","",VLOOKUP(F512,'Data Induk Pegawai'!B:AE,7,FALSE))</f>
        <v/>
      </c>
      <c r="Q512" s="30"/>
      <c r="R512" s="26" t="str">
        <f>IF(G512="","","Nomor "&amp;RIGHT(VLOOKUP(F512,'Data Induk Pegawai'!B:AE,12,FALSE),2)&amp;" Tahun "&amp;MID(VLOOKUP(F512,'Data Induk Pegawai'!B:AE,12,FALSE),5,4))</f>
        <v/>
      </c>
      <c r="S512" s="26" t="str">
        <f>IF(G512="","",VLOOKUP(F512,'Data Induk Pegawai'!B:AE,11,FALSE))</f>
        <v/>
      </c>
      <c r="T512" s="56"/>
      <c r="U512" s="18" t="str">
        <f t="shared" si="179"/>
        <v/>
      </c>
      <c r="V512" s="30"/>
      <c r="W512" s="18" t="str">
        <f t="shared" si="201"/>
        <v/>
      </c>
      <c r="Y512" t="str">
        <f t="shared" si="180"/>
        <v/>
      </c>
      <c r="Z512" t="str">
        <f t="shared" si="181"/>
        <v/>
      </c>
      <c r="AA512" t="str">
        <f t="shared" si="182"/>
        <v/>
      </c>
      <c r="AB512" t="str">
        <f>COUNTIFS(AC512:AC$596,AC512)&amp;AC512</f>
        <v>85</v>
      </c>
      <c r="AC512" t="str">
        <f t="shared" si="198"/>
        <v/>
      </c>
      <c r="AD512" t="str">
        <f>COUNTIFS(AC$2:AC512,AC512)&amp;AC512</f>
        <v>511</v>
      </c>
      <c r="AE512" t="str">
        <f t="shared" si="183"/>
        <v/>
      </c>
      <c r="AF512" t="str">
        <f t="shared" si="199"/>
        <v>..</v>
      </c>
      <c r="AG512" s="28" t="str">
        <f t="shared" si="202"/>
        <v/>
      </c>
      <c r="AH512" s="28" t="str">
        <f t="shared" si="184"/>
        <v/>
      </c>
      <c r="AI512" t="str">
        <f t="shared" si="185"/>
        <v/>
      </c>
      <c r="AJ512" t="str">
        <f t="shared" si="186"/>
        <v/>
      </c>
      <c r="AK512" t="str">
        <f t="shared" si="187"/>
        <v/>
      </c>
      <c r="AL512" t="str">
        <f t="shared" si="188"/>
        <v/>
      </c>
      <c r="AM512" t="str">
        <f t="shared" si="189"/>
        <v/>
      </c>
      <c r="AN512" t="str">
        <f t="shared" si="190"/>
        <v/>
      </c>
      <c r="AO512" t="str">
        <f t="shared" si="191"/>
        <v/>
      </c>
      <c r="AP512" t="str">
        <f t="shared" si="192"/>
        <v/>
      </c>
      <c r="AQ512" t="str">
        <f t="shared" si="193"/>
        <v/>
      </c>
      <c r="AR512" t="str">
        <f t="shared" si="194"/>
        <v/>
      </c>
      <c r="AS512" t="str">
        <f t="shared" si="195"/>
        <v/>
      </c>
      <c r="AT512" t="str">
        <f t="shared" si="196"/>
        <v/>
      </c>
      <c r="AU512" s="25" t="str">
        <f t="shared" si="200"/>
        <v/>
      </c>
      <c r="BA512">
        <f>'REGISTER SK'!F515</f>
        <v>0</v>
      </c>
    </row>
    <row r="513" spans="1:53" x14ac:dyDescent="0.35">
      <c r="A513" s="18">
        <v>512</v>
      </c>
      <c r="B513" s="18"/>
      <c r="C513" s="18" t="str">
        <f>IF(G513="","",IF(G513="Umum",G513,VLOOKUP(F513,'Data Induk Pegawai'!B:AE,4,FALSE)))</f>
        <v/>
      </c>
      <c r="D513" s="19" t="str">
        <f>IF('REGISTER SK'!A516="","",IF('REGISTER SK'!B516=0,D512,'REGISTER SK'!B516))</f>
        <v/>
      </c>
      <c r="E513" s="19" t="str">
        <f t="shared" si="197"/>
        <v/>
      </c>
      <c r="F513" s="29"/>
      <c r="G513" s="29"/>
      <c r="H513" s="31" t="str">
        <f>IF(F513="","",VLOOKUP(F513,'Data Induk Pegawai'!B:U,2,FALSE))</f>
        <v/>
      </c>
      <c r="I513" s="19" t="str">
        <f>IF('REGISTER SK'!C516="","",'REGISTER SK'!C516)</f>
        <v/>
      </c>
      <c r="J513" s="125"/>
      <c r="K513" s="125"/>
      <c r="L513" s="26" t="str">
        <f>IF('REGISTER SK'!D516="","",'REGISTER SK'!D516)</f>
        <v/>
      </c>
      <c r="M513" s="26" t="str">
        <f>IF('REGISTER SK'!E516="","",'REGISTER SK'!E516)</f>
        <v/>
      </c>
      <c r="N513" s="31" t="str">
        <f>IF(G513="","",IF(OR(G513="GTT",G513="PTT"),"--",VLOOKUP(F513,'Data Induk Pegawai'!B:AE,4,FALSE)))</f>
        <v/>
      </c>
      <c r="O513" s="18" t="str">
        <f>IF(G513="","",VLOOKUP(F513,'Data Induk Pegawai'!B:AE,6,FALSE))</f>
        <v/>
      </c>
      <c r="P513" s="31" t="str">
        <f>IF(G513="","",VLOOKUP(F513,'Data Induk Pegawai'!B:AE,7,FALSE))</f>
        <v/>
      </c>
      <c r="Q513" s="30"/>
      <c r="R513" s="26" t="str">
        <f>IF(G513="","","Nomor "&amp;RIGHT(VLOOKUP(F513,'Data Induk Pegawai'!B:AE,12,FALSE),2)&amp;" Tahun "&amp;MID(VLOOKUP(F513,'Data Induk Pegawai'!B:AE,12,FALSE),5,4))</f>
        <v/>
      </c>
      <c r="S513" s="26" t="str">
        <f>IF(G513="","",VLOOKUP(F513,'Data Induk Pegawai'!B:AE,11,FALSE))</f>
        <v/>
      </c>
      <c r="T513" s="56"/>
      <c r="U513" s="18" t="str">
        <f t="shared" si="179"/>
        <v/>
      </c>
      <c r="V513" s="30"/>
      <c r="W513" s="18" t="str">
        <f t="shared" si="201"/>
        <v/>
      </c>
      <c r="Y513" t="str">
        <f t="shared" si="180"/>
        <v/>
      </c>
      <c r="Z513" t="str">
        <f t="shared" si="181"/>
        <v/>
      </c>
      <c r="AA513" t="str">
        <f t="shared" si="182"/>
        <v/>
      </c>
      <c r="AB513" t="str">
        <f>COUNTIFS(AC513:AC$596,AC513)&amp;AC513</f>
        <v>84</v>
      </c>
      <c r="AC513" t="str">
        <f t="shared" si="198"/>
        <v/>
      </c>
      <c r="AD513" t="str">
        <f>COUNTIFS(AC$2:AC513,AC513)&amp;AC513</f>
        <v>512</v>
      </c>
      <c r="AE513" t="str">
        <f t="shared" si="183"/>
        <v/>
      </c>
      <c r="AF513" t="str">
        <f t="shared" si="199"/>
        <v>..</v>
      </c>
      <c r="AG513" s="28" t="str">
        <f t="shared" si="202"/>
        <v/>
      </c>
      <c r="AH513" s="28" t="str">
        <f t="shared" si="184"/>
        <v/>
      </c>
      <c r="AI513" t="str">
        <f t="shared" si="185"/>
        <v/>
      </c>
      <c r="AJ513" t="str">
        <f t="shared" si="186"/>
        <v/>
      </c>
      <c r="AK513" t="str">
        <f t="shared" si="187"/>
        <v/>
      </c>
      <c r="AL513" t="str">
        <f t="shared" si="188"/>
        <v/>
      </c>
      <c r="AM513" t="str">
        <f t="shared" si="189"/>
        <v/>
      </c>
      <c r="AN513" t="str">
        <f t="shared" si="190"/>
        <v/>
      </c>
      <c r="AO513" t="str">
        <f t="shared" si="191"/>
        <v/>
      </c>
      <c r="AP513" t="str">
        <f t="shared" si="192"/>
        <v/>
      </c>
      <c r="AQ513" t="str">
        <f t="shared" si="193"/>
        <v/>
      </c>
      <c r="AR513" t="str">
        <f t="shared" si="194"/>
        <v/>
      </c>
      <c r="AS513" t="str">
        <f t="shared" si="195"/>
        <v/>
      </c>
      <c r="AT513" t="str">
        <f t="shared" si="196"/>
        <v/>
      </c>
      <c r="AU513" s="25" t="str">
        <f t="shared" si="200"/>
        <v/>
      </c>
      <c r="BA513">
        <f>'REGISTER SK'!F516</f>
        <v>0</v>
      </c>
    </row>
    <row r="514" spans="1:53" x14ac:dyDescent="0.35">
      <c r="A514" s="18">
        <v>513</v>
      </c>
      <c r="B514" s="18"/>
      <c r="C514" s="18" t="str">
        <f>IF(G514="","",IF(G514="Umum",G514,VLOOKUP(F514,'Data Induk Pegawai'!B:AE,4,FALSE)))</f>
        <v/>
      </c>
      <c r="D514" s="19" t="str">
        <f>IF('REGISTER SK'!A517="","",IF('REGISTER SK'!B517=0,D513,'REGISTER SK'!B517))</f>
        <v/>
      </c>
      <c r="E514" s="19" t="str">
        <f t="shared" si="197"/>
        <v/>
      </c>
      <c r="F514" s="29"/>
      <c r="G514" s="29"/>
      <c r="H514" s="31" t="str">
        <f>IF(F514="","",VLOOKUP(F514,'Data Induk Pegawai'!B:U,2,FALSE))</f>
        <v/>
      </c>
      <c r="I514" s="19" t="str">
        <f>IF('REGISTER SK'!C517="","",'REGISTER SK'!C517)</f>
        <v/>
      </c>
      <c r="J514" s="125"/>
      <c r="K514" s="125"/>
      <c r="L514" s="26" t="str">
        <f>IF('REGISTER SK'!D517="","",'REGISTER SK'!D517)</f>
        <v/>
      </c>
      <c r="M514" s="26" t="str">
        <f>IF('REGISTER SK'!E517="","",'REGISTER SK'!E517)</f>
        <v/>
      </c>
      <c r="N514" s="31" t="str">
        <f>IF(G514="","",IF(OR(G514="GTT",G514="PTT"),"--",VLOOKUP(F514,'Data Induk Pegawai'!B:AE,4,FALSE)))</f>
        <v/>
      </c>
      <c r="O514" s="18" t="str">
        <f>IF(G514="","",VLOOKUP(F514,'Data Induk Pegawai'!B:AE,6,FALSE))</f>
        <v/>
      </c>
      <c r="P514" s="31" t="str">
        <f>IF(G514="","",VLOOKUP(F514,'Data Induk Pegawai'!B:AE,7,FALSE))</f>
        <v/>
      </c>
      <c r="Q514" s="30"/>
      <c r="R514" s="26" t="str">
        <f>IF(G514="","","Nomor "&amp;RIGHT(VLOOKUP(F514,'Data Induk Pegawai'!B:AE,12,FALSE),2)&amp;" Tahun "&amp;MID(VLOOKUP(F514,'Data Induk Pegawai'!B:AE,12,FALSE),5,4))</f>
        <v/>
      </c>
      <c r="S514" s="26" t="str">
        <f>IF(G514="","",VLOOKUP(F514,'Data Induk Pegawai'!B:AE,11,FALSE))</f>
        <v/>
      </c>
      <c r="T514" s="56"/>
      <c r="U514" s="18" t="str">
        <f t="shared" ref="U514:U577" si="203">IF(Y514="","",IF(Z514&lt;1,AA514&amp;" Bulan",IF(AND(Z514&gt;0,AA514=0),Z514&amp;" Tahun",Z514&amp;" Tahun "&amp;AA514&amp;" Bulan")))</f>
        <v/>
      </c>
      <c r="V514" s="30"/>
      <c r="W514" s="18" t="str">
        <f t="shared" si="201"/>
        <v/>
      </c>
      <c r="Y514" t="str">
        <f t="shared" ref="Y514:Y577" si="204">IFERROR(IF(S514="","",DATEDIF(S514,M514,"M")),"?")</f>
        <v/>
      </c>
      <c r="Z514" t="str">
        <f t="shared" ref="Z514:Z577" si="205">IFERROR(IF(Y514="","",ROUNDDOWN(Y514/12,0)),"-")</f>
        <v/>
      </c>
      <c r="AA514" t="str">
        <f t="shared" ref="AA514:AA577" si="206">IFERROR(IF(Y514="","",Y514-Z514*12),"-")</f>
        <v/>
      </c>
      <c r="AB514" t="str">
        <f>COUNTIFS(AC514:AC$596,AC514)&amp;AC514</f>
        <v>83</v>
      </c>
      <c r="AC514" t="str">
        <f t="shared" si="198"/>
        <v/>
      </c>
      <c r="AD514" t="str">
        <f>COUNTIFS(AC$2:AC514,AC514)&amp;AC514</f>
        <v>513</v>
      </c>
      <c r="AE514" t="str">
        <f t="shared" ref="AE514:AE577" si="207">IF(LEFT(V514,16)="SK Pemberhentian",E514&amp;"OUT"&amp;F514,E514&amp;G514&amp;F514)</f>
        <v/>
      </c>
      <c r="AF514" t="str">
        <f t="shared" si="199"/>
        <v>..</v>
      </c>
      <c r="AG514" s="28" t="str">
        <f t="shared" si="202"/>
        <v/>
      </c>
      <c r="AH514" s="28" t="str">
        <f t="shared" ref="AH514:AH577" si="208">M514</f>
        <v/>
      </c>
      <c r="AI514" t="str">
        <f t="shared" ref="AI514:AI577" si="209">IF(AG514="","",AJ514&amp;" "&amp;VLOOKUP(AK514,AX:AY,2,FALSE)&amp;" "&amp;AL514)</f>
        <v/>
      </c>
      <c r="AJ514" t="str">
        <f t="shared" ref="AJ514:AJ577" si="210">TEXT(AG514,"D")</f>
        <v/>
      </c>
      <c r="AK514" t="str">
        <f t="shared" ref="AK514:AK577" si="211">TEXT(AG514,"MMMM")</f>
        <v/>
      </c>
      <c r="AL514" t="str">
        <f t="shared" ref="AL514:AL577" si="212">TEXT(AG514,"YYYY")</f>
        <v/>
      </c>
      <c r="AM514" t="str">
        <f t="shared" ref="AM514:AM577" si="213">IF(AI514="","",AN514&amp;" "&amp;VLOOKUP(AO514,AX:AY,2,FALSE)&amp;" "&amp;AP514)</f>
        <v/>
      </c>
      <c r="AN514" t="str">
        <f t="shared" ref="AN514:AN577" si="214">TEXT(S514,"D")</f>
        <v/>
      </c>
      <c r="AO514" t="str">
        <f t="shared" ref="AO514:AO577" si="215">TEXT(S514,"MMMM")</f>
        <v/>
      </c>
      <c r="AP514" t="str">
        <f t="shared" ref="AP514:AP577" si="216">TEXT(S514,"YYYY")</f>
        <v/>
      </c>
      <c r="AQ514" t="str">
        <f t="shared" ref="AQ514:AQ577" si="217">IF(AM514="","",AR514&amp;" "&amp;VLOOKUP(AS514,AX:AY,2,FALSE)&amp;" "&amp;AT514)</f>
        <v/>
      </c>
      <c r="AR514" t="str">
        <f t="shared" ref="AR514:AR577" si="218">TEXT(M514,"D")</f>
        <v/>
      </c>
      <c r="AS514" t="str">
        <f t="shared" ref="AS514:AS577" si="219">TEXT(M514,"MMMM")</f>
        <v/>
      </c>
      <c r="AT514" t="str">
        <f t="shared" ref="AT514:AT577" si="220">TEXT(M514,"YYYY")</f>
        <v/>
      </c>
      <c r="AU514" s="25" t="str">
        <f t="shared" si="200"/>
        <v/>
      </c>
      <c r="BA514">
        <f>'REGISTER SK'!F517</f>
        <v>0</v>
      </c>
    </row>
    <row r="515" spans="1:53" x14ac:dyDescent="0.35">
      <c r="A515" s="18">
        <v>514</v>
      </c>
      <c r="B515" s="18"/>
      <c r="C515" s="18" t="str">
        <f>IF(G515="","",IF(G515="Umum",G515,VLOOKUP(F515,'Data Induk Pegawai'!B:AE,4,FALSE)))</f>
        <v/>
      </c>
      <c r="D515" s="19" t="str">
        <f>IF('REGISTER SK'!A518="","",IF('REGISTER SK'!B518=0,D514,'REGISTER SK'!B518))</f>
        <v/>
      </c>
      <c r="E515" s="19" t="str">
        <f t="shared" ref="E515:E578" si="221">IF(D515="","",D515&amp;"/"&amp;D515+1)</f>
        <v/>
      </c>
      <c r="F515" s="29"/>
      <c r="G515" s="29"/>
      <c r="H515" s="31" t="str">
        <f>IF(F515="","",VLOOKUP(F515,'Data Induk Pegawai'!B:U,2,FALSE))</f>
        <v/>
      </c>
      <c r="I515" s="19" t="str">
        <f>IF('REGISTER SK'!C518="","",'REGISTER SK'!C518)</f>
        <v/>
      </c>
      <c r="J515" s="125"/>
      <c r="K515" s="125"/>
      <c r="L515" s="26" t="str">
        <f>IF('REGISTER SK'!D518="","",'REGISTER SK'!D518)</f>
        <v/>
      </c>
      <c r="M515" s="26" t="str">
        <f>IF('REGISTER SK'!E518="","",'REGISTER SK'!E518)</f>
        <v/>
      </c>
      <c r="N515" s="31" t="str">
        <f>IF(G515="","",IF(OR(G515="GTT",G515="PTT"),"--",VLOOKUP(F515,'Data Induk Pegawai'!B:AE,4,FALSE)))</f>
        <v/>
      </c>
      <c r="O515" s="18" t="str">
        <f>IF(G515="","",VLOOKUP(F515,'Data Induk Pegawai'!B:AE,6,FALSE))</f>
        <v/>
      </c>
      <c r="P515" s="31" t="str">
        <f>IF(G515="","",VLOOKUP(F515,'Data Induk Pegawai'!B:AE,7,FALSE))</f>
        <v/>
      </c>
      <c r="Q515" s="30"/>
      <c r="R515" s="26" t="str">
        <f>IF(G515="","","Nomor "&amp;RIGHT(VLOOKUP(F515,'Data Induk Pegawai'!B:AE,12,FALSE),2)&amp;" Tahun "&amp;MID(VLOOKUP(F515,'Data Induk Pegawai'!B:AE,12,FALSE),5,4))</f>
        <v/>
      </c>
      <c r="S515" s="26" t="str">
        <f>IF(G515="","",VLOOKUP(F515,'Data Induk Pegawai'!B:AE,11,FALSE))</f>
        <v/>
      </c>
      <c r="T515" s="56"/>
      <c r="U515" s="18" t="str">
        <f t="shared" si="203"/>
        <v/>
      </c>
      <c r="V515" s="30"/>
      <c r="W515" s="18" t="str">
        <f t="shared" si="201"/>
        <v/>
      </c>
      <c r="Y515" t="str">
        <f t="shared" si="204"/>
        <v/>
      </c>
      <c r="Z515" t="str">
        <f t="shared" si="205"/>
        <v/>
      </c>
      <c r="AA515" t="str">
        <f t="shared" si="206"/>
        <v/>
      </c>
      <c r="AB515" t="str">
        <f>COUNTIFS(AC515:AC$596,AC515)&amp;AC515</f>
        <v>82</v>
      </c>
      <c r="AC515" t="str">
        <f t="shared" ref="AC515:AC578" si="222">IF(LEFT(V515,16)="SK Pemberhentian","OUT"&amp;F515,IF(RIGHT(G515,2)="TT","GPTT",IF(RIGHT(G515,2)="TY","GPTY",G515))&amp;F515)</f>
        <v/>
      </c>
      <c r="AD515" t="str">
        <f>COUNTIFS(AC$2:AC515,AC515)&amp;AC515</f>
        <v>514</v>
      </c>
      <c r="AE515" t="str">
        <f t="shared" si="207"/>
        <v/>
      </c>
      <c r="AF515" t="str">
        <f t="shared" ref="AF515:AF578" si="223">G515&amp;"."&amp;D515&amp;"."&amp;I515</f>
        <v>..</v>
      </c>
      <c r="AG515" s="28" t="str">
        <f t="shared" si="202"/>
        <v/>
      </c>
      <c r="AH515" s="28" t="str">
        <f t="shared" si="208"/>
        <v/>
      </c>
      <c r="AI515" t="str">
        <f t="shared" si="209"/>
        <v/>
      </c>
      <c r="AJ515" t="str">
        <f t="shared" si="210"/>
        <v/>
      </c>
      <c r="AK515" t="str">
        <f t="shared" si="211"/>
        <v/>
      </c>
      <c r="AL515" t="str">
        <f t="shared" si="212"/>
        <v/>
      </c>
      <c r="AM515" t="str">
        <f t="shared" si="213"/>
        <v/>
      </c>
      <c r="AN515" t="str">
        <f t="shared" si="214"/>
        <v/>
      </c>
      <c r="AO515" t="str">
        <f t="shared" si="215"/>
        <v/>
      </c>
      <c r="AP515" t="str">
        <f t="shared" si="216"/>
        <v/>
      </c>
      <c r="AQ515" t="str">
        <f t="shared" si="217"/>
        <v/>
      </c>
      <c r="AR515" t="str">
        <f t="shared" si="218"/>
        <v/>
      </c>
      <c r="AS515" t="str">
        <f t="shared" si="219"/>
        <v/>
      </c>
      <c r="AT515" t="str">
        <f t="shared" si="220"/>
        <v/>
      </c>
      <c r="AU515" s="25" t="str">
        <f t="shared" ref="AU515:AU578" si="224">IF(OR(G515="Umum",G515=""),"",VLOOKUP(VALUE(TEXT(M515,"M")-1),AW:AY,3,FALSE))</f>
        <v/>
      </c>
      <c r="BA515">
        <f>'REGISTER SK'!F518</f>
        <v>0</v>
      </c>
    </row>
    <row r="516" spans="1:53" x14ac:dyDescent="0.35">
      <c r="A516" s="18">
        <v>515</v>
      </c>
      <c r="B516" s="18"/>
      <c r="C516" s="18" t="str">
        <f>IF(G516="","",IF(G516="Umum",G516,VLOOKUP(F516,'Data Induk Pegawai'!B:AE,4,FALSE)))</f>
        <v/>
      </c>
      <c r="D516" s="19" t="str">
        <f>IF('REGISTER SK'!A519="","",IF('REGISTER SK'!B519=0,D515,'REGISTER SK'!B519))</f>
        <v/>
      </c>
      <c r="E516" s="19" t="str">
        <f t="shared" si="221"/>
        <v/>
      </c>
      <c r="F516" s="29"/>
      <c r="G516" s="29"/>
      <c r="H516" s="31" t="str">
        <f>IF(F516="","",VLOOKUP(F516,'Data Induk Pegawai'!B:U,2,FALSE))</f>
        <v/>
      </c>
      <c r="I516" s="19" t="str">
        <f>IF('REGISTER SK'!C519="","",'REGISTER SK'!C519)</f>
        <v/>
      </c>
      <c r="J516" s="125"/>
      <c r="K516" s="125"/>
      <c r="L516" s="26" t="str">
        <f>IF('REGISTER SK'!D519="","",'REGISTER SK'!D519)</f>
        <v/>
      </c>
      <c r="M516" s="26" t="str">
        <f>IF('REGISTER SK'!E519="","",'REGISTER SK'!E519)</f>
        <v/>
      </c>
      <c r="N516" s="31" t="str">
        <f>IF(G516="","",IF(OR(G516="GTT",G516="PTT"),"--",VLOOKUP(F516,'Data Induk Pegawai'!B:AE,4,FALSE)))</f>
        <v/>
      </c>
      <c r="O516" s="18" t="str">
        <f>IF(G516="","",VLOOKUP(F516,'Data Induk Pegawai'!B:AE,6,FALSE))</f>
        <v/>
      </c>
      <c r="P516" s="31" t="str">
        <f>IF(G516="","",VLOOKUP(F516,'Data Induk Pegawai'!B:AE,7,FALSE))</f>
        <v/>
      </c>
      <c r="Q516" s="30"/>
      <c r="R516" s="26" t="str">
        <f>IF(G516="","","Nomor "&amp;RIGHT(VLOOKUP(F516,'Data Induk Pegawai'!B:AE,12,FALSE),2)&amp;" Tahun "&amp;MID(VLOOKUP(F516,'Data Induk Pegawai'!B:AE,12,FALSE),5,4))</f>
        <v/>
      </c>
      <c r="S516" s="26" t="str">
        <f>IF(G516="","",VLOOKUP(F516,'Data Induk Pegawai'!B:AE,11,FALSE))</f>
        <v/>
      </c>
      <c r="T516" s="56"/>
      <c r="U516" s="18" t="str">
        <f t="shared" si="203"/>
        <v/>
      </c>
      <c r="V516" s="30"/>
      <c r="W516" s="18" t="str">
        <f t="shared" si="201"/>
        <v/>
      </c>
      <c r="Y516" t="str">
        <f t="shared" si="204"/>
        <v/>
      </c>
      <c r="Z516" t="str">
        <f t="shared" si="205"/>
        <v/>
      </c>
      <c r="AA516" t="str">
        <f t="shared" si="206"/>
        <v/>
      </c>
      <c r="AB516" t="str">
        <f>COUNTIFS(AC516:AC$596,AC516)&amp;AC516</f>
        <v>81</v>
      </c>
      <c r="AC516" t="str">
        <f t="shared" si="222"/>
        <v/>
      </c>
      <c r="AD516" t="str">
        <f>COUNTIFS(AC$2:AC516,AC516)&amp;AC516</f>
        <v>515</v>
      </c>
      <c r="AE516" t="str">
        <f t="shared" si="207"/>
        <v/>
      </c>
      <c r="AF516" t="str">
        <f t="shared" si="223"/>
        <v>..</v>
      </c>
      <c r="AG516" s="28" t="str">
        <f t="shared" si="202"/>
        <v/>
      </c>
      <c r="AH516" s="28" t="str">
        <f t="shared" si="208"/>
        <v/>
      </c>
      <c r="AI516" t="str">
        <f t="shared" si="209"/>
        <v/>
      </c>
      <c r="AJ516" t="str">
        <f t="shared" si="210"/>
        <v/>
      </c>
      <c r="AK516" t="str">
        <f t="shared" si="211"/>
        <v/>
      </c>
      <c r="AL516" t="str">
        <f t="shared" si="212"/>
        <v/>
      </c>
      <c r="AM516" t="str">
        <f t="shared" si="213"/>
        <v/>
      </c>
      <c r="AN516" t="str">
        <f t="shared" si="214"/>
        <v/>
      </c>
      <c r="AO516" t="str">
        <f t="shared" si="215"/>
        <v/>
      </c>
      <c r="AP516" t="str">
        <f t="shared" si="216"/>
        <v/>
      </c>
      <c r="AQ516" t="str">
        <f t="shared" si="217"/>
        <v/>
      </c>
      <c r="AR516" t="str">
        <f t="shared" si="218"/>
        <v/>
      </c>
      <c r="AS516" t="str">
        <f t="shared" si="219"/>
        <v/>
      </c>
      <c r="AT516" t="str">
        <f t="shared" si="220"/>
        <v/>
      </c>
      <c r="AU516" s="25" t="str">
        <f t="shared" si="224"/>
        <v/>
      </c>
      <c r="BA516">
        <f>'REGISTER SK'!F519</f>
        <v>0</v>
      </c>
    </row>
    <row r="517" spans="1:53" x14ac:dyDescent="0.35">
      <c r="A517" s="18">
        <v>516</v>
      </c>
      <c r="B517" s="18"/>
      <c r="C517" s="18" t="str">
        <f>IF(G517="","",IF(G517="Umum",G517,VLOOKUP(F517,'Data Induk Pegawai'!B:AE,4,FALSE)))</f>
        <v/>
      </c>
      <c r="D517" s="19" t="str">
        <f>IF('REGISTER SK'!A520="","",IF('REGISTER SK'!B520=0,D516,'REGISTER SK'!B520))</f>
        <v/>
      </c>
      <c r="E517" s="19" t="str">
        <f t="shared" si="221"/>
        <v/>
      </c>
      <c r="F517" s="29"/>
      <c r="G517" s="29"/>
      <c r="H517" s="31" t="str">
        <f>IF(F517="","",VLOOKUP(F517,'Data Induk Pegawai'!B:U,2,FALSE))</f>
        <v/>
      </c>
      <c r="I517" s="19" t="str">
        <f>IF('REGISTER SK'!C520="","",'REGISTER SK'!C520)</f>
        <v/>
      </c>
      <c r="J517" s="125"/>
      <c r="K517" s="125"/>
      <c r="L517" s="26" t="str">
        <f>IF('REGISTER SK'!D520="","",'REGISTER SK'!D520)</f>
        <v/>
      </c>
      <c r="M517" s="26" t="str">
        <f>IF('REGISTER SK'!E520="","",'REGISTER SK'!E520)</f>
        <v/>
      </c>
      <c r="N517" s="31" t="str">
        <f>IF(G517="","",IF(OR(G517="GTT",G517="PTT"),"--",VLOOKUP(F517,'Data Induk Pegawai'!B:AE,4,FALSE)))</f>
        <v/>
      </c>
      <c r="O517" s="18" t="str">
        <f>IF(G517="","",VLOOKUP(F517,'Data Induk Pegawai'!B:AE,6,FALSE))</f>
        <v/>
      </c>
      <c r="P517" s="31" t="str">
        <f>IF(G517="","",VLOOKUP(F517,'Data Induk Pegawai'!B:AE,7,FALSE))</f>
        <v/>
      </c>
      <c r="Q517" s="30"/>
      <c r="R517" s="26" t="str">
        <f>IF(G517="","","Nomor "&amp;RIGHT(VLOOKUP(F517,'Data Induk Pegawai'!B:AE,12,FALSE),2)&amp;" Tahun "&amp;MID(VLOOKUP(F517,'Data Induk Pegawai'!B:AE,12,FALSE),5,4))</f>
        <v/>
      </c>
      <c r="S517" s="26" t="str">
        <f>IF(G517="","",VLOOKUP(F517,'Data Induk Pegawai'!B:AE,11,FALSE))</f>
        <v/>
      </c>
      <c r="T517" s="56"/>
      <c r="U517" s="18" t="str">
        <f t="shared" si="203"/>
        <v/>
      </c>
      <c r="V517" s="30"/>
      <c r="W517" s="18" t="str">
        <f t="shared" si="201"/>
        <v/>
      </c>
      <c r="Y517" t="str">
        <f t="shared" si="204"/>
        <v/>
      </c>
      <c r="Z517" t="str">
        <f t="shared" si="205"/>
        <v/>
      </c>
      <c r="AA517" t="str">
        <f t="shared" si="206"/>
        <v/>
      </c>
      <c r="AB517" t="str">
        <f>COUNTIFS(AC517:AC$596,AC517)&amp;AC517</f>
        <v>80</v>
      </c>
      <c r="AC517" t="str">
        <f t="shared" si="222"/>
        <v/>
      </c>
      <c r="AD517" t="str">
        <f>COUNTIFS(AC$2:AC517,AC517)&amp;AC517</f>
        <v>516</v>
      </c>
      <c r="AE517" t="str">
        <f t="shared" si="207"/>
        <v/>
      </c>
      <c r="AF517" t="str">
        <f t="shared" si="223"/>
        <v>..</v>
      </c>
      <c r="AG517" s="28" t="str">
        <f t="shared" si="202"/>
        <v/>
      </c>
      <c r="AH517" s="28" t="str">
        <f t="shared" si="208"/>
        <v/>
      </c>
      <c r="AI517" t="str">
        <f t="shared" si="209"/>
        <v/>
      </c>
      <c r="AJ517" t="str">
        <f t="shared" si="210"/>
        <v/>
      </c>
      <c r="AK517" t="str">
        <f t="shared" si="211"/>
        <v/>
      </c>
      <c r="AL517" t="str">
        <f t="shared" si="212"/>
        <v/>
      </c>
      <c r="AM517" t="str">
        <f t="shared" si="213"/>
        <v/>
      </c>
      <c r="AN517" t="str">
        <f t="shared" si="214"/>
        <v/>
      </c>
      <c r="AO517" t="str">
        <f t="shared" si="215"/>
        <v/>
      </c>
      <c r="AP517" t="str">
        <f t="shared" si="216"/>
        <v/>
      </c>
      <c r="AQ517" t="str">
        <f t="shared" si="217"/>
        <v/>
      </c>
      <c r="AR517" t="str">
        <f t="shared" si="218"/>
        <v/>
      </c>
      <c r="AS517" t="str">
        <f t="shared" si="219"/>
        <v/>
      </c>
      <c r="AT517" t="str">
        <f t="shared" si="220"/>
        <v/>
      </c>
      <c r="AU517" s="25" t="str">
        <f t="shared" si="224"/>
        <v/>
      </c>
      <c r="BA517">
        <f>'REGISTER SK'!F520</f>
        <v>0</v>
      </c>
    </row>
    <row r="518" spans="1:53" x14ac:dyDescent="0.35">
      <c r="A518" s="18">
        <v>517</v>
      </c>
      <c r="B518" s="18"/>
      <c r="C518" s="18" t="str">
        <f>IF(G518="","",IF(G518="Umum",G518,VLOOKUP(F518,'Data Induk Pegawai'!B:AE,4,FALSE)))</f>
        <v/>
      </c>
      <c r="D518" s="19" t="str">
        <f>IF('REGISTER SK'!A521="","",IF('REGISTER SK'!B521=0,D517,'REGISTER SK'!B521))</f>
        <v/>
      </c>
      <c r="E518" s="19" t="str">
        <f t="shared" si="221"/>
        <v/>
      </c>
      <c r="F518" s="29"/>
      <c r="G518" s="29"/>
      <c r="H518" s="31" t="str">
        <f>IF(F518="","",VLOOKUP(F518,'Data Induk Pegawai'!B:U,2,FALSE))</f>
        <v/>
      </c>
      <c r="I518" s="19" t="str">
        <f>IF('REGISTER SK'!C521="","",'REGISTER SK'!C521)</f>
        <v/>
      </c>
      <c r="J518" s="125"/>
      <c r="K518" s="125"/>
      <c r="L518" s="26" t="str">
        <f>IF('REGISTER SK'!D521="","",'REGISTER SK'!D521)</f>
        <v/>
      </c>
      <c r="M518" s="26" t="str">
        <f>IF('REGISTER SK'!E521="","",'REGISTER SK'!E521)</f>
        <v/>
      </c>
      <c r="N518" s="31" t="str">
        <f>IF(G518="","",IF(OR(G518="GTT",G518="PTT"),"--",VLOOKUP(F518,'Data Induk Pegawai'!B:AE,4,FALSE)))</f>
        <v/>
      </c>
      <c r="O518" s="18" t="str">
        <f>IF(G518="","",VLOOKUP(F518,'Data Induk Pegawai'!B:AE,6,FALSE))</f>
        <v/>
      </c>
      <c r="P518" s="31" t="str">
        <f>IF(G518="","",VLOOKUP(F518,'Data Induk Pegawai'!B:AE,7,FALSE))</f>
        <v/>
      </c>
      <c r="Q518" s="30"/>
      <c r="R518" s="26" t="str">
        <f>IF(G518="","","Nomor "&amp;RIGHT(VLOOKUP(F518,'Data Induk Pegawai'!B:AE,12,FALSE),2)&amp;" Tahun "&amp;MID(VLOOKUP(F518,'Data Induk Pegawai'!B:AE,12,FALSE),5,4))</f>
        <v/>
      </c>
      <c r="S518" s="26" t="str">
        <f>IF(G518="","",VLOOKUP(F518,'Data Induk Pegawai'!B:AE,11,FALSE))</f>
        <v/>
      </c>
      <c r="T518" s="56"/>
      <c r="U518" s="18" t="str">
        <f t="shared" si="203"/>
        <v/>
      </c>
      <c r="V518" s="30"/>
      <c r="W518" s="18" t="str">
        <f t="shared" si="201"/>
        <v/>
      </c>
      <c r="Y518" t="str">
        <f t="shared" si="204"/>
        <v/>
      </c>
      <c r="Z518" t="str">
        <f t="shared" si="205"/>
        <v/>
      </c>
      <c r="AA518" t="str">
        <f t="shared" si="206"/>
        <v/>
      </c>
      <c r="AB518" t="str">
        <f>COUNTIFS(AC518:AC$596,AC518)&amp;AC518</f>
        <v>79</v>
      </c>
      <c r="AC518" t="str">
        <f t="shared" si="222"/>
        <v/>
      </c>
      <c r="AD518" t="str">
        <f>COUNTIFS(AC$2:AC518,AC518)&amp;AC518</f>
        <v>517</v>
      </c>
      <c r="AE518" t="str">
        <f t="shared" si="207"/>
        <v/>
      </c>
      <c r="AF518" t="str">
        <f t="shared" si="223"/>
        <v>..</v>
      </c>
      <c r="AG518" s="28" t="str">
        <f t="shared" si="202"/>
        <v/>
      </c>
      <c r="AH518" s="28" t="str">
        <f t="shared" si="208"/>
        <v/>
      </c>
      <c r="AI518" t="str">
        <f t="shared" si="209"/>
        <v/>
      </c>
      <c r="AJ518" t="str">
        <f t="shared" si="210"/>
        <v/>
      </c>
      <c r="AK518" t="str">
        <f t="shared" si="211"/>
        <v/>
      </c>
      <c r="AL518" t="str">
        <f t="shared" si="212"/>
        <v/>
      </c>
      <c r="AM518" t="str">
        <f t="shared" si="213"/>
        <v/>
      </c>
      <c r="AN518" t="str">
        <f t="shared" si="214"/>
        <v/>
      </c>
      <c r="AO518" t="str">
        <f t="shared" si="215"/>
        <v/>
      </c>
      <c r="AP518" t="str">
        <f t="shared" si="216"/>
        <v/>
      </c>
      <c r="AQ518" t="str">
        <f t="shared" si="217"/>
        <v/>
      </c>
      <c r="AR518" t="str">
        <f t="shared" si="218"/>
        <v/>
      </c>
      <c r="AS518" t="str">
        <f t="shared" si="219"/>
        <v/>
      </c>
      <c r="AT518" t="str">
        <f t="shared" si="220"/>
        <v/>
      </c>
      <c r="AU518" s="25" t="str">
        <f t="shared" si="224"/>
        <v/>
      </c>
      <c r="BA518">
        <f>'REGISTER SK'!F521</f>
        <v>0</v>
      </c>
    </row>
    <row r="519" spans="1:53" x14ac:dyDescent="0.35">
      <c r="A519" s="18">
        <v>518</v>
      </c>
      <c r="B519" s="18"/>
      <c r="C519" s="18" t="str">
        <f>IF(G519="","",IF(G519="Umum",G519,VLOOKUP(F519,'Data Induk Pegawai'!B:AE,4,FALSE)))</f>
        <v/>
      </c>
      <c r="D519" s="19" t="str">
        <f>IF('REGISTER SK'!A522="","",IF('REGISTER SK'!B522=0,D518,'REGISTER SK'!B522))</f>
        <v/>
      </c>
      <c r="E519" s="19" t="str">
        <f t="shared" si="221"/>
        <v/>
      </c>
      <c r="F519" s="29"/>
      <c r="G519" s="29"/>
      <c r="H519" s="31" t="str">
        <f>IF(F519="","",VLOOKUP(F519,'Data Induk Pegawai'!B:U,2,FALSE))</f>
        <v/>
      </c>
      <c r="I519" s="19" t="str">
        <f>IF('REGISTER SK'!C522="","",'REGISTER SK'!C522)</f>
        <v/>
      </c>
      <c r="J519" s="125"/>
      <c r="K519" s="125"/>
      <c r="L519" s="26" t="str">
        <f>IF('REGISTER SK'!D522="","",'REGISTER SK'!D522)</f>
        <v/>
      </c>
      <c r="M519" s="26" t="str">
        <f>IF('REGISTER SK'!E522="","",'REGISTER SK'!E522)</f>
        <v/>
      </c>
      <c r="N519" s="31" t="str">
        <f>IF(G519="","",IF(OR(G519="GTT",G519="PTT"),"--",VLOOKUP(F519,'Data Induk Pegawai'!B:AE,4,FALSE)))</f>
        <v/>
      </c>
      <c r="O519" s="18" t="str">
        <f>IF(G519="","",VLOOKUP(F519,'Data Induk Pegawai'!B:AE,6,FALSE))</f>
        <v/>
      </c>
      <c r="P519" s="31" t="str">
        <f>IF(G519="","",VLOOKUP(F519,'Data Induk Pegawai'!B:AE,7,FALSE))</f>
        <v/>
      </c>
      <c r="Q519" s="30"/>
      <c r="R519" s="26" t="str">
        <f>IF(G519="","","Nomor "&amp;RIGHT(VLOOKUP(F519,'Data Induk Pegawai'!B:AE,12,FALSE),2)&amp;" Tahun "&amp;MID(VLOOKUP(F519,'Data Induk Pegawai'!B:AE,12,FALSE),5,4))</f>
        <v/>
      </c>
      <c r="S519" s="26" t="str">
        <f>IF(G519="","",VLOOKUP(F519,'Data Induk Pegawai'!B:AE,11,FALSE))</f>
        <v/>
      </c>
      <c r="T519" s="56"/>
      <c r="U519" s="18" t="str">
        <f t="shared" si="203"/>
        <v/>
      </c>
      <c r="V519" s="30"/>
      <c r="W519" s="18" t="str">
        <f t="shared" si="201"/>
        <v/>
      </c>
      <c r="Y519" t="str">
        <f t="shared" si="204"/>
        <v/>
      </c>
      <c r="Z519" t="str">
        <f t="shared" si="205"/>
        <v/>
      </c>
      <c r="AA519" t="str">
        <f t="shared" si="206"/>
        <v/>
      </c>
      <c r="AB519" t="str">
        <f>COUNTIFS(AC519:AC$596,AC519)&amp;AC519</f>
        <v>78</v>
      </c>
      <c r="AC519" t="str">
        <f t="shared" si="222"/>
        <v/>
      </c>
      <c r="AD519" t="str">
        <f>COUNTIFS(AC$2:AC519,AC519)&amp;AC519</f>
        <v>518</v>
      </c>
      <c r="AE519" t="str">
        <f t="shared" si="207"/>
        <v/>
      </c>
      <c r="AF519" t="str">
        <f t="shared" si="223"/>
        <v>..</v>
      </c>
      <c r="AG519" s="28" t="str">
        <f t="shared" si="202"/>
        <v/>
      </c>
      <c r="AH519" s="28" t="str">
        <f t="shared" si="208"/>
        <v/>
      </c>
      <c r="AI519" t="str">
        <f t="shared" si="209"/>
        <v/>
      </c>
      <c r="AJ519" t="str">
        <f t="shared" si="210"/>
        <v/>
      </c>
      <c r="AK519" t="str">
        <f t="shared" si="211"/>
        <v/>
      </c>
      <c r="AL519" t="str">
        <f t="shared" si="212"/>
        <v/>
      </c>
      <c r="AM519" t="str">
        <f t="shared" si="213"/>
        <v/>
      </c>
      <c r="AN519" t="str">
        <f t="shared" si="214"/>
        <v/>
      </c>
      <c r="AO519" t="str">
        <f t="shared" si="215"/>
        <v/>
      </c>
      <c r="AP519" t="str">
        <f t="shared" si="216"/>
        <v/>
      </c>
      <c r="AQ519" t="str">
        <f t="shared" si="217"/>
        <v/>
      </c>
      <c r="AR519" t="str">
        <f t="shared" si="218"/>
        <v/>
      </c>
      <c r="AS519" t="str">
        <f t="shared" si="219"/>
        <v/>
      </c>
      <c r="AT519" t="str">
        <f t="shared" si="220"/>
        <v/>
      </c>
      <c r="AU519" s="25" t="str">
        <f t="shared" si="224"/>
        <v/>
      </c>
      <c r="BA519">
        <f>'REGISTER SK'!F522</f>
        <v>0</v>
      </c>
    </row>
    <row r="520" spans="1:53" x14ac:dyDescent="0.35">
      <c r="A520" s="18">
        <v>519</v>
      </c>
      <c r="B520" s="18"/>
      <c r="C520" s="18" t="str">
        <f>IF(G520="","",IF(G520="Umum",G520,VLOOKUP(F520,'Data Induk Pegawai'!B:AE,4,FALSE)))</f>
        <v/>
      </c>
      <c r="D520" s="19" t="str">
        <f>IF('REGISTER SK'!A523="","",IF('REGISTER SK'!B523=0,D519,'REGISTER SK'!B523))</f>
        <v/>
      </c>
      <c r="E520" s="19" t="str">
        <f t="shared" si="221"/>
        <v/>
      </c>
      <c r="F520" s="29"/>
      <c r="G520" s="29"/>
      <c r="H520" s="31" t="str">
        <f>IF(F520="","",VLOOKUP(F520,'Data Induk Pegawai'!B:U,2,FALSE))</f>
        <v/>
      </c>
      <c r="I520" s="19" t="str">
        <f>IF('REGISTER SK'!C523="","",'REGISTER SK'!C523)</f>
        <v/>
      </c>
      <c r="J520" s="125"/>
      <c r="K520" s="125"/>
      <c r="L520" s="26" t="str">
        <f>IF('REGISTER SK'!D523="","",'REGISTER SK'!D523)</f>
        <v/>
      </c>
      <c r="M520" s="26" t="str">
        <f>IF('REGISTER SK'!E523="","",'REGISTER SK'!E523)</f>
        <v/>
      </c>
      <c r="N520" s="31" t="str">
        <f>IF(G520="","",IF(OR(G520="GTT",G520="PTT"),"--",VLOOKUP(F520,'Data Induk Pegawai'!B:AE,4,FALSE)))</f>
        <v/>
      </c>
      <c r="O520" s="18" t="str">
        <f>IF(G520="","",VLOOKUP(F520,'Data Induk Pegawai'!B:AE,6,FALSE))</f>
        <v/>
      </c>
      <c r="P520" s="31" t="str">
        <f>IF(G520="","",VLOOKUP(F520,'Data Induk Pegawai'!B:AE,7,FALSE))</f>
        <v/>
      </c>
      <c r="Q520" s="30"/>
      <c r="R520" s="26" t="str">
        <f>IF(G520="","","Nomor "&amp;RIGHT(VLOOKUP(F520,'Data Induk Pegawai'!B:AE,12,FALSE),2)&amp;" Tahun "&amp;MID(VLOOKUP(F520,'Data Induk Pegawai'!B:AE,12,FALSE),5,4))</f>
        <v/>
      </c>
      <c r="S520" s="26" t="str">
        <f>IF(G520="","",VLOOKUP(F520,'Data Induk Pegawai'!B:AE,11,FALSE))</f>
        <v/>
      </c>
      <c r="T520" s="56"/>
      <c r="U520" s="18" t="str">
        <f t="shared" si="203"/>
        <v/>
      </c>
      <c r="V520" s="30"/>
      <c r="W520" s="18" t="str">
        <f t="shared" si="201"/>
        <v/>
      </c>
      <c r="Y520" t="str">
        <f t="shared" si="204"/>
        <v/>
      </c>
      <c r="Z520" t="str">
        <f t="shared" si="205"/>
        <v/>
      </c>
      <c r="AA520" t="str">
        <f t="shared" si="206"/>
        <v/>
      </c>
      <c r="AB520" t="str">
        <f>COUNTIFS(AC520:AC$596,AC520)&amp;AC520</f>
        <v>77</v>
      </c>
      <c r="AC520" t="str">
        <f t="shared" si="222"/>
        <v/>
      </c>
      <c r="AD520" t="str">
        <f>COUNTIFS(AC$2:AC520,AC520)&amp;AC520</f>
        <v>519</v>
      </c>
      <c r="AE520" t="str">
        <f t="shared" si="207"/>
        <v/>
      </c>
      <c r="AF520" t="str">
        <f t="shared" si="223"/>
        <v>..</v>
      </c>
      <c r="AG520" s="28" t="str">
        <f t="shared" si="202"/>
        <v/>
      </c>
      <c r="AH520" s="28" t="str">
        <f t="shared" si="208"/>
        <v/>
      </c>
      <c r="AI520" t="str">
        <f t="shared" si="209"/>
        <v/>
      </c>
      <c r="AJ520" t="str">
        <f t="shared" si="210"/>
        <v/>
      </c>
      <c r="AK520" t="str">
        <f t="shared" si="211"/>
        <v/>
      </c>
      <c r="AL520" t="str">
        <f t="shared" si="212"/>
        <v/>
      </c>
      <c r="AM520" t="str">
        <f t="shared" si="213"/>
        <v/>
      </c>
      <c r="AN520" t="str">
        <f t="shared" si="214"/>
        <v/>
      </c>
      <c r="AO520" t="str">
        <f t="shared" si="215"/>
        <v/>
      </c>
      <c r="AP520" t="str">
        <f t="shared" si="216"/>
        <v/>
      </c>
      <c r="AQ520" t="str">
        <f t="shared" si="217"/>
        <v/>
      </c>
      <c r="AR520" t="str">
        <f t="shared" si="218"/>
        <v/>
      </c>
      <c r="AS520" t="str">
        <f t="shared" si="219"/>
        <v/>
      </c>
      <c r="AT520" t="str">
        <f t="shared" si="220"/>
        <v/>
      </c>
      <c r="AU520" s="25" t="str">
        <f t="shared" si="224"/>
        <v/>
      </c>
      <c r="BA520">
        <f>'REGISTER SK'!F523</f>
        <v>0</v>
      </c>
    </row>
    <row r="521" spans="1:53" x14ac:dyDescent="0.35">
      <c r="A521" s="18">
        <v>520</v>
      </c>
      <c r="B521" s="18"/>
      <c r="C521" s="18" t="str">
        <f>IF(G521="","",IF(G521="Umum",G521,VLOOKUP(F521,'Data Induk Pegawai'!B:AE,4,FALSE)))</f>
        <v/>
      </c>
      <c r="D521" s="19" t="str">
        <f>IF('REGISTER SK'!A524="","",IF('REGISTER SK'!B524=0,D520,'REGISTER SK'!B524))</f>
        <v/>
      </c>
      <c r="E521" s="19" t="str">
        <f t="shared" si="221"/>
        <v/>
      </c>
      <c r="F521" s="29"/>
      <c r="G521" s="29"/>
      <c r="H521" s="31" t="str">
        <f>IF(F521="","",VLOOKUP(F521,'Data Induk Pegawai'!B:U,2,FALSE))</f>
        <v/>
      </c>
      <c r="I521" s="19" t="str">
        <f>IF('REGISTER SK'!C524="","",'REGISTER SK'!C524)</f>
        <v/>
      </c>
      <c r="J521" s="125"/>
      <c r="K521" s="125"/>
      <c r="L521" s="26" t="str">
        <f>IF('REGISTER SK'!D524="","",'REGISTER SK'!D524)</f>
        <v/>
      </c>
      <c r="M521" s="26" t="str">
        <f>IF('REGISTER SK'!E524="","",'REGISTER SK'!E524)</f>
        <v/>
      </c>
      <c r="N521" s="31" t="str">
        <f>IF(G521="","",IF(OR(G521="GTT",G521="PTT"),"--",VLOOKUP(F521,'Data Induk Pegawai'!B:AE,4,FALSE)))</f>
        <v/>
      </c>
      <c r="O521" s="18" t="str">
        <f>IF(G521="","",VLOOKUP(F521,'Data Induk Pegawai'!B:AE,6,FALSE))</f>
        <v/>
      </c>
      <c r="P521" s="31" t="str">
        <f>IF(G521="","",VLOOKUP(F521,'Data Induk Pegawai'!B:AE,7,FALSE))</f>
        <v/>
      </c>
      <c r="Q521" s="30"/>
      <c r="R521" s="26" t="str">
        <f>IF(G521="","","Nomor "&amp;RIGHT(VLOOKUP(F521,'Data Induk Pegawai'!B:AE,12,FALSE),2)&amp;" Tahun "&amp;MID(VLOOKUP(F521,'Data Induk Pegawai'!B:AE,12,FALSE),5,4))</f>
        <v/>
      </c>
      <c r="S521" s="26" t="str">
        <f>IF(G521="","",VLOOKUP(F521,'Data Induk Pegawai'!B:AE,11,FALSE))</f>
        <v/>
      </c>
      <c r="T521" s="56"/>
      <c r="U521" s="18" t="str">
        <f t="shared" si="203"/>
        <v/>
      </c>
      <c r="V521" s="30"/>
      <c r="W521" s="18" t="str">
        <f t="shared" si="201"/>
        <v/>
      </c>
      <c r="Y521" t="str">
        <f t="shared" si="204"/>
        <v/>
      </c>
      <c r="Z521" t="str">
        <f t="shared" si="205"/>
        <v/>
      </c>
      <c r="AA521" t="str">
        <f t="shared" si="206"/>
        <v/>
      </c>
      <c r="AB521" t="str">
        <f>COUNTIFS(AC521:AC$596,AC521)&amp;AC521</f>
        <v>76</v>
      </c>
      <c r="AC521" t="str">
        <f t="shared" si="222"/>
        <v/>
      </c>
      <c r="AD521" t="str">
        <f>COUNTIFS(AC$2:AC521,AC521)&amp;AC521</f>
        <v>520</v>
      </c>
      <c r="AE521" t="str">
        <f t="shared" si="207"/>
        <v/>
      </c>
      <c r="AF521" t="str">
        <f t="shared" si="223"/>
        <v>..</v>
      </c>
      <c r="AG521" s="28" t="str">
        <f t="shared" si="202"/>
        <v/>
      </c>
      <c r="AH521" s="28" t="str">
        <f t="shared" si="208"/>
        <v/>
      </c>
      <c r="AI521" t="str">
        <f t="shared" si="209"/>
        <v/>
      </c>
      <c r="AJ521" t="str">
        <f t="shared" si="210"/>
        <v/>
      </c>
      <c r="AK521" t="str">
        <f t="shared" si="211"/>
        <v/>
      </c>
      <c r="AL521" t="str">
        <f t="shared" si="212"/>
        <v/>
      </c>
      <c r="AM521" t="str">
        <f t="shared" si="213"/>
        <v/>
      </c>
      <c r="AN521" t="str">
        <f t="shared" si="214"/>
        <v/>
      </c>
      <c r="AO521" t="str">
        <f t="shared" si="215"/>
        <v/>
      </c>
      <c r="AP521" t="str">
        <f t="shared" si="216"/>
        <v/>
      </c>
      <c r="AQ521" t="str">
        <f t="shared" si="217"/>
        <v/>
      </c>
      <c r="AR521" t="str">
        <f t="shared" si="218"/>
        <v/>
      </c>
      <c r="AS521" t="str">
        <f t="shared" si="219"/>
        <v/>
      </c>
      <c r="AT521" t="str">
        <f t="shared" si="220"/>
        <v/>
      </c>
      <c r="AU521" s="25" t="str">
        <f t="shared" si="224"/>
        <v/>
      </c>
      <c r="BA521">
        <f>'REGISTER SK'!F524</f>
        <v>0</v>
      </c>
    </row>
    <row r="522" spans="1:53" x14ac:dyDescent="0.35">
      <c r="A522" s="18">
        <v>521</v>
      </c>
      <c r="B522" s="18"/>
      <c r="C522" s="18" t="str">
        <f>IF(G522="","",IF(G522="Umum",G522,VLOOKUP(F522,'Data Induk Pegawai'!B:AE,4,FALSE)))</f>
        <v/>
      </c>
      <c r="D522" s="19" t="str">
        <f>IF('REGISTER SK'!A525="","",IF('REGISTER SK'!B525=0,D521,'REGISTER SK'!B525))</f>
        <v/>
      </c>
      <c r="E522" s="19" t="str">
        <f t="shared" si="221"/>
        <v/>
      </c>
      <c r="F522" s="29"/>
      <c r="G522" s="29"/>
      <c r="H522" s="31" t="str">
        <f>IF(F522="","",VLOOKUP(F522,'Data Induk Pegawai'!B:U,2,FALSE))</f>
        <v/>
      </c>
      <c r="I522" s="19" t="str">
        <f>IF('REGISTER SK'!C525="","",'REGISTER SK'!C525)</f>
        <v/>
      </c>
      <c r="J522" s="125"/>
      <c r="K522" s="125"/>
      <c r="L522" s="26" t="str">
        <f>IF('REGISTER SK'!D525="","",'REGISTER SK'!D525)</f>
        <v/>
      </c>
      <c r="M522" s="26" t="str">
        <f>IF('REGISTER SK'!E525="","",'REGISTER SK'!E525)</f>
        <v/>
      </c>
      <c r="N522" s="31" t="str">
        <f>IF(G522="","",IF(OR(G522="GTT",G522="PTT"),"--",VLOOKUP(F522,'Data Induk Pegawai'!B:AE,4,FALSE)))</f>
        <v/>
      </c>
      <c r="O522" s="18" t="str">
        <f>IF(G522="","",VLOOKUP(F522,'Data Induk Pegawai'!B:AE,6,FALSE))</f>
        <v/>
      </c>
      <c r="P522" s="31" t="str">
        <f>IF(G522="","",VLOOKUP(F522,'Data Induk Pegawai'!B:AE,7,FALSE))</f>
        <v/>
      </c>
      <c r="Q522" s="30"/>
      <c r="R522" s="26" t="str">
        <f>IF(G522="","","Nomor "&amp;RIGHT(VLOOKUP(F522,'Data Induk Pegawai'!B:AE,12,FALSE),2)&amp;" Tahun "&amp;MID(VLOOKUP(F522,'Data Induk Pegawai'!B:AE,12,FALSE),5,4))</f>
        <v/>
      </c>
      <c r="S522" s="26" t="str">
        <f>IF(G522="","",VLOOKUP(F522,'Data Induk Pegawai'!B:AE,11,FALSE))</f>
        <v/>
      </c>
      <c r="T522" s="56"/>
      <c r="U522" s="18" t="str">
        <f t="shared" si="203"/>
        <v/>
      </c>
      <c r="V522" s="30"/>
      <c r="W522" s="18" t="str">
        <f t="shared" si="201"/>
        <v/>
      </c>
      <c r="Y522" t="str">
        <f t="shared" si="204"/>
        <v/>
      </c>
      <c r="Z522" t="str">
        <f t="shared" si="205"/>
        <v/>
      </c>
      <c r="AA522" t="str">
        <f t="shared" si="206"/>
        <v/>
      </c>
      <c r="AB522" t="str">
        <f>COUNTIFS(AC522:AC$596,AC522)&amp;AC522</f>
        <v>75</v>
      </c>
      <c r="AC522" t="str">
        <f t="shared" si="222"/>
        <v/>
      </c>
      <c r="AD522" t="str">
        <f>COUNTIFS(AC$2:AC522,AC522)&amp;AC522</f>
        <v>521</v>
      </c>
      <c r="AE522" t="str">
        <f t="shared" si="207"/>
        <v/>
      </c>
      <c r="AF522" t="str">
        <f t="shared" si="223"/>
        <v>..</v>
      </c>
      <c r="AG522" s="28" t="str">
        <f t="shared" si="202"/>
        <v/>
      </c>
      <c r="AH522" s="28" t="str">
        <f t="shared" si="208"/>
        <v/>
      </c>
      <c r="AI522" t="str">
        <f t="shared" si="209"/>
        <v/>
      </c>
      <c r="AJ522" t="str">
        <f t="shared" si="210"/>
        <v/>
      </c>
      <c r="AK522" t="str">
        <f t="shared" si="211"/>
        <v/>
      </c>
      <c r="AL522" t="str">
        <f t="shared" si="212"/>
        <v/>
      </c>
      <c r="AM522" t="str">
        <f t="shared" si="213"/>
        <v/>
      </c>
      <c r="AN522" t="str">
        <f t="shared" si="214"/>
        <v/>
      </c>
      <c r="AO522" t="str">
        <f t="shared" si="215"/>
        <v/>
      </c>
      <c r="AP522" t="str">
        <f t="shared" si="216"/>
        <v/>
      </c>
      <c r="AQ522" t="str">
        <f t="shared" si="217"/>
        <v/>
      </c>
      <c r="AR522" t="str">
        <f t="shared" si="218"/>
        <v/>
      </c>
      <c r="AS522" t="str">
        <f t="shared" si="219"/>
        <v/>
      </c>
      <c r="AT522" t="str">
        <f t="shared" si="220"/>
        <v/>
      </c>
      <c r="AU522" s="25" t="str">
        <f t="shared" si="224"/>
        <v/>
      </c>
      <c r="BA522">
        <f>'REGISTER SK'!F525</f>
        <v>0</v>
      </c>
    </row>
    <row r="523" spans="1:53" x14ac:dyDescent="0.35">
      <c r="A523" s="18">
        <v>522</v>
      </c>
      <c r="B523" s="18"/>
      <c r="C523" s="18" t="str">
        <f>IF(G523="","",IF(G523="Umum",G523,VLOOKUP(F523,'Data Induk Pegawai'!B:AE,4,FALSE)))</f>
        <v/>
      </c>
      <c r="D523" s="19" t="str">
        <f>IF('REGISTER SK'!A526="","",IF('REGISTER SK'!B526=0,D522,'REGISTER SK'!B526))</f>
        <v/>
      </c>
      <c r="E523" s="19" t="str">
        <f t="shared" si="221"/>
        <v/>
      </c>
      <c r="F523" s="29"/>
      <c r="G523" s="29"/>
      <c r="H523" s="31" t="str">
        <f>IF(F523="","",VLOOKUP(F523,'Data Induk Pegawai'!B:U,2,FALSE))</f>
        <v/>
      </c>
      <c r="I523" s="19" t="str">
        <f>IF('REGISTER SK'!C526="","",'REGISTER SK'!C526)</f>
        <v/>
      </c>
      <c r="J523" s="125"/>
      <c r="K523" s="125"/>
      <c r="L523" s="26" t="str">
        <f>IF('REGISTER SK'!D526="","",'REGISTER SK'!D526)</f>
        <v/>
      </c>
      <c r="M523" s="26" t="str">
        <f>IF('REGISTER SK'!E526="","",'REGISTER SK'!E526)</f>
        <v/>
      </c>
      <c r="N523" s="31" t="str">
        <f>IF(G523="","",IF(OR(G523="GTT",G523="PTT"),"--",VLOOKUP(F523,'Data Induk Pegawai'!B:AE,4,FALSE)))</f>
        <v/>
      </c>
      <c r="O523" s="18" t="str">
        <f>IF(G523="","",VLOOKUP(F523,'Data Induk Pegawai'!B:AE,6,FALSE))</f>
        <v/>
      </c>
      <c r="P523" s="31" t="str">
        <f>IF(G523="","",VLOOKUP(F523,'Data Induk Pegawai'!B:AE,7,FALSE))</f>
        <v/>
      </c>
      <c r="Q523" s="30"/>
      <c r="R523" s="26" t="str">
        <f>IF(G523="","","Nomor "&amp;RIGHT(VLOOKUP(F523,'Data Induk Pegawai'!B:AE,12,FALSE),2)&amp;" Tahun "&amp;MID(VLOOKUP(F523,'Data Induk Pegawai'!B:AE,12,FALSE),5,4))</f>
        <v/>
      </c>
      <c r="S523" s="26" t="str">
        <f>IF(G523="","",VLOOKUP(F523,'Data Induk Pegawai'!B:AE,11,FALSE))</f>
        <v/>
      </c>
      <c r="T523" s="56"/>
      <c r="U523" s="18" t="str">
        <f t="shared" si="203"/>
        <v/>
      </c>
      <c r="V523" s="30"/>
      <c r="W523" s="18" t="str">
        <f t="shared" si="201"/>
        <v/>
      </c>
      <c r="Y523" t="str">
        <f t="shared" si="204"/>
        <v/>
      </c>
      <c r="Z523" t="str">
        <f t="shared" si="205"/>
        <v/>
      </c>
      <c r="AA523" t="str">
        <f t="shared" si="206"/>
        <v/>
      </c>
      <c r="AB523" t="str">
        <f>COUNTIFS(AC523:AC$596,AC523)&amp;AC523</f>
        <v>74</v>
      </c>
      <c r="AC523" t="str">
        <f t="shared" si="222"/>
        <v/>
      </c>
      <c r="AD523" t="str">
        <f>COUNTIFS(AC$2:AC523,AC523)&amp;AC523</f>
        <v>522</v>
      </c>
      <c r="AE523" t="str">
        <f t="shared" si="207"/>
        <v/>
      </c>
      <c r="AF523" t="str">
        <f t="shared" si="223"/>
        <v>..</v>
      </c>
      <c r="AG523" s="28" t="str">
        <f t="shared" si="202"/>
        <v/>
      </c>
      <c r="AH523" s="28" t="str">
        <f t="shared" si="208"/>
        <v/>
      </c>
      <c r="AI523" t="str">
        <f t="shared" si="209"/>
        <v/>
      </c>
      <c r="AJ523" t="str">
        <f t="shared" si="210"/>
        <v/>
      </c>
      <c r="AK523" t="str">
        <f t="shared" si="211"/>
        <v/>
      </c>
      <c r="AL523" t="str">
        <f t="shared" si="212"/>
        <v/>
      </c>
      <c r="AM523" t="str">
        <f t="shared" si="213"/>
        <v/>
      </c>
      <c r="AN523" t="str">
        <f t="shared" si="214"/>
        <v/>
      </c>
      <c r="AO523" t="str">
        <f t="shared" si="215"/>
        <v/>
      </c>
      <c r="AP523" t="str">
        <f t="shared" si="216"/>
        <v/>
      </c>
      <c r="AQ523" t="str">
        <f t="shared" si="217"/>
        <v/>
      </c>
      <c r="AR523" t="str">
        <f t="shared" si="218"/>
        <v/>
      </c>
      <c r="AS523" t="str">
        <f t="shared" si="219"/>
        <v/>
      </c>
      <c r="AT523" t="str">
        <f t="shared" si="220"/>
        <v/>
      </c>
      <c r="AU523" s="25" t="str">
        <f t="shared" si="224"/>
        <v/>
      </c>
      <c r="BA523">
        <f>'REGISTER SK'!F526</f>
        <v>0</v>
      </c>
    </row>
    <row r="524" spans="1:53" x14ac:dyDescent="0.35">
      <c r="A524" s="18">
        <v>523</v>
      </c>
      <c r="B524" s="18"/>
      <c r="C524" s="18" t="str">
        <f>IF(G524="","",IF(G524="Umum",G524,VLOOKUP(F524,'Data Induk Pegawai'!B:AE,4,FALSE)))</f>
        <v/>
      </c>
      <c r="D524" s="19" t="str">
        <f>IF('REGISTER SK'!A527="","",IF('REGISTER SK'!B527=0,D523,'REGISTER SK'!B527))</f>
        <v/>
      </c>
      <c r="E524" s="19" t="str">
        <f t="shared" si="221"/>
        <v/>
      </c>
      <c r="F524" s="29"/>
      <c r="G524" s="29"/>
      <c r="H524" s="31" t="str">
        <f>IF(F524="","",VLOOKUP(F524,'Data Induk Pegawai'!B:U,2,FALSE))</f>
        <v/>
      </c>
      <c r="I524" s="19" t="str">
        <f>IF('REGISTER SK'!C527="","",'REGISTER SK'!C527)</f>
        <v/>
      </c>
      <c r="J524" s="125"/>
      <c r="K524" s="125"/>
      <c r="L524" s="26" t="str">
        <f>IF('REGISTER SK'!D527="","",'REGISTER SK'!D527)</f>
        <v/>
      </c>
      <c r="M524" s="26" t="str">
        <f>IF('REGISTER SK'!E527="","",'REGISTER SK'!E527)</f>
        <v/>
      </c>
      <c r="N524" s="31" t="str">
        <f>IF(G524="","",IF(OR(G524="GTT",G524="PTT"),"--",VLOOKUP(F524,'Data Induk Pegawai'!B:AE,4,FALSE)))</f>
        <v/>
      </c>
      <c r="O524" s="18" t="str">
        <f>IF(G524="","",VLOOKUP(F524,'Data Induk Pegawai'!B:AE,6,FALSE))</f>
        <v/>
      </c>
      <c r="P524" s="31" t="str">
        <f>IF(G524="","",VLOOKUP(F524,'Data Induk Pegawai'!B:AE,7,FALSE))</f>
        <v/>
      </c>
      <c r="Q524" s="30"/>
      <c r="R524" s="26" t="str">
        <f>IF(G524="","","Nomor "&amp;RIGHT(VLOOKUP(F524,'Data Induk Pegawai'!B:AE,12,FALSE),2)&amp;" Tahun "&amp;MID(VLOOKUP(F524,'Data Induk Pegawai'!B:AE,12,FALSE),5,4))</f>
        <v/>
      </c>
      <c r="S524" s="26" t="str">
        <f>IF(G524="","",VLOOKUP(F524,'Data Induk Pegawai'!B:AE,11,FALSE))</f>
        <v/>
      </c>
      <c r="T524" s="56"/>
      <c r="U524" s="18" t="str">
        <f t="shared" si="203"/>
        <v/>
      </c>
      <c r="V524" s="30"/>
      <c r="W524" s="18" t="str">
        <f t="shared" si="201"/>
        <v/>
      </c>
      <c r="Y524" t="str">
        <f t="shared" si="204"/>
        <v/>
      </c>
      <c r="Z524" t="str">
        <f t="shared" si="205"/>
        <v/>
      </c>
      <c r="AA524" t="str">
        <f t="shared" si="206"/>
        <v/>
      </c>
      <c r="AB524" t="str">
        <f>COUNTIFS(AC524:AC$596,AC524)&amp;AC524</f>
        <v>73</v>
      </c>
      <c r="AC524" t="str">
        <f t="shared" si="222"/>
        <v/>
      </c>
      <c r="AD524" t="str">
        <f>COUNTIFS(AC$2:AC524,AC524)&amp;AC524</f>
        <v>523</v>
      </c>
      <c r="AE524" t="str">
        <f t="shared" si="207"/>
        <v/>
      </c>
      <c r="AF524" t="str">
        <f t="shared" si="223"/>
        <v>..</v>
      </c>
      <c r="AG524" s="28" t="str">
        <f t="shared" si="202"/>
        <v/>
      </c>
      <c r="AH524" s="28" t="str">
        <f t="shared" si="208"/>
        <v/>
      </c>
      <c r="AI524" t="str">
        <f t="shared" si="209"/>
        <v/>
      </c>
      <c r="AJ524" t="str">
        <f t="shared" si="210"/>
        <v/>
      </c>
      <c r="AK524" t="str">
        <f t="shared" si="211"/>
        <v/>
      </c>
      <c r="AL524" t="str">
        <f t="shared" si="212"/>
        <v/>
      </c>
      <c r="AM524" t="str">
        <f t="shared" si="213"/>
        <v/>
      </c>
      <c r="AN524" t="str">
        <f t="shared" si="214"/>
        <v/>
      </c>
      <c r="AO524" t="str">
        <f t="shared" si="215"/>
        <v/>
      </c>
      <c r="AP524" t="str">
        <f t="shared" si="216"/>
        <v/>
      </c>
      <c r="AQ524" t="str">
        <f t="shared" si="217"/>
        <v/>
      </c>
      <c r="AR524" t="str">
        <f t="shared" si="218"/>
        <v/>
      </c>
      <c r="AS524" t="str">
        <f t="shared" si="219"/>
        <v/>
      </c>
      <c r="AT524" t="str">
        <f t="shared" si="220"/>
        <v/>
      </c>
      <c r="AU524" s="25" t="str">
        <f t="shared" si="224"/>
        <v/>
      </c>
      <c r="BA524">
        <f>'REGISTER SK'!F527</f>
        <v>0</v>
      </c>
    </row>
    <row r="525" spans="1:53" x14ac:dyDescent="0.35">
      <c r="A525" s="18">
        <v>524</v>
      </c>
      <c r="B525" s="18"/>
      <c r="C525" s="18" t="str">
        <f>IF(G525="","",IF(G525="Umum",G525,VLOOKUP(F525,'Data Induk Pegawai'!B:AE,4,FALSE)))</f>
        <v/>
      </c>
      <c r="D525" s="19" t="str">
        <f>IF('REGISTER SK'!A528="","",IF('REGISTER SK'!B528=0,D524,'REGISTER SK'!B528))</f>
        <v/>
      </c>
      <c r="E525" s="19" t="str">
        <f t="shared" si="221"/>
        <v/>
      </c>
      <c r="F525" s="29"/>
      <c r="G525" s="29"/>
      <c r="H525" s="31" t="str">
        <f>IF(F525="","",VLOOKUP(F525,'Data Induk Pegawai'!B:U,2,FALSE))</f>
        <v/>
      </c>
      <c r="I525" s="19" t="str">
        <f>IF('REGISTER SK'!C528="","",'REGISTER SK'!C528)</f>
        <v/>
      </c>
      <c r="J525" s="125"/>
      <c r="K525" s="125"/>
      <c r="L525" s="26" t="str">
        <f>IF('REGISTER SK'!D528="","",'REGISTER SK'!D528)</f>
        <v/>
      </c>
      <c r="M525" s="26" t="str">
        <f>IF('REGISTER SK'!E528="","",'REGISTER SK'!E528)</f>
        <v/>
      </c>
      <c r="N525" s="31" t="str">
        <f>IF(G525="","",IF(OR(G525="GTT",G525="PTT"),"--",VLOOKUP(F525,'Data Induk Pegawai'!B:AE,4,FALSE)))</f>
        <v/>
      </c>
      <c r="O525" s="18" t="str">
        <f>IF(G525="","",VLOOKUP(F525,'Data Induk Pegawai'!B:AE,6,FALSE))</f>
        <v/>
      </c>
      <c r="P525" s="31" t="str">
        <f>IF(G525="","",VLOOKUP(F525,'Data Induk Pegawai'!B:AE,7,FALSE))</f>
        <v/>
      </c>
      <c r="Q525" s="30"/>
      <c r="R525" s="26" t="str">
        <f>IF(G525="","","Nomor "&amp;RIGHT(VLOOKUP(F525,'Data Induk Pegawai'!B:AE,12,FALSE),2)&amp;" Tahun "&amp;MID(VLOOKUP(F525,'Data Induk Pegawai'!B:AE,12,FALSE),5,4))</f>
        <v/>
      </c>
      <c r="S525" s="26" t="str">
        <f>IF(G525="","",VLOOKUP(F525,'Data Induk Pegawai'!B:AE,11,FALSE))</f>
        <v/>
      </c>
      <c r="T525" s="56"/>
      <c r="U525" s="18" t="str">
        <f t="shared" si="203"/>
        <v/>
      </c>
      <c r="V525" s="30"/>
      <c r="W525" s="18" t="str">
        <f t="shared" si="201"/>
        <v/>
      </c>
      <c r="Y525" t="str">
        <f t="shared" si="204"/>
        <v/>
      </c>
      <c r="Z525" t="str">
        <f t="shared" si="205"/>
        <v/>
      </c>
      <c r="AA525" t="str">
        <f t="shared" si="206"/>
        <v/>
      </c>
      <c r="AB525" t="str">
        <f>COUNTIFS(AC525:AC$596,AC525)&amp;AC525</f>
        <v>72</v>
      </c>
      <c r="AC525" t="str">
        <f t="shared" si="222"/>
        <v/>
      </c>
      <c r="AD525" t="str">
        <f>COUNTIFS(AC$2:AC525,AC525)&amp;AC525</f>
        <v>524</v>
      </c>
      <c r="AE525" t="str">
        <f t="shared" si="207"/>
        <v/>
      </c>
      <c r="AF525" t="str">
        <f t="shared" si="223"/>
        <v>..</v>
      </c>
      <c r="AG525" s="28" t="str">
        <f t="shared" si="202"/>
        <v/>
      </c>
      <c r="AH525" s="28" t="str">
        <f t="shared" si="208"/>
        <v/>
      </c>
      <c r="AI525" t="str">
        <f t="shared" si="209"/>
        <v/>
      </c>
      <c r="AJ525" t="str">
        <f t="shared" si="210"/>
        <v/>
      </c>
      <c r="AK525" t="str">
        <f t="shared" si="211"/>
        <v/>
      </c>
      <c r="AL525" t="str">
        <f t="shared" si="212"/>
        <v/>
      </c>
      <c r="AM525" t="str">
        <f t="shared" si="213"/>
        <v/>
      </c>
      <c r="AN525" t="str">
        <f t="shared" si="214"/>
        <v/>
      </c>
      <c r="AO525" t="str">
        <f t="shared" si="215"/>
        <v/>
      </c>
      <c r="AP525" t="str">
        <f t="shared" si="216"/>
        <v/>
      </c>
      <c r="AQ525" t="str">
        <f t="shared" si="217"/>
        <v/>
      </c>
      <c r="AR525" t="str">
        <f t="shared" si="218"/>
        <v/>
      </c>
      <c r="AS525" t="str">
        <f t="shared" si="219"/>
        <v/>
      </c>
      <c r="AT525" t="str">
        <f t="shared" si="220"/>
        <v/>
      </c>
      <c r="AU525" s="25" t="str">
        <f t="shared" si="224"/>
        <v/>
      </c>
      <c r="BA525">
        <f>'REGISTER SK'!F528</f>
        <v>0</v>
      </c>
    </row>
    <row r="526" spans="1:53" x14ac:dyDescent="0.35">
      <c r="A526" s="18">
        <v>525</v>
      </c>
      <c r="B526" s="18"/>
      <c r="C526" s="18" t="str">
        <f>IF(G526="","",IF(G526="Umum",G526,VLOOKUP(F526,'Data Induk Pegawai'!B:AE,4,FALSE)))</f>
        <v/>
      </c>
      <c r="D526" s="19" t="str">
        <f>IF('REGISTER SK'!A529="","",IF('REGISTER SK'!B529=0,D525,'REGISTER SK'!B529))</f>
        <v/>
      </c>
      <c r="E526" s="19" t="str">
        <f t="shared" si="221"/>
        <v/>
      </c>
      <c r="F526" s="29"/>
      <c r="G526" s="29"/>
      <c r="H526" s="31" t="str">
        <f>IF(F526="","",VLOOKUP(F526,'Data Induk Pegawai'!B:U,2,FALSE))</f>
        <v/>
      </c>
      <c r="I526" s="19" t="str">
        <f>IF('REGISTER SK'!C529="","",'REGISTER SK'!C529)</f>
        <v/>
      </c>
      <c r="J526" s="125"/>
      <c r="K526" s="125"/>
      <c r="L526" s="26" t="str">
        <f>IF('REGISTER SK'!D529="","",'REGISTER SK'!D529)</f>
        <v/>
      </c>
      <c r="M526" s="26" t="str">
        <f>IF('REGISTER SK'!E529="","",'REGISTER SK'!E529)</f>
        <v/>
      </c>
      <c r="N526" s="31" t="str">
        <f>IF(G526="","",IF(OR(G526="GTT",G526="PTT"),"--",VLOOKUP(F526,'Data Induk Pegawai'!B:AE,4,FALSE)))</f>
        <v/>
      </c>
      <c r="O526" s="18" t="str">
        <f>IF(G526="","",VLOOKUP(F526,'Data Induk Pegawai'!B:AE,6,FALSE))</f>
        <v/>
      </c>
      <c r="P526" s="31" t="str">
        <f>IF(G526="","",VLOOKUP(F526,'Data Induk Pegawai'!B:AE,7,FALSE))</f>
        <v/>
      </c>
      <c r="Q526" s="30"/>
      <c r="R526" s="26" t="str">
        <f>IF(G526="","","Nomor "&amp;RIGHT(VLOOKUP(F526,'Data Induk Pegawai'!B:AE,12,FALSE),2)&amp;" Tahun "&amp;MID(VLOOKUP(F526,'Data Induk Pegawai'!B:AE,12,FALSE),5,4))</f>
        <v/>
      </c>
      <c r="S526" s="26" t="str">
        <f>IF(G526="","",VLOOKUP(F526,'Data Induk Pegawai'!B:AE,11,FALSE))</f>
        <v/>
      </c>
      <c r="T526" s="56"/>
      <c r="U526" s="18" t="str">
        <f t="shared" si="203"/>
        <v/>
      </c>
      <c r="V526" s="30"/>
      <c r="W526" s="18" t="str">
        <f t="shared" si="201"/>
        <v/>
      </c>
      <c r="Y526" t="str">
        <f t="shared" si="204"/>
        <v/>
      </c>
      <c r="Z526" t="str">
        <f t="shared" si="205"/>
        <v/>
      </c>
      <c r="AA526" t="str">
        <f t="shared" si="206"/>
        <v/>
      </c>
      <c r="AB526" t="str">
        <f>COUNTIFS(AC526:AC$596,AC526)&amp;AC526</f>
        <v>71</v>
      </c>
      <c r="AC526" t="str">
        <f t="shared" si="222"/>
        <v/>
      </c>
      <c r="AD526" t="str">
        <f>COUNTIFS(AC$2:AC526,AC526)&amp;AC526</f>
        <v>525</v>
      </c>
      <c r="AE526" t="str">
        <f t="shared" si="207"/>
        <v/>
      </c>
      <c r="AF526" t="str">
        <f t="shared" si="223"/>
        <v>..</v>
      </c>
      <c r="AG526" s="28" t="str">
        <f t="shared" si="202"/>
        <v/>
      </c>
      <c r="AH526" s="28" t="str">
        <f t="shared" si="208"/>
        <v/>
      </c>
      <c r="AI526" t="str">
        <f t="shared" si="209"/>
        <v/>
      </c>
      <c r="AJ526" t="str">
        <f t="shared" si="210"/>
        <v/>
      </c>
      <c r="AK526" t="str">
        <f t="shared" si="211"/>
        <v/>
      </c>
      <c r="AL526" t="str">
        <f t="shared" si="212"/>
        <v/>
      </c>
      <c r="AM526" t="str">
        <f t="shared" si="213"/>
        <v/>
      </c>
      <c r="AN526" t="str">
        <f t="shared" si="214"/>
        <v/>
      </c>
      <c r="AO526" t="str">
        <f t="shared" si="215"/>
        <v/>
      </c>
      <c r="AP526" t="str">
        <f t="shared" si="216"/>
        <v/>
      </c>
      <c r="AQ526" t="str">
        <f t="shared" si="217"/>
        <v/>
      </c>
      <c r="AR526" t="str">
        <f t="shared" si="218"/>
        <v/>
      </c>
      <c r="AS526" t="str">
        <f t="shared" si="219"/>
        <v/>
      </c>
      <c r="AT526" t="str">
        <f t="shared" si="220"/>
        <v/>
      </c>
      <c r="AU526" s="25" t="str">
        <f t="shared" si="224"/>
        <v/>
      </c>
      <c r="BA526">
        <f>'REGISTER SK'!F529</f>
        <v>0</v>
      </c>
    </row>
    <row r="527" spans="1:53" x14ac:dyDescent="0.35">
      <c r="A527" s="18">
        <v>526</v>
      </c>
      <c r="B527" s="18"/>
      <c r="C527" s="18" t="str">
        <f>IF(G527="","",IF(G527="Umum",G527,VLOOKUP(F527,'Data Induk Pegawai'!B:AE,4,FALSE)))</f>
        <v/>
      </c>
      <c r="D527" s="19" t="str">
        <f>IF('REGISTER SK'!A530="","",IF('REGISTER SK'!B530=0,D526,'REGISTER SK'!B530))</f>
        <v/>
      </c>
      <c r="E527" s="19" t="str">
        <f t="shared" si="221"/>
        <v/>
      </c>
      <c r="F527" s="29"/>
      <c r="G527" s="29"/>
      <c r="H527" s="31" t="str">
        <f>IF(F527="","",VLOOKUP(F527,'Data Induk Pegawai'!B:U,2,FALSE))</f>
        <v/>
      </c>
      <c r="I527" s="19" t="str">
        <f>IF('REGISTER SK'!C530="","",'REGISTER SK'!C530)</f>
        <v/>
      </c>
      <c r="J527" s="125"/>
      <c r="K527" s="125"/>
      <c r="L527" s="26" t="str">
        <f>IF('REGISTER SK'!D530="","",'REGISTER SK'!D530)</f>
        <v/>
      </c>
      <c r="M527" s="26" t="str">
        <f>IF('REGISTER SK'!E530="","",'REGISTER SK'!E530)</f>
        <v/>
      </c>
      <c r="N527" s="31" t="str">
        <f>IF(G527="","",IF(OR(G527="GTT",G527="PTT"),"--",VLOOKUP(F527,'Data Induk Pegawai'!B:AE,4,FALSE)))</f>
        <v/>
      </c>
      <c r="O527" s="18" t="str">
        <f>IF(G527="","",VLOOKUP(F527,'Data Induk Pegawai'!B:AE,6,FALSE))</f>
        <v/>
      </c>
      <c r="P527" s="31" t="str">
        <f>IF(G527="","",VLOOKUP(F527,'Data Induk Pegawai'!B:AE,7,FALSE))</f>
        <v/>
      </c>
      <c r="Q527" s="30"/>
      <c r="R527" s="26" t="str">
        <f>IF(G527="","","Nomor "&amp;RIGHT(VLOOKUP(F527,'Data Induk Pegawai'!B:AE,12,FALSE),2)&amp;" Tahun "&amp;MID(VLOOKUP(F527,'Data Induk Pegawai'!B:AE,12,FALSE),5,4))</f>
        <v/>
      </c>
      <c r="S527" s="26" t="str">
        <f>IF(G527="","",VLOOKUP(F527,'Data Induk Pegawai'!B:AE,11,FALSE))</f>
        <v/>
      </c>
      <c r="T527" s="56"/>
      <c r="U527" s="18" t="str">
        <f t="shared" si="203"/>
        <v/>
      </c>
      <c r="V527" s="30"/>
      <c r="W527" s="18" t="str">
        <f t="shared" si="201"/>
        <v/>
      </c>
      <c r="Y527" t="str">
        <f t="shared" si="204"/>
        <v/>
      </c>
      <c r="Z527" t="str">
        <f t="shared" si="205"/>
        <v/>
      </c>
      <c r="AA527" t="str">
        <f t="shared" si="206"/>
        <v/>
      </c>
      <c r="AB527" t="str">
        <f>COUNTIFS(AC527:AC$596,AC527)&amp;AC527</f>
        <v>70</v>
      </c>
      <c r="AC527" t="str">
        <f t="shared" si="222"/>
        <v/>
      </c>
      <c r="AD527" t="str">
        <f>COUNTIFS(AC$2:AC527,AC527)&amp;AC527</f>
        <v>526</v>
      </c>
      <c r="AE527" t="str">
        <f t="shared" si="207"/>
        <v/>
      </c>
      <c r="AF527" t="str">
        <f t="shared" si="223"/>
        <v>..</v>
      </c>
      <c r="AG527" s="28" t="str">
        <f t="shared" si="202"/>
        <v/>
      </c>
      <c r="AH527" s="28" t="str">
        <f t="shared" si="208"/>
        <v/>
      </c>
      <c r="AI527" t="str">
        <f t="shared" si="209"/>
        <v/>
      </c>
      <c r="AJ527" t="str">
        <f t="shared" si="210"/>
        <v/>
      </c>
      <c r="AK527" t="str">
        <f t="shared" si="211"/>
        <v/>
      </c>
      <c r="AL527" t="str">
        <f t="shared" si="212"/>
        <v/>
      </c>
      <c r="AM527" t="str">
        <f t="shared" si="213"/>
        <v/>
      </c>
      <c r="AN527" t="str">
        <f t="shared" si="214"/>
        <v/>
      </c>
      <c r="AO527" t="str">
        <f t="shared" si="215"/>
        <v/>
      </c>
      <c r="AP527" t="str">
        <f t="shared" si="216"/>
        <v/>
      </c>
      <c r="AQ527" t="str">
        <f t="shared" si="217"/>
        <v/>
      </c>
      <c r="AR527" t="str">
        <f t="shared" si="218"/>
        <v/>
      </c>
      <c r="AS527" t="str">
        <f t="shared" si="219"/>
        <v/>
      </c>
      <c r="AT527" t="str">
        <f t="shared" si="220"/>
        <v/>
      </c>
      <c r="AU527" s="25" t="str">
        <f t="shared" si="224"/>
        <v/>
      </c>
      <c r="BA527">
        <f>'REGISTER SK'!F530</f>
        <v>0</v>
      </c>
    </row>
    <row r="528" spans="1:53" x14ac:dyDescent="0.35">
      <c r="A528" s="18">
        <v>527</v>
      </c>
      <c r="B528" s="18"/>
      <c r="C528" s="18" t="str">
        <f>IF(G528="","",IF(G528="Umum",G528,VLOOKUP(F528,'Data Induk Pegawai'!B:AE,4,FALSE)))</f>
        <v/>
      </c>
      <c r="D528" s="19" t="str">
        <f>IF('REGISTER SK'!A531="","",IF('REGISTER SK'!B531=0,D527,'REGISTER SK'!B531))</f>
        <v/>
      </c>
      <c r="E528" s="19" t="str">
        <f t="shared" si="221"/>
        <v/>
      </c>
      <c r="F528" s="29"/>
      <c r="G528" s="29"/>
      <c r="H528" s="31" t="str">
        <f>IF(F528="","",VLOOKUP(F528,'Data Induk Pegawai'!B:U,2,FALSE))</f>
        <v/>
      </c>
      <c r="I528" s="19" t="str">
        <f>IF('REGISTER SK'!C531="","",'REGISTER SK'!C531)</f>
        <v/>
      </c>
      <c r="J528" s="125"/>
      <c r="K528" s="125"/>
      <c r="L528" s="26" t="str">
        <f>IF('REGISTER SK'!D531="","",'REGISTER SK'!D531)</f>
        <v/>
      </c>
      <c r="M528" s="26" t="str">
        <f>IF('REGISTER SK'!E531="","",'REGISTER SK'!E531)</f>
        <v/>
      </c>
      <c r="N528" s="31" t="str">
        <f>IF(G528="","",IF(OR(G528="GTT",G528="PTT"),"--",VLOOKUP(F528,'Data Induk Pegawai'!B:AE,4,FALSE)))</f>
        <v/>
      </c>
      <c r="O528" s="18" t="str">
        <f>IF(G528="","",VLOOKUP(F528,'Data Induk Pegawai'!B:AE,6,FALSE))</f>
        <v/>
      </c>
      <c r="P528" s="31" t="str">
        <f>IF(G528="","",VLOOKUP(F528,'Data Induk Pegawai'!B:AE,7,FALSE))</f>
        <v/>
      </c>
      <c r="Q528" s="30"/>
      <c r="R528" s="26" t="str">
        <f>IF(G528="","","Nomor "&amp;RIGHT(VLOOKUP(F528,'Data Induk Pegawai'!B:AE,12,FALSE),2)&amp;" Tahun "&amp;MID(VLOOKUP(F528,'Data Induk Pegawai'!B:AE,12,FALSE),5,4))</f>
        <v/>
      </c>
      <c r="S528" s="26" t="str">
        <f>IF(G528="","",VLOOKUP(F528,'Data Induk Pegawai'!B:AE,11,FALSE))</f>
        <v/>
      </c>
      <c r="T528" s="56"/>
      <c r="U528" s="18" t="str">
        <f t="shared" si="203"/>
        <v/>
      </c>
      <c r="V528" s="30"/>
      <c r="W528" s="18" t="str">
        <f t="shared" si="201"/>
        <v/>
      </c>
      <c r="Y528" t="str">
        <f t="shared" si="204"/>
        <v/>
      </c>
      <c r="Z528" t="str">
        <f t="shared" si="205"/>
        <v/>
      </c>
      <c r="AA528" t="str">
        <f t="shared" si="206"/>
        <v/>
      </c>
      <c r="AB528" t="str">
        <f>COUNTIFS(AC528:AC$596,AC528)&amp;AC528</f>
        <v>69</v>
      </c>
      <c r="AC528" t="str">
        <f t="shared" si="222"/>
        <v/>
      </c>
      <c r="AD528" t="str">
        <f>COUNTIFS(AC$2:AC528,AC528)&amp;AC528</f>
        <v>527</v>
      </c>
      <c r="AE528" t="str">
        <f t="shared" si="207"/>
        <v/>
      </c>
      <c r="AF528" t="str">
        <f t="shared" si="223"/>
        <v>..</v>
      </c>
      <c r="AG528" s="28" t="str">
        <f t="shared" si="202"/>
        <v/>
      </c>
      <c r="AH528" s="28" t="str">
        <f t="shared" si="208"/>
        <v/>
      </c>
      <c r="AI528" t="str">
        <f t="shared" si="209"/>
        <v/>
      </c>
      <c r="AJ528" t="str">
        <f t="shared" si="210"/>
        <v/>
      </c>
      <c r="AK528" t="str">
        <f t="shared" si="211"/>
        <v/>
      </c>
      <c r="AL528" t="str">
        <f t="shared" si="212"/>
        <v/>
      </c>
      <c r="AM528" t="str">
        <f t="shared" si="213"/>
        <v/>
      </c>
      <c r="AN528" t="str">
        <f t="shared" si="214"/>
        <v/>
      </c>
      <c r="AO528" t="str">
        <f t="shared" si="215"/>
        <v/>
      </c>
      <c r="AP528" t="str">
        <f t="shared" si="216"/>
        <v/>
      </c>
      <c r="AQ528" t="str">
        <f t="shared" si="217"/>
        <v/>
      </c>
      <c r="AR528" t="str">
        <f t="shared" si="218"/>
        <v/>
      </c>
      <c r="AS528" t="str">
        <f t="shared" si="219"/>
        <v/>
      </c>
      <c r="AT528" t="str">
        <f t="shared" si="220"/>
        <v/>
      </c>
      <c r="AU528" s="25" t="str">
        <f t="shared" si="224"/>
        <v/>
      </c>
      <c r="BA528">
        <f>'REGISTER SK'!F531</f>
        <v>0</v>
      </c>
    </row>
    <row r="529" spans="1:53" x14ac:dyDescent="0.35">
      <c r="A529" s="18">
        <v>528</v>
      </c>
      <c r="B529" s="18"/>
      <c r="C529" s="18" t="str">
        <f>IF(G529="","",IF(G529="Umum",G529,VLOOKUP(F529,'Data Induk Pegawai'!B:AE,4,FALSE)))</f>
        <v/>
      </c>
      <c r="D529" s="19" t="str">
        <f>IF('REGISTER SK'!A532="","",IF('REGISTER SK'!B532=0,D528,'REGISTER SK'!B532))</f>
        <v/>
      </c>
      <c r="E529" s="19" t="str">
        <f t="shared" si="221"/>
        <v/>
      </c>
      <c r="F529" s="29"/>
      <c r="G529" s="29"/>
      <c r="H529" s="31" t="str">
        <f>IF(F529="","",VLOOKUP(F529,'Data Induk Pegawai'!B:U,2,FALSE))</f>
        <v/>
      </c>
      <c r="I529" s="19" t="str">
        <f>IF('REGISTER SK'!C532="","",'REGISTER SK'!C532)</f>
        <v/>
      </c>
      <c r="J529" s="125"/>
      <c r="K529" s="125"/>
      <c r="L529" s="26" t="str">
        <f>IF('REGISTER SK'!D532="","",'REGISTER SK'!D532)</f>
        <v/>
      </c>
      <c r="M529" s="26" t="str">
        <f>IF('REGISTER SK'!E532="","",'REGISTER SK'!E532)</f>
        <v/>
      </c>
      <c r="N529" s="31" t="str">
        <f>IF(G529="","",IF(OR(G529="GTT",G529="PTT"),"--",VLOOKUP(F529,'Data Induk Pegawai'!B:AE,4,FALSE)))</f>
        <v/>
      </c>
      <c r="O529" s="18" t="str">
        <f>IF(G529="","",VLOOKUP(F529,'Data Induk Pegawai'!B:AE,6,FALSE))</f>
        <v/>
      </c>
      <c r="P529" s="31" t="str">
        <f>IF(G529="","",VLOOKUP(F529,'Data Induk Pegawai'!B:AE,7,FALSE))</f>
        <v/>
      </c>
      <c r="Q529" s="30"/>
      <c r="R529" s="26" t="str">
        <f>IF(G529="","","Nomor "&amp;RIGHT(VLOOKUP(F529,'Data Induk Pegawai'!B:AE,12,FALSE),2)&amp;" Tahun "&amp;MID(VLOOKUP(F529,'Data Induk Pegawai'!B:AE,12,FALSE),5,4))</f>
        <v/>
      </c>
      <c r="S529" s="26" t="str">
        <f>IF(G529="","",VLOOKUP(F529,'Data Induk Pegawai'!B:AE,11,FALSE))</f>
        <v/>
      </c>
      <c r="T529" s="56"/>
      <c r="U529" s="18" t="str">
        <f t="shared" si="203"/>
        <v/>
      </c>
      <c r="V529" s="30"/>
      <c r="W529" s="18" t="str">
        <f t="shared" si="201"/>
        <v/>
      </c>
      <c r="Y529" t="str">
        <f t="shared" si="204"/>
        <v/>
      </c>
      <c r="Z529" t="str">
        <f t="shared" si="205"/>
        <v/>
      </c>
      <c r="AA529" t="str">
        <f t="shared" si="206"/>
        <v/>
      </c>
      <c r="AB529" t="str">
        <f>COUNTIFS(AC529:AC$596,AC529)&amp;AC529</f>
        <v>68</v>
      </c>
      <c r="AC529" t="str">
        <f t="shared" si="222"/>
        <v/>
      </c>
      <c r="AD529" t="str">
        <f>COUNTIFS(AC$2:AC529,AC529)&amp;AC529</f>
        <v>528</v>
      </c>
      <c r="AE529" t="str">
        <f t="shared" si="207"/>
        <v/>
      </c>
      <c r="AF529" t="str">
        <f t="shared" si="223"/>
        <v>..</v>
      </c>
      <c r="AG529" s="28" t="str">
        <f t="shared" si="202"/>
        <v/>
      </c>
      <c r="AH529" s="28" t="str">
        <f t="shared" si="208"/>
        <v/>
      </c>
      <c r="AI529" t="str">
        <f t="shared" si="209"/>
        <v/>
      </c>
      <c r="AJ529" t="str">
        <f t="shared" si="210"/>
        <v/>
      </c>
      <c r="AK529" t="str">
        <f t="shared" si="211"/>
        <v/>
      </c>
      <c r="AL529" t="str">
        <f t="shared" si="212"/>
        <v/>
      </c>
      <c r="AM529" t="str">
        <f t="shared" si="213"/>
        <v/>
      </c>
      <c r="AN529" t="str">
        <f t="shared" si="214"/>
        <v/>
      </c>
      <c r="AO529" t="str">
        <f t="shared" si="215"/>
        <v/>
      </c>
      <c r="AP529" t="str">
        <f t="shared" si="216"/>
        <v/>
      </c>
      <c r="AQ529" t="str">
        <f t="shared" si="217"/>
        <v/>
      </c>
      <c r="AR529" t="str">
        <f t="shared" si="218"/>
        <v/>
      </c>
      <c r="AS529" t="str">
        <f t="shared" si="219"/>
        <v/>
      </c>
      <c r="AT529" t="str">
        <f t="shared" si="220"/>
        <v/>
      </c>
      <c r="AU529" s="25" t="str">
        <f t="shared" si="224"/>
        <v/>
      </c>
      <c r="BA529">
        <f>'REGISTER SK'!F532</f>
        <v>0</v>
      </c>
    </row>
    <row r="530" spans="1:53" x14ac:dyDescent="0.35">
      <c r="A530" s="18">
        <v>529</v>
      </c>
      <c r="B530" s="18"/>
      <c r="C530" s="18" t="str">
        <f>IF(G530="","",IF(G530="Umum",G530,VLOOKUP(F530,'Data Induk Pegawai'!B:AE,4,FALSE)))</f>
        <v/>
      </c>
      <c r="D530" s="19" t="str">
        <f>IF('REGISTER SK'!A533="","",IF('REGISTER SK'!B533=0,D529,'REGISTER SK'!B533))</f>
        <v/>
      </c>
      <c r="E530" s="19" t="str">
        <f t="shared" si="221"/>
        <v/>
      </c>
      <c r="F530" s="29"/>
      <c r="G530" s="29"/>
      <c r="H530" s="31" t="str">
        <f>IF(F530="","",VLOOKUP(F530,'Data Induk Pegawai'!B:U,2,FALSE))</f>
        <v/>
      </c>
      <c r="I530" s="19" t="str">
        <f>IF('REGISTER SK'!C533="","",'REGISTER SK'!C533)</f>
        <v/>
      </c>
      <c r="J530" s="125"/>
      <c r="K530" s="125"/>
      <c r="L530" s="26" t="str">
        <f>IF('REGISTER SK'!D533="","",'REGISTER SK'!D533)</f>
        <v/>
      </c>
      <c r="M530" s="26" t="str">
        <f>IF('REGISTER SK'!E533="","",'REGISTER SK'!E533)</f>
        <v/>
      </c>
      <c r="N530" s="31" t="str">
        <f>IF(G530="","",IF(OR(G530="GTT",G530="PTT"),"--",VLOOKUP(F530,'Data Induk Pegawai'!B:AE,4,FALSE)))</f>
        <v/>
      </c>
      <c r="O530" s="18" t="str">
        <f>IF(G530="","",VLOOKUP(F530,'Data Induk Pegawai'!B:AE,6,FALSE))</f>
        <v/>
      </c>
      <c r="P530" s="31" t="str">
        <f>IF(G530="","",VLOOKUP(F530,'Data Induk Pegawai'!B:AE,7,FALSE))</f>
        <v/>
      </c>
      <c r="Q530" s="30"/>
      <c r="R530" s="26" t="str">
        <f>IF(G530="","","Nomor "&amp;RIGHT(VLOOKUP(F530,'Data Induk Pegawai'!B:AE,12,FALSE),2)&amp;" Tahun "&amp;MID(VLOOKUP(F530,'Data Induk Pegawai'!B:AE,12,FALSE),5,4))</f>
        <v/>
      </c>
      <c r="S530" s="26" t="str">
        <f>IF(G530="","",VLOOKUP(F530,'Data Induk Pegawai'!B:AE,11,FALSE))</f>
        <v/>
      </c>
      <c r="T530" s="56"/>
      <c r="U530" s="18" t="str">
        <f t="shared" si="203"/>
        <v/>
      </c>
      <c r="V530" s="30"/>
      <c r="W530" s="18" t="str">
        <f t="shared" si="201"/>
        <v/>
      </c>
      <c r="Y530" t="str">
        <f t="shared" si="204"/>
        <v/>
      </c>
      <c r="Z530" t="str">
        <f t="shared" si="205"/>
        <v/>
      </c>
      <c r="AA530" t="str">
        <f t="shared" si="206"/>
        <v/>
      </c>
      <c r="AB530" t="str">
        <f>COUNTIFS(AC530:AC$596,AC530)&amp;AC530</f>
        <v>67</v>
      </c>
      <c r="AC530" t="str">
        <f t="shared" si="222"/>
        <v/>
      </c>
      <c r="AD530" t="str">
        <f>COUNTIFS(AC$2:AC530,AC530)&amp;AC530</f>
        <v>529</v>
      </c>
      <c r="AE530" t="str">
        <f t="shared" si="207"/>
        <v/>
      </c>
      <c r="AF530" t="str">
        <f t="shared" si="223"/>
        <v>..</v>
      </c>
      <c r="AG530" s="28" t="str">
        <f t="shared" si="202"/>
        <v/>
      </c>
      <c r="AH530" s="28" t="str">
        <f t="shared" si="208"/>
        <v/>
      </c>
      <c r="AI530" t="str">
        <f t="shared" si="209"/>
        <v/>
      </c>
      <c r="AJ530" t="str">
        <f t="shared" si="210"/>
        <v/>
      </c>
      <c r="AK530" t="str">
        <f t="shared" si="211"/>
        <v/>
      </c>
      <c r="AL530" t="str">
        <f t="shared" si="212"/>
        <v/>
      </c>
      <c r="AM530" t="str">
        <f t="shared" si="213"/>
        <v/>
      </c>
      <c r="AN530" t="str">
        <f t="shared" si="214"/>
        <v/>
      </c>
      <c r="AO530" t="str">
        <f t="shared" si="215"/>
        <v/>
      </c>
      <c r="AP530" t="str">
        <f t="shared" si="216"/>
        <v/>
      </c>
      <c r="AQ530" t="str">
        <f t="shared" si="217"/>
        <v/>
      </c>
      <c r="AR530" t="str">
        <f t="shared" si="218"/>
        <v/>
      </c>
      <c r="AS530" t="str">
        <f t="shared" si="219"/>
        <v/>
      </c>
      <c r="AT530" t="str">
        <f t="shared" si="220"/>
        <v/>
      </c>
      <c r="AU530" s="25" t="str">
        <f t="shared" si="224"/>
        <v/>
      </c>
      <c r="BA530">
        <f>'REGISTER SK'!F533</f>
        <v>0</v>
      </c>
    </row>
    <row r="531" spans="1:53" x14ac:dyDescent="0.35">
      <c r="A531" s="18">
        <v>530</v>
      </c>
      <c r="B531" s="18"/>
      <c r="C531" s="18" t="str">
        <f>IF(G531="","",IF(G531="Umum",G531,VLOOKUP(F531,'Data Induk Pegawai'!B:AE,4,FALSE)))</f>
        <v/>
      </c>
      <c r="D531" s="19" t="str">
        <f>IF('REGISTER SK'!A534="","",IF('REGISTER SK'!B534=0,D530,'REGISTER SK'!B534))</f>
        <v/>
      </c>
      <c r="E531" s="19" t="str">
        <f t="shared" si="221"/>
        <v/>
      </c>
      <c r="F531" s="29"/>
      <c r="G531" s="29"/>
      <c r="H531" s="31" t="str">
        <f>IF(F531="","",VLOOKUP(F531,'Data Induk Pegawai'!B:U,2,FALSE))</f>
        <v/>
      </c>
      <c r="I531" s="19" t="str">
        <f>IF('REGISTER SK'!C534="","",'REGISTER SK'!C534)</f>
        <v/>
      </c>
      <c r="J531" s="125"/>
      <c r="K531" s="125"/>
      <c r="L531" s="26" t="str">
        <f>IF('REGISTER SK'!D534="","",'REGISTER SK'!D534)</f>
        <v/>
      </c>
      <c r="M531" s="26" t="str">
        <f>IF('REGISTER SK'!E534="","",'REGISTER SK'!E534)</f>
        <v/>
      </c>
      <c r="N531" s="31" t="str">
        <f>IF(G531="","",IF(OR(G531="GTT",G531="PTT"),"--",VLOOKUP(F531,'Data Induk Pegawai'!B:AE,4,FALSE)))</f>
        <v/>
      </c>
      <c r="O531" s="18" t="str">
        <f>IF(G531="","",VLOOKUP(F531,'Data Induk Pegawai'!B:AE,6,FALSE))</f>
        <v/>
      </c>
      <c r="P531" s="31" t="str">
        <f>IF(G531="","",VLOOKUP(F531,'Data Induk Pegawai'!B:AE,7,FALSE))</f>
        <v/>
      </c>
      <c r="Q531" s="30"/>
      <c r="R531" s="26" t="str">
        <f>IF(G531="","","Nomor "&amp;RIGHT(VLOOKUP(F531,'Data Induk Pegawai'!B:AE,12,FALSE),2)&amp;" Tahun "&amp;MID(VLOOKUP(F531,'Data Induk Pegawai'!B:AE,12,FALSE),5,4))</f>
        <v/>
      </c>
      <c r="S531" s="26" t="str">
        <f>IF(G531="","",VLOOKUP(F531,'Data Induk Pegawai'!B:AE,11,FALSE))</f>
        <v/>
      </c>
      <c r="T531" s="56"/>
      <c r="U531" s="18" t="str">
        <f t="shared" si="203"/>
        <v/>
      </c>
      <c r="V531" s="30"/>
      <c r="W531" s="18" t="str">
        <f t="shared" si="201"/>
        <v/>
      </c>
      <c r="Y531" t="str">
        <f t="shared" si="204"/>
        <v/>
      </c>
      <c r="Z531" t="str">
        <f t="shared" si="205"/>
        <v/>
      </c>
      <c r="AA531" t="str">
        <f t="shared" si="206"/>
        <v/>
      </c>
      <c r="AB531" t="str">
        <f>COUNTIFS(AC531:AC$596,AC531)&amp;AC531</f>
        <v>66</v>
      </c>
      <c r="AC531" t="str">
        <f t="shared" si="222"/>
        <v/>
      </c>
      <c r="AD531" t="str">
        <f>COUNTIFS(AC$2:AC531,AC531)&amp;AC531</f>
        <v>530</v>
      </c>
      <c r="AE531" t="str">
        <f t="shared" si="207"/>
        <v/>
      </c>
      <c r="AF531" t="str">
        <f t="shared" si="223"/>
        <v>..</v>
      </c>
      <c r="AG531" s="28" t="str">
        <f t="shared" si="202"/>
        <v/>
      </c>
      <c r="AH531" s="28" t="str">
        <f t="shared" si="208"/>
        <v/>
      </c>
      <c r="AI531" t="str">
        <f t="shared" si="209"/>
        <v/>
      </c>
      <c r="AJ531" t="str">
        <f t="shared" si="210"/>
        <v/>
      </c>
      <c r="AK531" t="str">
        <f t="shared" si="211"/>
        <v/>
      </c>
      <c r="AL531" t="str">
        <f t="shared" si="212"/>
        <v/>
      </c>
      <c r="AM531" t="str">
        <f t="shared" si="213"/>
        <v/>
      </c>
      <c r="AN531" t="str">
        <f t="shared" si="214"/>
        <v/>
      </c>
      <c r="AO531" t="str">
        <f t="shared" si="215"/>
        <v/>
      </c>
      <c r="AP531" t="str">
        <f t="shared" si="216"/>
        <v/>
      </c>
      <c r="AQ531" t="str">
        <f t="shared" si="217"/>
        <v/>
      </c>
      <c r="AR531" t="str">
        <f t="shared" si="218"/>
        <v/>
      </c>
      <c r="AS531" t="str">
        <f t="shared" si="219"/>
        <v/>
      </c>
      <c r="AT531" t="str">
        <f t="shared" si="220"/>
        <v/>
      </c>
      <c r="AU531" s="25" t="str">
        <f t="shared" si="224"/>
        <v/>
      </c>
      <c r="BA531">
        <f>'REGISTER SK'!F534</f>
        <v>0</v>
      </c>
    </row>
    <row r="532" spans="1:53" x14ac:dyDescent="0.35">
      <c r="A532" s="18">
        <v>531</v>
      </c>
      <c r="B532" s="18"/>
      <c r="C532" s="18" t="str">
        <f>IF(G532="","",IF(G532="Umum",G532,VLOOKUP(F532,'Data Induk Pegawai'!B:AE,4,FALSE)))</f>
        <v/>
      </c>
      <c r="D532" s="19" t="str">
        <f>IF('REGISTER SK'!A535="","",IF('REGISTER SK'!B535=0,D531,'REGISTER SK'!B535))</f>
        <v/>
      </c>
      <c r="E532" s="19" t="str">
        <f t="shared" si="221"/>
        <v/>
      </c>
      <c r="F532" s="29"/>
      <c r="G532" s="29"/>
      <c r="H532" s="31" t="str">
        <f>IF(F532="","",VLOOKUP(F532,'Data Induk Pegawai'!B:U,2,FALSE))</f>
        <v/>
      </c>
      <c r="I532" s="19" t="str">
        <f>IF('REGISTER SK'!C535="","",'REGISTER SK'!C535)</f>
        <v/>
      </c>
      <c r="J532" s="125"/>
      <c r="K532" s="125"/>
      <c r="L532" s="26" t="str">
        <f>IF('REGISTER SK'!D535="","",'REGISTER SK'!D535)</f>
        <v/>
      </c>
      <c r="M532" s="26" t="str">
        <f>IF('REGISTER SK'!E535="","",'REGISTER SK'!E535)</f>
        <v/>
      </c>
      <c r="N532" s="31" t="str">
        <f>IF(G532="","",IF(OR(G532="GTT",G532="PTT"),"--",VLOOKUP(F532,'Data Induk Pegawai'!B:AE,4,FALSE)))</f>
        <v/>
      </c>
      <c r="O532" s="18" t="str">
        <f>IF(G532="","",VLOOKUP(F532,'Data Induk Pegawai'!B:AE,6,FALSE))</f>
        <v/>
      </c>
      <c r="P532" s="31" t="str">
        <f>IF(G532="","",VLOOKUP(F532,'Data Induk Pegawai'!B:AE,7,FALSE))</f>
        <v/>
      </c>
      <c r="Q532" s="30"/>
      <c r="R532" s="26" t="str">
        <f>IF(G532="","","Nomor "&amp;RIGHT(VLOOKUP(F532,'Data Induk Pegawai'!B:AE,12,FALSE),2)&amp;" Tahun "&amp;MID(VLOOKUP(F532,'Data Induk Pegawai'!B:AE,12,FALSE),5,4))</f>
        <v/>
      </c>
      <c r="S532" s="26" t="str">
        <f>IF(G532="","",VLOOKUP(F532,'Data Induk Pegawai'!B:AE,11,FALSE))</f>
        <v/>
      </c>
      <c r="T532" s="56"/>
      <c r="U532" s="18" t="str">
        <f t="shared" si="203"/>
        <v/>
      </c>
      <c r="V532" s="30"/>
      <c r="W532" s="18" t="str">
        <f t="shared" si="201"/>
        <v/>
      </c>
      <c r="Y532" t="str">
        <f t="shared" si="204"/>
        <v/>
      </c>
      <c r="Z532" t="str">
        <f t="shared" si="205"/>
        <v/>
      </c>
      <c r="AA532" t="str">
        <f t="shared" si="206"/>
        <v/>
      </c>
      <c r="AB532" t="str">
        <f>COUNTIFS(AC532:AC$596,AC532)&amp;AC532</f>
        <v>65</v>
      </c>
      <c r="AC532" t="str">
        <f t="shared" si="222"/>
        <v/>
      </c>
      <c r="AD532" t="str">
        <f>COUNTIFS(AC$2:AC532,AC532)&amp;AC532</f>
        <v>531</v>
      </c>
      <c r="AE532" t="str">
        <f t="shared" si="207"/>
        <v/>
      </c>
      <c r="AF532" t="str">
        <f t="shared" si="223"/>
        <v>..</v>
      </c>
      <c r="AG532" s="28" t="str">
        <f t="shared" si="202"/>
        <v/>
      </c>
      <c r="AH532" s="28" t="str">
        <f t="shared" si="208"/>
        <v/>
      </c>
      <c r="AI532" t="str">
        <f t="shared" si="209"/>
        <v/>
      </c>
      <c r="AJ532" t="str">
        <f t="shared" si="210"/>
        <v/>
      </c>
      <c r="AK532" t="str">
        <f t="shared" si="211"/>
        <v/>
      </c>
      <c r="AL532" t="str">
        <f t="shared" si="212"/>
        <v/>
      </c>
      <c r="AM532" t="str">
        <f t="shared" si="213"/>
        <v/>
      </c>
      <c r="AN532" t="str">
        <f t="shared" si="214"/>
        <v/>
      </c>
      <c r="AO532" t="str">
        <f t="shared" si="215"/>
        <v/>
      </c>
      <c r="AP532" t="str">
        <f t="shared" si="216"/>
        <v/>
      </c>
      <c r="AQ532" t="str">
        <f t="shared" si="217"/>
        <v/>
      </c>
      <c r="AR532" t="str">
        <f t="shared" si="218"/>
        <v/>
      </c>
      <c r="AS532" t="str">
        <f t="shared" si="219"/>
        <v/>
      </c>
      <c r="AT532" t="str">
        <f t="shared" si="220"/>
        <v/>
      </c>
      <c r="AU532" s="25" t="str">
        <f t="shared" si="224"/>
        <v/>
      </c>
      <c r="BA532">
        <f>'REGISTER SK'!F535</f>
        <v>0</v>
      </c>
    </row>
    <row r="533" spans="1:53" x14ac:dyDescent="0.35">
      <c r="A533" s="18">
        <v>532</v>
      </c>
      <c r="B533" s="18"/>
      <c r="C533" s="18" t="str">
        <f>IF(G533="","",IF(G533="Umum",G533,VLOOKUP(F533,'Data Induk Pegawai'!B:AE,4,FALSE)))</f>
        <v/>
      </c>
      <c r="D533" s="19" t="str">
        <f>IF('REGISTER SK'!A536="","",IF('REGISTER SK'!B536=0,D532,'REGISTER SK'!B536))</f>
        <v/>
      </c>
      <c r="E533" s="19" t="str">
        <f t="shared" si="221"/>
        <v/>
      </c>
      <c r="F533" s="29"/>
      <c r="G533" s="29"/>
      <c r="H533" s="31" t="str">
        <f>IF(F533="","",VLOOKUP(F533,'Data Induk Pegawai'!B:U,2,FALSE))</f>
        <v/>
      </c>
      <c r="I533" s="19" t="str">
        <f>IF('REGISTER SK'!C536="","",'REGISTER SK'!C536)</f>
        <v/>
      </c>
      <c r="J533" s="125"/>
      <c r="K533" s="125"/>
      <c r="L533" s="26" t="str">
        <f>IF('REGISTER SK'!D536="","",'REGISTER SK'!D536)</f>
        <v/>
      </c>
      <c r="M533" s="26" t="str">
        <f>IF('REGISTER SK'!E536="","",'REGISTER SK'!E536)</f>
        <v/>
      </c>
      <c r="N533" s="31" t="str">
        <f>IF(G533="","",IF(OR(G533="GTT",G533="PTT"),"--",VLOOKUP(F533,'Data Induk Pegawai'!B:AE,4,FALSE)))</f>
        <v/>
      </c>
      <c r="O533" s="18" t="str">
        <f>IF(G533="","",VLOOKUP(F533,'Data Induk Pegawai'!B:AE,6,FALSE))</f>
        <v/>
      </c>
      <c r="P533" s="31" t="str">
        <f>IF(G533="","",VLOOKUP(F533,'Data Induk Pegawai'!B:AE,7,FALSE))</f>
        <v/>
      </c>
      <c r="Q533" s="30"/>
      <c r="R533" s="26" t="str">
        <f>IF(G533="","","Nomor "&amp;RIGHT(VLOOKUP(F533,'Data Induk Pegawai'!B:AE,12,FALSE),2)&amp;" Tahun "&amp;MID(VLOOKUP(F533,'Data Induk Pegawai'!B:AE,12,FALSE),5,4))</f>
        <v/>
      </c>
      <c r="S533" s="26" t="str">
        <f>IF(G533="","",VLOOKUP(F533,'Data Induk Pegawai'!B:AE,11,FALSE))</f>
        <v/>
      </c>
      <c r="T533" s="56"/>
      <c r="U533" s="18" t="str">
        <f t="shared" si="203"/>
        <v/>
      </c>
      <c r="V533" s="30"/>
      <c r="W533" s="18" t="str">
        <f t="shared" si="201"/>
        <v/>
      </c>
      <c r="Y533" t="str">
        <f t="shared" si="204"/>
        <v/>
      </c>
      <c r="Z533" t="str">
        <f t="shared" si="205"/>
        <v/>
      </c>
      <c r="AA533" t="str">
        <f t="shared" si="206"/>
        <v/>
      </c>
      <c r="AB533" t="str">
        <f>COUNTIFS(AC533:AC$596,AC533)&amp;AC533</f>
        <v>64</v>
      </c>
      <c r="AC533" t="str">
        <f t="shared" si="222"/>
        <v/>
      </c>
      <c r="AD533" t="str">
        <f>COUNTIFS(AC$2:AC533,AC533)&amp;AC533</f>
        <v>532</v>
      </c>
      <c r="AE533" t="str">
        <f t="shared" si="207"/>
        <v/>
      </c>
      <c r="AF533" t="str">
        <f t="shared" si="223"/>
        <v>..</v>
      </c>
      <c r="AG533" s="28" t="str">
        <f t="shared" si="202"/>
        <v/>
      </c>
      <c r="AH533" s="28" t="str">
        <f t="shared" si="208"/>
        <v/>
      </c>
      <c r="AI533" t="str">
        <f t="shared" si="209"/>
        <v/>
      </c>
      <c r="AJ533" t="str">
        <f t="shared" si="210"/>
        <v/>
      </c>
      <c r="AK533" t="str">
        <f t="shared" si="211"/>
        <v/>
      </c>
      <c r="AL533" t="str">
        <f t="shared" si="212"/>
        <v/>
      </c>
      <c r="AM533" t="str">
        <f t="shared" si="213"/>
        <v/>
      </c>
      <c r="AN533" t="str">
        <f t="shared" si="214"/>
        <v/>
      </c>
      <c r="AO533" t="str">
        <f t="shared" si="215"/>
        <v/>
      </c>
      <c r="AP533" t="str">
        <f t="shared" si="216"/>
        <v/>
      </c>
      <c r="AQ533" t="str">
        <f t="shared" si="217"/>
        <v/>
      </c>
      <c r="AR533" t="str">
        <f t="shared" si="218"/>
        <v/>
      </c>
      <c r="AS533" t="str">
        <f t="shared" si="219"/>
        <v/>
      </c>
      <c r="AT533" t="str">
        <f t="shared" si="220"/>
        <v/>
      </c>
      <c r="AU533" s="25" t="str">
        <f t="shared" si="224"/>
        <v/>
      </c>
      <c r="BA533">
        <f>'REGISTER SK'!F536</f>
        <v>0</v>
      </c>
    </row>
    <row r="534" spans="1:53" x14ac:dyDescent="0.35">
      <c r="A534" s="18">
        <v>533</v>
      </c>
      <c r="B534" s="18"/>
      <c r="C534" s="18" t="str">
        <f>IF(G534="","",IF(G534="Umum",G534,VLOOKUP(F534,'Data Induk Pegawai'!B:AE,4,FALSE)))</f>
        <v/>
      </c>
      <c r="D534" s="19" t="str">
        <f>IF('REGISTER SK'!A537="","",IF('REGISTER SK'!B537=0,D533,'REGISTER SK'!B537))</f>
        <v/>
      </c>
      <c r="E534" s="19" t="str">
        <f t="shared" si="221"/>
        <v/>
      </c>
      <c r="F534" s="29"/>
      <c r="G534" s="29"/>
      <c r="H534" s="31" t="str">
        <f>IF(F534="","",VLOOKUP(F534,'Data Induk Pegawai'!B:U,2,FALSE))</f>
        <v/>
      </c>
      <c r="I534" s="19" t="str">
        <f>IF('REGISTER SK'!C537="","",'REGISTER SK'!C537)</f>
        <v/>
      </c>
      <c r="J534" s="125"/>
      <c r="K534" s="125"/>
      <c r="L534" s="26" t="str">
        <f>IF('REGISTER SK'!D537="","",'REGISTER SK'!D537)</f>
        <v/>
      </c>
      <c r="M534" s="26" t="str">
        <f>IF('REGISTER SK'!E537="","",'REGISTER SK'!E537)</f>
        <v/>
      </c>
      <c r="N534" s="31" t="str">
        <f>IF(G534="","",IF(OR(G534="GTT",G534="PTT"),"--",VLOOKUP(F534,'Data Induk Pegawai'!B:AE,4,FALSE)))</f>
        <v/>
      </c>
      <c r="O534" s="18" t="str">
        <f>IF(G534="","",VLOOKUP(F534,'Data Induk Pegawai'!B:AE,6,FALSE))</f>
        <v/>
      </c>
      <c r="P534" s="31" t="str">
        <f>IF(G534="","",VLOOKUP(F534,'Data Induk Pegawai'!B:AE,7,FALSE))</f>
        <v/>
      </c>
      <c r="Q534" s="30"/>
      <c r="R534" s="26" t="str">
        <f>IF(G534="","","Nomor "&amp;RIGHT(VLOOKUP(F534,'Data Induk Pegawai'!B:AE,12,FALSE),2)&amp;" Tahun "&amp;MID(VLOOKUP(F534,'Data Induk Pegawai'!B:AE,12,FALSE),5,4))</f>
        <v/>
      </c>
      <c r="S534" s="26" t="str">
        <f>IF(G534="","",VLOOKUP(F534,'Data Induk Pegawai'!B:AE,11,FALSE))</f>
        <v/>
      </c>
      <c r="T534" s="56"/>
      <c r="U534" s="18" t="str">
        <f t="shared" si="203"/>
        <v/>
      </c>
      <c r="V534" s="30"/>
      <c r="W534" s="18" t="str">
        <f t="shared" ref="W534:W596" si="225">V534&amp;H534</f>
        <v/>
      </c>
      <c r="Y534" t="str">
        <f t="shared" si="204"/>
        <v/>
      </c>
      <c r="Z534" t="str">
        <f t="shared" si="205"/>
        <v/>
      </c>
      <c r="AA534" t="str">
        <f t="shared" si="206"/>
        <v/>
      </c>
      <c r="AB534" t="str">
        <f>COUNTIFS(AC534:AC$596,AC534)&amp;AC534</f>
        <v>63</v>
      </c>
      <c r="AC534" t="str">
        <f t="shared" si="222"/>
        <v/>
      </c>
      <c r="AD534" t="str">
        <f>COUNTIFS(AC$2:AC534,AC534)&amp;AC534</f>
        <v>533</v>
      </c>
      <c r="AE534" t="str">
        <f t="shared" si="207"/>
        <v/>
      </c>
      <c r="AF534" t="str">
        <f t="shared" si="223"/>
        <v>..</v>
      </c>
      <c r="AG534" s="28" t="str">
        <f t="shared" ref="AG534:AG596" si="226">L534</f>
        <v/>
      </c>
      <c r="AH534" s="28" t="str">
        <f t="shared" si="208"/>
        <v/>
      </c>
      <c r="AI534" t="str">
        <f t="shared" si="209"/>
        <v/>
      </c>
      <c r="AJ534" t="str">
        <f t="shared" si="210"/>
        <v/>
      </c>
      <c r="AK534" t="str">
        <f t="shared" si="211"/>
        <v/>
      </c>
      <c r="AL534" t="str">
        <f t="shared" si="212"/>
        <v/>
      </c>
      <c r="AM534" t="str">
        <f t="shared" si="213"/>
        <v/>
      </c>
      <c r="AN534" t="str">
        <f t="shared" si="214"/>
        <v/>
      </c>
      <c r="AO534" t="str">
        <f t="shared" si="215"/>
        <v/>
      </c>
      <c r="AP534" t="str">
        <f t="shared" si="216"/>
        <v/>
      </c>
      <c r="AQ534" t="str">
        <f t="shared" si="217"/>
        <v/>
      </c>
      <c r="AR534" t="str">
        <f t="shared" si="218"/>
        <v/>
      </c>
      <c r="AS534" t="str">
        <f t="shared" si="219"/>
        <v/>
      </c>
      <c r="AT534" t="str">
        <f t="shared" si="220"/>
        <v/>
      </c>
      <c r="AU534" s="25" t="str">
        <f t="shared" si="224"/>
        <v/>
      </c>
      <c r="BA534">
        <f>'REGISTER SK'!F537</f>
        <v>0</v>
      </c>
    </row>
    <row r="535" spans="1:53" x14ac:dyDescent="0.35">
      <c r="A535" s="18">
        <v>534</v>
      </c>
      <c r="B535" s="18"/>
      <c r="C535" s="18" t="str">
        <f>IF(G535="","",IF(G535="Umum",G535,VLOOKUP(F535,'Data Induk Pegawai'!B:AE,4,FALSE)))</f>
        <v/>
      </c>
      <c r="D535" s="19" t="str">
        <f>IF('REGISTER SK'!A538="","",IF('REGISTER SK'!B538=0,D534,'REGISTER SK'!B538))</f>
        <v/>
      </c>
      <c r="E535" s="19" t="str">
        <f t="shared" si="221"/>
        <v/>
      </c>
      <c r="F535" s="29"/>
      <c r="G535" s="29"/>
      <c r="H535" s="31" t="str">
        <f>IF(F535="","",VLOOKUP(F535,'Data Induk Pegawai'!B:U,2,FALSE))</f>
        <v/>
      </c>
      <c r="I535" s="19" t="str">
        <f>IF('REGISTER SK'!C538="","",'REGISTER SK'!C538)</f>
        <v/>
      </c>
      <c r="J535" s="125"/>
      <c r="K535" s="125"/>
      <c r="L535" s="26" t="str">
        <f>IF('REGISTER SK'!D538="","",'REGISTER SK'!D538)</f>
        <v/>
      </c>
      <c r="M535" s="26" t="str">
        <f>IF('REGISTER SK'!E538="","",'REGISTER SK'!E538)</f>
        <v/>
      </c>
      <c r="N535" s="31" t="str">
        <f>IF(G535="","",IF(OR(G535="GTT",G535="PTT"),"--",VLOOKUP(F535,'Data Induk Pegawai'!B:AE,4,FALSE)))</f>
        <v/>
      </c>
      <c r="O535" s="18" t="str">
        <f>IF(G535="","",VLOOKUP(F535,'Data Induk Pegawai'!B:AE,6,FALSE))</f>
        <v/>
      </c>
      <c r="P535" s="31" t="str">
        <f>IF(G535="","",VLOOKUP(F535,'Data Induk Pegawai'!B:AE,7,FALSE))</f>
        <v/>
      </c>
      <c r="Q535" s="30"/>
      <c r="R535" s="26" t="str">
        <f>IF(G535="","","Nomor "&amp;RIGHT(VLOOKUP(F535,'Data Induk Pegawai'!B:AE,12,FALSE),2)&amp;" Tahun "&amp;MID(VLOOKUP(F535,'Data Induk Pegawai'!B:AE,12,FALSE),5,4))</f>
        <v/>
      </c>
      <c r="S535" s="26" t="str">
        <f>IF(G535="","",VLOOKUP(F535,'Data Induk Pegawai'!B:AE,11,FALSE))</f>
        <v/>
      </c>
      <c r="T535" s="56"/>
      <c r="U535" s="18" t="str">
        <f t="shared" si="203"/>
        <v/>
      </c>
      <c r="V535" s="30"/>
      <c r="W535" s="18" t="str">
        <f t="shared" si="225"/>
        <v/>
      </c>
      <c r="Y535" t="str">
        <f t="shared" si="204"/>
        <v/>
      </c>
      <c r="Z535" t="str">
        <f t="shared" si="205"/>
        <v/>
      </c>
      <c r="AA535" t="str">
        <f t="shared" si="206"/>
        <v/>
      </c>
      <c r="AB535" t="str">
        <f>COUNTIFS(AC535:AC$596,AC535)&amp;AC535</f>
        <v>62</v>
      </c>
      <c r="AC535" t="str">
        <f t="shared" si="222"/>
        <v/>
      </c>
      <c r="AD535" t="str">
        <f>COUNTIFS(AC$2:AC535,AC535)&amp;AC535</f>
        <v>534</v>
      </c>
      <c r="AE535" t="str">
        <f t="shared" si="207"/>
        <v/>
      </c>
      <c r="AF535" t="str">
        <f t="shared" si="223"/>
        <v>..</v>
      </c>
      <c r="AG535" s="28" t="str">
        <f t="shared" si="226"/>
        <v/>
      </c>
      <c r="AH535" s="28" t="str">
        <f t="shared" si="208"/>
        <v/>
      </c>
      <c r="AI535" t="str">
        <f t="shared" si="209"/>
        <v/>
      </c>
      <c r="AJ535" t="str">
        <f t="shared" si="210"/>
        <v/>
      </c>
      <c r="AK535" t="str">
        <f t="shared" si="211"/>
        <v/>
      </c>
      <c r="AL535" t="str">
        <f t="shared" si="212"/>
        <v/>
      </c>
      <c r="AM535" t="str">
        <f t="shared" si="213"/>
        <v/>
      </c>
      <c r="AN535" t="str">
        <f t="shared" si="214"/>
        <v/>
      </c>
      <c r="AO535" t="str">
        <f t="shared" si="215"/>
        <v/>
      </c>
      <c r="AP535" t="str">
        <f t="shared" si="216"/>
        <v/>
      </c>
      <c r="AQ535" t="str">
        <f t="shared" si="217"/>
        <v/>
      </c>
      <c r="AR535" t="str">
        <f t="shared" si="218"/>
        <v/>
      </c>
      <c r="AS535" t="str">
        <f t="shared" si="219"/>
        <v/>
      </c>
      <c r="AT535" t="str">
        <f t="shared" si="220"/>
        <v/>
      </c>
      <c r="AU535" s="25" t="str">
        <f t="shared" si="224"/>
        <v/>
      </c>
      <c r="BA535">
        <f>'REGISTER SK'!F538</f>
        <v>0</v>
      </c>
    </row>
    <row r="536" spans="1:53" x14ac:dyDescent="0.35">
      <c r="A536" s="18">
        <v>535</v>
      </c>
      <c r="B536" s="18"/>
      <c r="C536" s="18" t="str">
        <f>IF(G536="","",IF(G536="Umum",G536,VLOOKUP(F536,'Data Induk Pegawai'!B:AE,4,FALSE)))</f>
        <v/>
      </c>
      <c r="D536" s="19" t="str">
        <f>IF('REGISTER SK'!A539="","",IF('REGISTER SK'!B539=0,D535,'REGISTER SK'!B539))</f>
        <v/>
      </c>
      <c r="E536" s="19" t="str">
        <f t="shared" si="221"/>
        <v/>
      </c>
      <c r="F536" s="29"/>
      <c r="G536" s="29"/>
      <c r="H536" s="31" t="str">
        <f>IF(F536="","",VLOOKUP(F536,'Data Induk Pegawai'!B:U,2,FALSE))</f>
        <v/>
      </c>
      <c r="I536" s="19" t="str">
        <f>IF('REGISTER SK'!C539="","",'REGISTER SK'!C539)</f>
        <v/>
      </c>
      <c r="J536" s="125"/>
      <c r="K536" s="125"/>
      <c r="L536" s="26" t="str">
        <f>IF('REGISTER SK'!D539="","",'REGISTER SK'!D539)</f>
        <v/>
      </c>
      <c r="M536" s="26" t="str">
        <f>IF('REGISTER SK'!E539="","",'REGISTER SK'!E539)</f>
        <v/>
      </c>
      <c r="N536" s="31" t="str">
        <f>IF(G536="","",IF(OR(G536="GTT",G536="PTT"),"--",VLOOKUP(F536,'Data Induk Pegawai'!B:AE,4,FALSE)))</f>
        <v/>
      </c>
      <c r="O536" s="18" t="str">
        <f>IF(G536="","",VLOOKUP(F536,'Data Induk Pegawai'!B:AE,6,FALSE))</f>
        <v/>
      </c>
      <c r="P536" s="31" t="str">
        <f>IF(G536="","",VLOOKUP(F536,'Data Induk Pegawai'!B:AE,7,FALSE))</f>
        <v/>
      </c>
      <c r="Q536" s="30"/>
      <c r="R536" s="26" t="str">
        <f>IF(G536="","","Nomor "&amp;RIGHT(VLOOKUP(F536,'Data Induk Pegawai'!B:AE,12,FALSE),2)&amp;" Tahun "&amp;MID(VLOOKUP(F536,'Data Induk Pegawai'!B:AE,12,FALSE),5,4))</f>
        <v/>
      </c>
      <c r="S536" s="26" t="str">
        <f>IF(G536="","",VLOOKUP(F536,'Data Induk Pegawai'!B:AE,11,FALSE))</f>
        <v/>
      </c>
      <c r="T536" s="56"/>
      <c r="U536" s="18" t="str">
        <f t="shared" si="203"/>
        <v/>
      </c>
      <c r="V536" s="30"/>
      <c r="W536" s="18" t="str">
        <f t="shared" si="225"/>
        <v/>
      </c>
      <c r="Y536" t="str">
        <f t="shared" si="204"/>
        <v/>
      </c>
      <c r="Z536" t="str">
        <f t="shared" si="205"/>
        <v/>
      </c>
      <c r="AA536" t="str">
        <f t="shared" si="206"/>
        <v/>
      </c>
      <c r="AB536" t="str">
        <f>COUNTIFS(AC536:AC$596,AC536)&amp;AC536</f>
        <v>61</v>
      </c>
      <c r="AC536" t="str">
        <f t="shared" si="222"/>
        <v/>
      </c>
      <c r="AD536" t="str">
        <f>COUNTIFS(AC$2:AC536,AC536)&amp;AC536</f>
        <v>535</v>
      </c>
      <c r="AE536" t="str">
        <f t="shared" si="207"/>
        <v/>
      </c>
      <c r="AF536" t="str">
        <f t="shared" si="223"/>
        <v>..</v>
      </c>
      <c r="AG536" s="28" t="str">
        <f t="shared" si="226"/>
        <v/>
      </c>
      <c r="AH536" s="28" t="str">
        <f t="shared" si="208"/>
        <v/>
      </c>
      <c r="AI536" t="str">
        <f t="shared" si="209"/>
        <v/>
      </c>
      <c r="AJ536" t="str">
        <f t="shared" si="210"/>
        <v/>
      </c>
      <c r="AK536" t="str">
        <f t="shared" si="211"/>
        <v/>
      </c>
      <c r="AL536" t="str">
        <f t="shared" si="212"/>
        <v/>
      </c>
      <c r="AM536" t="str">
        <f t="shared" si="213"/>
        <v/>
      </c>
      <c r="AN536" t="str">
        <f t="shared" si="214"/>
        <v/>
      </c>
      <c r="AO536" t="str">
        <f t="shared" si="215"/>
        <v/>
      </c>
      <c r="AP536" t="str">
        <f t="shared" si="216"/>
        <v/>
      </c>
      <c r="AQ536" t="str">
        <f t="shared" si="217"/>
        <v/>
      </c>
      <c r="AR536" t="str">
        <f t="shared" si="218"/>
        <v/>
      </c>
      <c r="AS536" t="str">
        <f t="shared" si="219"/>
        <v/>
      </c>
      <c r="AT536" t="str">
        <f t="shared" si="220"/>
        <v/>
      </c>
      <c r="AU536" s="25" t="str">
        <f t="shared" si="224"/>
        <v/>
      </c>
      <c r="BA536">
        <f>'REGISTER SK'!F539</f>
        <v>0</v>
      </c>
    </row>
    <row r="537" spans="1:53" x14ac:dyDescent="0.35">
      <c r="A537" s="18">
        <v>536</v>
      </c>
      <c r="B537" s="18"/>
      <c r="C537" s="18" t="str">
        <f>IF(G537="","",IF(G537="Umum",G537,VLOOKUP(F537,'Data Induk Pegawai'!B:AE,4,FALSE)))</f>
        <v/>
      </c>
      <c r="D537" s="19" t="str">
        <f>IF('REGISTER SK'!A540="","",IF('REGISTER SK'!B540=0,D536,'REGISTER SK'!B540))</f>
        <v/>
      </c>
      <c r="E537" s="19" t="str">
        <f t="shared" si="221"/>
        <v/>
      </c>
      <c r="F537" s="29"/>
      <c r="G537" s="29"/>
      <c r="H537" s="31" t="str">
        <f>IF(F537="","",VLOOKUP(F537,'Data Induk Pegawai'!B:U,2,FALSE))</f>
        <v/>
      </c>
      <c r="I537" s="19" t="str">
        <f>IF('REGISTER SK'!C540="","",'REGISTER SK'!C540)</f>
        <v/>
      </c>
      <c r="J537" s="125"/>
      <c r="K537" s="125"/>
      <c r="L537" s="26" t="str">
        <f>IF('REGISTER SK'!D540="","",'REGISTER SK'!D540)</f>
        <v/>
      </c>
      <c r="M537" s="26" t="str">
        <f>IF('REGISTER SK'!E540="","",'REGISTER SK'!E540)</f>
        <v/>
      </c>
      <c r="N537" s="31" t="str">
        <f>IF(G537="","",IF(OR(G537="GTT",G537="PTT"),"--",VLOOKUP(F537,'Data Induk Pegawai'!B:AE,4,FALSE)))</f>
        <v/>
      </c>
      <c r="O537" s="18" t="str">
        <f>IF(G537="","",VLOOKUP(F537,'Data Induk Pegawai'!B:AE,6,FALSE))</f>
        <v/>
      </c>
      <c r="P537" s="31" t="str">
        <f>IF(G537="","",VLOOKUP(F537,'Data Induk Pegawai'!B:AE,7,FALSE))</f>
        <v/>
      </c>
      <c r="Q537" s="30"/>
      <c r="R537" s="26" t="str">
        <f>IF(G537="","","Nomor "&amp;RIGHT(VLOOKUP(F537,'Data Induk Pegawai'!B:AE,12,FALSE),2)&amp;" Tahun "&amp;MID(VLOOKUP(F537,'Data Induk Pegawai'!B:AE,12,FALSE),5,4))</f>
        <v/>
      </c>
      <c r="S537" s="26" t="str">
        <f>IF(G537="","",VLOOKUP(F537,'Data Induk Pegawai'!B:AE,11,FALSE))</f>
        <v/>
      </c>
      <c r="T537" s="56"/>
      <c r="U537" s="18" t="str">
        <f t="shared" si="203"/>
        <v/>
      </c>
      <c r="V537" s="30"/>
      <c r="W537" s="18" t="str">
        <f t="shared" si="225"/>
        <v/>
      </c>
      <c r="Y537" t="str">
        <f t="shared" si="204"/>
        <v/>
      </c>
      <c r="Z537" t="str">
        <f t="shared" si="205"/>
        <v/>
      </c>
      <c r="AA537" t="str">
        <f t="shared" si="206"/>
        <v/>
      </c>
      <c r="AB537" t="str">
        <f>COUNTIFS(AC537:AC$596,AC537)&amp;AC537</f>
        <v>60</v>
      </c>
      <c r="AC537" t="str">
        <f t="shared" si="222"/>
        <v/>
      </c>
      <c r="AD537" t="str">
        <f>COUNTIFS(AC$2:AC537,AC537)&amp;AC537</f>
        <v>536</v>
      </c>
      <c r="AE537" t="str">
        <f t="shared" si="207"/>
        <v/>
      </c>
      <c r="AF537" t="str">
        <f t="shared" si="223"/>
        <v>..</v>
      </c>
      <c r="AG537" s="28" t="str">
        <f t="shared" si="226"/>
        <v/>
      </c>
      <c r="AH537" s="28" t="str">
        <f t="shared" si="208"/>
        <v/>
      </c>
      <c r="AI537" t="str">
        <f t="shared" si="209"/>
        <v/>
      </c>
      <c r="AJ537" t="str">
        <f t="shared" si="210"/>
        <v/>
      </c>
      <c r="AK537" t="str">
        <f t="shared" si="211"/>
        <v/>
      </c>
      <c r="AL537" t="str">
        <f t="shared" si="212"/>
        <v/>
      </c>
      <c r="AM537" t="str">
        <f t="shared" si="213"/>
        <v/>
      </c>
      <c r="AN537" t="str">
        <f t="shared" si="214"/>
        <v/>
      </c>
      <c r="AO537" t="str">
        <f t="shared" si="215"/>
        <v/>
      </c>
      <c r="AP537" t="str">
        <f t="shared" si="216"/>
        <v/>
      </c>
      <c r="AQ537" t="str">
        <f t="shared" si="217"/>
        <v/>
      </c>
      <c r="AR537" t="str">
        <f t="shared" si="218"/>
        <v/>
      </c>
      <c r="AS537" t="str">
        <f t="shared" si="219"/>
        <v/>
      </c>
      <c r="AT537" t="str">
        <f t="shared" si="220"/>
        <v/>
      </c>
      <c r="AU537" s="25" t="str">
        <f t="shared" si="224"/>
        <v/>
      </c>
      <c r="BA537">
        <f>'REGISTER SK'!F540</f>
        <v>0</v>
      </c>
    </row>
    <row r="538" spans="1:53" x14ac:dyDescent="0.35">
      <c r="A538" s="18">
        <v>537</v>
      </c>
      <c r="B538" s="18"/>
      <c r="C538" s="18" t="str">
        <f>IF(G538="","",IF(G538="Umum",G538,VLOOKUP(F538,'Data Induk Pegawai'!B:AE,4,FALSE)))</f>
        <v/>
      </c>
      <c r="D538" s="19" t="str">
        <f>IF('REGISTER SK'!A541="","",IF('REGISTER SK'!B541=0,D537,'REGISTER SK'!B541))</f>
        <v/>
      </c>
      <c r="E538" s="19" t="str">
        <f t="shared" si="221"/>
        <v/>
      </c>
      <c r="F538" s="29"/>
      <c r="G538" s="29"/>
      <c r="H538" s="31" t="str">
        <f>IF(F538="","",VLOOKUP(F538,'Data Induk Pegawai'!B:U,2,FALSE))</f>
        <v/>
      </c>
      <c r="I538" s="19" t="str">
        <f>IF('REGISTER SK'!C541="","",'REGISTER SK'!C541)</f>
        <v/>
      </c>
      <c r="J538" s="125"/>
      <c r="K538" s="125"/>
      <c r="L538" s="26" t="str">
        <f>IF('REGISTER SK'!D541="","",'REGISTER SK'!D541)</f>
        <v/>
      </c>
      <c r="M538" s="26" t="str">
        <f>IF('REGISTER SK'!E541="","",'REGISTER SK'!E541)</f>
        <v/>
      </c>
      <c r="N538" s="31" t="str">
        <f>IF(G538="","",IF(OR(G538="GTT",G538="PTT"),"--",VLOOKUP(F538,'Data Induk Pegawai'!B:AE,4,FALSE)))</f>
        <v/>
      </c>
      <c r="O538" s="18" t="str">
        <f>IF(G538="","",VLOOKUP(F538,'Data Induk Pegawai'!B:AE,6,FALSE))</f>
        <v/>
      </c>
      <c r="P538" s="31" t="str">
        <f>IF(G538="","",VLOOKUP(F538,'Data Induk Pegawai'!B:AE,7,FALSE))</f>
        <v/>
      </c>
      <c r="Q538" s="30"/>
      <c r="R538" s="26" t="str">
        <f>IF(G538="","","Nomor "&amp;RIGHT(VLOOKUP(F538,'Data Induk Pegawai'!B:AE,12,FALSE),2)&amp;" Tahun "&amp;MID(VLOOKUP(F538,'Data Induk Pegawai'!B:AE,12,FALSE),5,4))</f>
        <v/>
      </c>
      <c r="S538" s="26" t="str">
        <f>IF(G538="","",VLOOKUP(F538,'Data Induk Pegawai'!B:AE,11,FALSE))</f>
        <v/>
      </c>
      <c r="T538" s="56"/>
      <c r="U538" s="18" t="str">
        <f t="shared" si="203"/>
        <v/>
      </c>
      <c r="V538" s="30"/>
      <c r="W538" s="18" t="str">
        <f t="shared" si="225"/>
        <v/>
      </c>
      <c r="Y538" t="str">
        <f t="shared" si="204"/>
        <v/>
      </c>
      <c r="Z538" t="str">
        <f t="shared" si="205"/>
        <v/>
      </c>
      <c r="AA538" t="str">
        <f t="shared" si="206"/>
        <v/>
      </c>
      <c r="AB538" t="str">
        <f>COUNTIFS(AC538:AC$596,AC538)&amp;AC538</f>
        <v>59</v>
      </c>
      <c r="AC538" t="str">
        <f t="shared" si="222"/>
        <v/>
      </c>
      <c r="AD538" t="str">
        <f>COUNTIFS(AC$2:AC538,AC538)&amp;AC538</f>
        <v>537</v>
      </c>
      <c r="AE538" t="str">
        <f t="shared" si="207"/>
        <v/>
      </c>
      <c r="AF538" t="str">
        <f t="shared" si="223"/>
        <v>..</v>
      </c>
      <c r="AG538" s="28" t="str">
        <f t="shared" si="226"/>
        <v/>
      </c>
      <c r="AH538" s="28" t="str">
        <f t="shared" si="208"/>
        <v/>
      </c>
      <c r="AI538" t="str">
        <f t="shared" si="209"/>
        <v/>
      </c>
      <c r="AJ538" t="str">
        <f t="shared" si="210"/>
        <v/>
      </c>
      <c r="AK538" t="str">
        <f t="shared" si="211"/>
        <v/>
      </c>
      <c r="AL538" t="str">
        <f t="shared" si="212"/>
        <v/>
      </c>
      <c r="AM538" t="str">
        <f t="shared" si="213"/>
        <v/>
      </c>
      <c r="AN538" t="str">
        <f t="shared" si="214"/>
        <v/>
      </c>
      <c r="AO538" t="str">
        <f t="shared" si="215"/>
        <v/>
      </c>
      <c r="AP538" t="str">
        <f t="shared" si="216"/>
        <v/>
      </c>
      <c r="AQ538" t="str">
        <f t="shared" si="217"/>
        <v/>
      </c>
      <c r="AR538" t="str">
        <f t="shared" si="218"/>
        <v/>
      </c>
      <c r="AS538" t="str">
        <f t="shared" si="219"/>
        <v/>
      </c>
      <c r="AT538" t="str">
        <f t="shared" si="220"/>
        <v/>
      </c>
      <c r="AU538" s="25" t="str">
        <f t="shared" si="224"/>
        <v/>
      </c>
      <c r="BA538">
        <f>'REGISTER SK'!F541</f>
        <v>0</v>
      </c>
    </row>
    <row r="539" spans="1:53" x14ac:dyDescent="0.35">
      <c r="A539" s="18">
        <v>538</v>
      </c>
      <c r="B539" s="18"/>
      <c r="C539" s="18" t="str">
        <f>IF(G539="","",IF(G539="Umum",G539,VLOOKUP(F539,'Data Induk Pegawai'!B:AE,4,FALSE)))</f>
        <v/>
      </c>
      <c r="D539" s="19" t="str">
        <f>IF('REGISTER SK'!A542="","",IF('REGISTER SK'!B542=0,D538,'REGISTER SK'!B542))</f>
        <v/>
      </c>
      <c r="E539" s="19" t="str">
        <f t="shared" si="221"/>
        <v/>
      </c>
      <c r="F539" s="29"/>
      <c r="G539" s="29"/>
      <c r="H539" s="31" t="str">
        <f>IF(F539="","",VLOOKUP(F539,'Data Induk Pegawai'!B:U,2,FALSE))</f>
        <v/>
      </c>
      <c r="I539" s="19" t="str">
        <f>IF('REGISTER SK'!C542="","",'REGISTER SK'!C542)</f>
        <v/>
      </c>
      <c r="J539" s="125"/>
      <c r="K539" s="125"/>
      <c r="L539" s="26" t="str">
        <f>IF('REGISTER SK'!D542="","",'REGISTER SK'!D542)</f>
        <v/>
      </c>
      <c r="M539" s="26" t="str">
        <f>IF('REGISTER SK'!E542="","",'REGISTER SK'!E542)</f>
        <v/>
      </c>
      <c r="N539" s="31" t="str">
        <f>IF(G539="","",IF(OR(G539="GTT",G539="PTT"),"--",VLOOKUP(F539,'Data Induk Pegawai'!B:AE,4,FALSE)))</f>
        <v/>
      </c>
      <c r="O539" s="18" t="str">
        <f>IF(G539="","",VLOOKUP(F539,'Data Induk Pegawai'!B:AE,6,FALSE))</f>
        <v/>
      </c>
      <c r="P539" s="31" t="str">
        <f>IF(G539="","",VLOOKUP(F539,'Data Induk Pegawai'!B:AE,7,FALSE))</f>
        <v/>
      </c>
      <c r="Q539" s="30"/>
      <c r="R539" s="26" t="str">
        <f>IF(G539="","","Nomor "&amp;RIGHT(VLOOKUP(F539,'Data Induk Pegawai'!B:AE,12,FALSE),2)&amp;" Tahun "&amp;MID(VLOOKUP(F539,'Data Induk Pegawai'!B:AE,12,FALSE),5,4))</f>
        <v/>
      </c>
      <c r="S539" s="26" t="str">
        <f>IF(G539="","",VLOOKUP(F539,'Data Induk Pegawai'!B:AE,11,FALSE))</f>
        <v/>
      </c>
      <c r="T539" s="56"/>
      <c r="U539" s="18" t="str">
        <f t="shared" si="203"/>
        <v/>
      </c>
      <c r="V539" s="30"/>
      <c r="W539" s="18" t="str">
        <f t="shared" si="225"/>
        <v/>
      </c>
      <c r="Y539" t="str">
        <f t="shared" si="204"/>
        <v/>
      </c>
      <c r="Z539" t="str">
        <f t="shared" si="205"/>
        <v/>
      </c>
      <c r="AA539" t="str">
        <f t="shared" si="206"/>
        <v/>
      </c>
      <c r="AB539" t="str">
        <f>COUNTIFS(AC539:AC$596,AC539)&amp;AC539</f>
        <v>58</v>
      </c>
      <c r="AC539" t="str">
        <f t="shared" si="222"/>
        <v/>
      </c>
      <c r="AD539" t="str">
        <f>COUNTIFS(AC$2:AC539,AC539)&amp;AC539</f>
        <v>538</v>
      </c>
      <c r="AE539" t="str">
        <f t="shared" si="207"/>
        <v/>
      </c>
      <c r="AF539" t="str">
        <f t="shared" si="223"/>
        <v>..</v>
      </c>
      <c r="AG539" s="28" t="str">
        <f t="shared" si="226"/>
        <v/>
      </c>
      <c r="AH539" s="28" t="str">
        <f t="shared" si="208"/>
        <v/>
      </c>
      <c r="AI539" t="str">
        <f t="shared" si="209"/>
        <v/>
      </c>
      <c r="AJ539" t="str">
        <f t="shared" si="210"/>
        <v/>
      </c>
      <c r="AK539" t="str">
        <f t="shared" si="211"/>
        <v/>
      </c>
      <c r="AL539" t="str">
        <f t="shared" si="212"/>
        <v/>
      </c>
      <c r="AM539" t="str">
        <f t="shared" si="213"/>
        <v/>
      </c>
      <c r="AN539" t="str">
        <f t="shared" si="214"/>
        <v/>
      </c>
      <c r="AO539" t="str">
        <f t="shared" si="215"/>
        <v/>
      </c>
      <c r="AP539" t="str">
        <f t="shared" si="216"/>
        <v/>
      </c>
      <c r="AQ539" t="str">
        <f t="shared" si="217"/>
        <v/>
      </c>
      <c r="AR539" t="str">
        <f t="shared" si="218"/>
        <v/>
      </c>
      <c r="AS539" t="str">
        <f t="shared" si="219"/>
        <v/>
      </c>
      <c r="AT539" t="str">
        <f t="shared" si="220"/>
        <v/>
      </c>
      <c r="AU539" s="25" t="str">
        <f t="shared" si="224"/>
        <v/>
      </c>
      <c r="BA539">
        <f>'REGISTER SK'!F542</f>
        <v>0</v>
      </c>
    </row>
    <row r="540" spans="1:53" x14ac:dyDescent="0.35">
      <c r="A540" s="18">
        <v>539</v>
      </c>
      <c r="B540" s="18"/>
      <c r="C540" s="18" t="str">
        <f>IF(G540="","",IF(G540="Umum",G540,VLOOKUP(F540,'Data Induk Pegawai'!B:AE,4,FALSE)))</f>
        <v/>
      </c>
      <c r="D540" s="19" t="str">
        <f>IF('REGISTER SK'!A543="","",IF('REGISTER SK'!B543=0,D539,'REGISTER SK'!B543))</f>
        <v/>
      </c>
      <c r="E540" s="19" t="str">
        <f t="shared" si="221"/>
        <v/>
      </c>
      <c r="F540" s="29"/>
      <c r="G540" s="29"/>
      <c r="H540" s="31" t="str">
        <f>IF(F540="","",VLOOKUP(F540,'Data Induk Pegawai'!B:U,2,FALSE))</f>
        <v/>
      </c>
      <c r="I540" s="19" t="str">
        <f>IF('REGISTER SK'!C543="","",'REGISTER SK'!C543)</f>
        <v/>
      </c>
      <c r="J540" s="125"/>
      <c r="K540" s="125"/>
      <c r="L540" s="26" t="str">
        <f>IF('REGISTER SK'!D543="","",'REGISTER SK'!D543)</f>
        <v/>
      </c>
      <c r="M540" s="26" t="str">
        <f>IF('REGISTER SK'!E543="","",'REGISTER SK'!E543)</f>
        <v/>
      </c>
      <c r="N540" s="31" t="str">
        <f>IF(G540="","",IF(OR(G540="GTT",G540="PTT"),"--",VLOOKUP(F540,'Data Induk Pegawai'!B:AE,4,FALSE)))</f>
        <v/>
      </c>
      <c r="O540" s="18" t="str">
        <f>IF(G540="","",VLOOKUP(F540,'Data Induk Pegawai'!B:AE,6,FALSE))</f>
        <v/>
      </c>
      <c r="P540" s="31" t="str">
        <f>IF(G540="","",VLOOKUP(F540,'Data Induk Pegawai'!B:AE,7,FALSE))</f>
        <v/>
      </c>
      <c r="Q540" s="30"/>
      <c r="R540" s="26" t="str">
        <f>IF(G540="","","Nomor "&amp;RIGHT(VLOOKUP(F540,'Data Induk Pegawai'!B:AE,12,FALSE),2)&amp;" Tahun "&amp;MID(VLOOKUP(F540,'Data Induk Pegawai'!B:AE,12,FALSE),5,4))</f>
        <v/>
      </c>
      <c r="S540" s="26" t="str">
        <f>IF(G540="","",VLOOKUP(F540,'Data Induk Pegawai'!B:AE,11,FALSE))</f>
        <v/>
      </c>
      <c r="T540" s="56"/>
      <c r="U540" s="18" t="str">
        <f t="shared" si="203"/>
        <v/>
      </c>
      <c r="V540" s="30"/>
      <c r="W540" s="18" t="str">
        <f t="shared" si="225"/>
        <v/>
      </c>
      <c r="Y540" t="str">
        <f t="shared" si="204"/>
        <v/>
      </c>
      <c r="Z540" t="str">
        <f t="shared" si="205"/>
        <v/>
      </c>
      <c r="AA540" t="str">
        <f t="shared" si="206"/>
        <v/>
      </c>
      <c r="AB540" t="str">
        <f>COUNTIFS(AC540:AC$596,AC540)&amp;AC540</f>
        <v>57</v>
      </c>
      <c r="AC540" t="str">
        <f t="shared" si="222"/>
        <v/>
      </c>
      <c r="AD540" t="str">
        <f>COUNTIFS(AC$2:AC540,AC540)&amp;AC540</f>
        <v>539</v>
      </c>
      <c r="AE540" t="str">
        <f t="shared" si="207"/>
        <v/>
      </c>
      <c r="AF540" t="str">
        <f t="shared" si="223"/>
        <v>..</v>
      </c>
      <c r="AG540" s="28" t="str">
        <f t="shared" si="226"/>
        <v/>
      </c>
      <c r="AH540" s="28" t="str">
        <f t="shared" si="208"/>
        <v/>
      </c>
      <c r="AI540" t="str">
        <f t="shared" si="209"/>
        <v/>
      </c>
      <c r="AJ540" t="str">
        <f t="shared" si="210"/>
        <v/>
      </c>
      <c r="AK540" t="str">
        <f t="shared" si="211"/>
        <v/>
      </c>
      <c r="AL540" t="str">
        <f t="shared" si="212"/>
        <v/>
      </c>
      <c r="AM540" t="str">
        <f t="shared" si="213"/>
        <v/>
      </c>
      <c r="AN540" t="str">
        <f t="shared" si="214"/>
        <v/>
      </c>
      <c r="AO540" t="str">
        <f t="shared" si="215"/>
        <v/>
      </c>
      <c r="AP540" t="str">
        <f t="shared" si="216"/>
        <v/>
      </c>
      <c r="AQ540" t="str">
        <f t="shared" si="217"/>
        <v/>
      </c>
      <c r="AR540" t="str">
        <f t="shared" si="218"/>
        <v/>
      </c>
      <c r="AS540" t="str">
        <f t="shared" si="219"/>
        <v/>
      </c>
      <c r="AT540" t="str">
        <f t="shared" si="220"/>
        <v/>
      </c>
      <c r="AU540" s="25" t="str">
        <f t="shared" si="224"/>
        <v/>
      </c>
      <c r="BA540">
        <f>'REGISTER SK'!F543</f>
        <v>0</v>
      </c>
    </row>
    <row r="541" spans="1:53" x14ac:dyDescent="0.35">
      <c r="A541" s="18">
        <v>540</v>
      </c>
      <c r="B541" s="18"/>
      <c r="C541" s="18" t="str">
        <f>IF(G541="","",IF(G541="Umum",G541,VLOOKUP(F541,'Data Induk Pegawai'!B:AE,4,FALSE)))</f>
        <v/>
      </c>
      <c r="D541" s="19" t="str">
        <f>IF('REGISTER SK'!A544="","",IF('REGISTER SK'!B544=0,D540,'REGISTER SK'!B544))</f>
        <v/>
      </c>
      <c r="E541" s="19" t="str">
        <f t="shared" si="221"/>
        <v/>
      </c>
      <c r="F541" s="29"/>
      <c r="G541" s="29"/>
      <c r="H541" s="31" t="str">
        <f>IF(F541="","",VLOOKUP(F541,'Data Induk Pegawai'!B:U,2,FALSE))</f>
        <v/>
      </c>
      <c r="I541" s="19" t="str">
        <f>IF('REGISTER SK'!C544="","",'REGISTER SK'!C544)</f>
        <v/>
      </c>
      <c r="J541" s="125"/>
      <c r="K541" s="125"/>
      <c r="L541" s="26" t="str">
        <f>IF('REGISTER SK'!D544="","",'REGISTER SK'!D544)</f>
        <v/>
      </c>
      <c r="M541" s="26" t="str">
        <f>IF('REGISTER SK'!E544="","",'REGISTER SK'!E544)</f>
        <v/>
      </c>
      <c r="N541" s="31" t="str">
        <f>IF(G541="","",IF(OR(G541="GTT",G541="PTT"),"--",VLOOKUP(F541,'Data Induk Pegawai'!B:AE,4,FALSE)))</f>
        <v/>
      </c>
      <c r="O541" s="18" t="str">
        <f>IF(G541="","",VLOOKUP(F541,'Data Induk Pegawai'!B:AE,6,FALSE))</f>
        <v/>
      </c>
      <c r="P541" s="31" t="str">
        <f>IF(G541="","",VLOOKUP(F541,'Data Induk Pegawai'!B:AE,7,FALSE))</f>
        <v/>
      </c>
      <c r="Q541" s="30"/>
      <c r="R541" s="26" t="str">
        <f>IF(G541="","","Nomor "&amp;RIGHT(VLOOKUP(F541,'Data Induk Pegawai'!B:AE,12,FALSE),2)&amp;" Tahun "&amp;MID(VLOOKUP(F541,'Data Induk Pegawai'!B:AE,12,FALSE),5,4))</f>
        <v/>
      </c>
      <c r="S541" s="26" t="str">
        <f>IF(G541="","",VLOOKUP(F541,'Data Induk Pegawai'!B:AE,11,FALSE))</f>
        <v/>
      </c>
      <c r="T541" s="56"/>
      <c r="U541" s="18" t="str">
        <f t="shared" si="203"/>
        <v/>
      </c>
      <c r="V541" s="30"/>
      <c r="W541" s="18" t="str">
        <f t="shared" si="225"/>
        <v/>
      </c>
      <c r="Y541" t="str">
        <f t="shared" si="204"/>
        <v/>
      </c>
      <c r="Z541" t="str">
        <f t="shared" si="205"/>
        <v/>
      </c>
      <c r="AA541" t="str">
        <f t="shared" si="206"/>
        <v/>
      </c>
      <c r="AB541" t="str">
        <f>COUNTIFS(AC541:AC$596,AC541)&amp;AC541</f>
        <v>56</v>
      </c>
      <c r="AC541" t="str">
        <f t="shared" si="222"/>
        <v/>
      </c>
      <c r="AD541" t="str">
        <f>COUNTIFS(AC$2:AC541,AC541)&amp;AC541</f>
        <v>540</v>
      </c>
      <c r="AE541" t="str">
        <f t="shared" si="207"/>
        <v/>
      </c>
      <c r="AF541" t="str">
        <f t="shared" si="223"/>
        <v>..</v>
      </c>
      <c r="AG541" s="28" t="str">
        <f t="shared" si="226"/>
        <v/>
      </c>
      <c r="AH541" s="28" t="str">
        <f t="shared" si="208"/>
        <v/>
      </c>
      <c r="AI541" t="str">
        <f t="shared" si="209"/>
        <v/>
      </c>
      <c r="AJ541" t="str">
        <f t="shared" si="210"/>
        <v/>
      </c>
      <c r="AK541" t="str">
        <f t="shared" si="211"/>
        <v/>
      </c>
      <c r="AL541" t="str">
        <f t="shared" si="212"/>
        <v/>
      </c>
      <c r="AM541" t="str">
        <f t="shared" si="213"/>
        <v/>
      </c>
      <c r="AN541" t="str">
        <f t="shared" si="214"/>
        <v/>
      </c>
      <c r="AO541" t="str">
        <f t="shared" si="215"/>
        <v/>
      </c>
      <c r="AP541" t="str">
        <f t="shared" si="216"/>
        <v/>
      </c>
      <c r="AQ541" t="str">
        <f t="shared" si="217"/>
        <v/>
      </c>
      <c r="AR541" t="str">
        <f t="shared" si="218"/>
        <v/>
      </c>
      <c r="AS541" t="str">
        <f t="shared" si="219"/>
        <v/>
      </c>
      <c r="AT541" t="str">
        <f t="shared" si="220"/>
        <v/>
      </c>
      <c r="AU541" s="25" t="str">
        <f t="shared" si="224"/>
        <v/>
      </c>
      <c r="BA541">
        <f>'REGISTER SK'!F544</f>
        <v>0</v>
      </c>
    </row>
    <row r="542" spans="1:53" x14ac:dyDescent="0.35">
      <c r="A542" s="18">
        <v>541</v>
      </c>
      <c r="B542" s="18"/>
      <c r="C542" s="18" t="str">
        <f>IF(G542="","",IF(G542="Umum",G542,VLOOKUP(F542,'Data Induk Pegawai'!B:AE,4,FALSE)))</f>
        <v/>
      </c>
      <c r="D542" s="19" t="str">
        <f>IF('REGISTER SK'!A545="","",IF('REGISTER SK'!B545=0,D541,'REGISTER SK'!B545))</f>
        <v/>
      </c>
      <c r="E542" s="19" t="str">
        <f t="shared" si="221"/>
        <v/>
      </c>
      <c r="F542" s="29"/>
      <c r="G542" s="29"/>
      <c r="H542" s="31" t="str">
        <f>IF(F542="","",VLOOKUP(F542,'Data Induk Pegawai'!B:U,2,FALSE))</f>
        <v/>
      </c>
      <c r="I542" s="19" t="str">
        <f>IF('REGISTER SK'!C545="","",'REGISTER SK'!C545)</f>
        <v/>
      </c>
      <c r="J542" s="125"/>
      <c r="K542" s="125"/>
      <c r="L542" s="26" t="str">
        <f>IF('REGISTER SK'!D545="","",'REGISTER SK'!D545)</f>
        <v/>
      </c>
      <c r="M542" s="26" t="str">
        <f>IF('REGISTER SK'!E545="","",'REGISTER SK'!E545)</f>
        <v/>
      </c>
      <c r="N542" s="31" t="str">
        <f>IF(G542="","",IF(OR(G542="GTT",G542="PTT"),"--",VLOOKUP(F542,'Data Induk Pegawai'!B:AE,4,FALSE)))</f>
        <v/>
      </c>
      <c r="O542" s="18" t="str">
        <f>IF(G542="","",VLOOKUP(F542,'Data Induk Pegawai'!B:AE,6,FALSE))</f>
        <v/>
      </c>
      <c r="P542" s="31" t="str">
        <f>IF(G542="","",VLOOKUP(F542,'Data Induk Pegawai'!B:AE,7,FALSE))</f>
        <v/>
      </c>
      <c r="Q542" s="30"/>
      <c r="R542" s="26" t="str">
        <f>IF(G542="","","Nomor "&amp;RIGHT(VLOOKUP(F542,'Data Induk Pegawai'!B:AE,12,FALSE),2)&amp;" Tahun "&amp;MID(VLOOKUP(F542,'Data Induk Pegawai'!B:AE,12,FALSE),5,4))</f>
        <v/>
      </c>
      <c r="S542" s="26" t="str">
        <f>IF(G542="","",VLOOKUP(F542,'Data Induk Pegawai'!B:AE,11,FALSE))</f>
        <v/>
      </c>
      <c r="T542" s="56"/>
      <c r="U542" s="18" t="str">
        <f t="shared" si="203"/>
        <v/>
      </c>
      <c r="V542" s="30"/>
      <c r="W542" s="18" t="str">
        <f t="shared" si="225"/>
        <v/>
      </c>
      <c r="Y542" t="str">
        <f t="shared" si="204"/>
        <v/>
      </c>
      <c r="Z542" t="str">
        <f t="shared" si="205"/>
        <v/>
      </c>
      <c r="AA542" t="str">
        <f t="shared" si="206"/>
        <v/>
      </c>
      <c r="AB542" t="str">
        <f>COUNTIFS(AC542:AC$596,AC542)&amp;AC542</f>
        <v>55</v>
      </c>
      <c r="AC542" t="str">
        <f t="shared" si="222"/>
        <v/>
      </c>
      <c r="AD542" t="str">
        <f>COUNTIFS(AC$2:AC542,AC542)&amp;AC542</f>
        <v>541</v>
      </c>
      <c r="AE542" t="str">
        <f t="shared" si="207"/>
        <v/>
      </c>
      <c r="AF542" t="str">
        <f t="shared" si="223"/>
        <v>..</v>
      </c>
      <c r="AG542" s="28" t="str">
        <f t="shared" si="226"/>
        <v/>
      </c>
      <c r="AH542" s="28" t="str">
        <f t="shared" si="208"/>
        <v/>
      </c>
      <c r="AI542" t="str">
        <f t="shared" si="209"/>
        <v/>
      </c>
      <c r="AJ542" t="str">
        <f t="shared" si="210"/>
        <v/>
      </c>
      <c r="AK542" t="str">
        <f t="shared" si="211"/>
        <v/>
      </c>
      <c r="AL542" t="str">
        <f t="shared" si="212"/>
        <v/>
      </c>
      <c r="AM542" t="str">
        <f t="shared" si="213"/>
        <v/>
      </c>
      <c r="AN542" t="str">
        <f t="shared" si="214"/>
        <v/>
      </c>
      <c r="AO542" t="str">
        <f t="shared" si="215"/>
        <v/>
      </c>
      <c r="AP542" t="str">
        <f t="shared" si="216"/>
        <v/>
      </c>
      <c r="AQ542" t="str">
        <f t="shared" si="217"/>
        <v/>
      </c>
      <c r="AR542" t="str">
        <f t="shared" si="218"/>
        <v/>
      </c>
      <c r="AS542" t="str">
        <f t="shared" si="219"/>
        <v/>
      </c>
      <c r="AT542" t="str">
        <f t="shared" si="220"/>
        <v/>
      </c>
      <c r="AU542" s="25" t="str">
        <f t="shared" si="224"/>
        <v/>
      </c>
      <c r="BA542">
        <f>'REGISTER SK'!F545</f>
        <v>0</v>
      </c>
    </row>
    <row r="543" spans="1:53" x14ac:dyDescent="0.35">
      <c r="A543" s="18">
        <v>542</v>
      </c>
      <c r="B543" s="18"/>
      <c r="C543" s="18" t="str">
        <f>IF(G543="","",IF(G543="Umum",G543,VLOOKUP(F543,'Data Induk Pegawai'!B:AE,4,FALSE)))</f>
        <v/>
      </c>
      <c r="D543" s="19" t="str">
        <f>IF('REGISTER SK'!A546="","",IF('REGISTER SK'!B546=0,D542,'REGISTER SK'!B546))</f>
        <v/>
      </c>
      <c r="E543" s="19" t="str">
        <f t="shared" si="221"/>
        <v/>
      </c>
      <c r="F543" s="29"/>
      <c r="G543" s="29"/>
      <c r="H543" s="31" t="str">
        <f>IF(F543="","",VLOOKUP(F543,'Data Induk Pegawai'!B:U,2,FALSE))</f>
        <v/>
      </c>
      <c r="I543" s="19" t="str">
        <f>IF('REGISTER SK'!C546="","",'REGISTER SK'!C546)</f>
        <v/>
      </c>
      <c r="J543" s="125"/>
      <c r="K543" s="125"/>
      <c r="L543" s="26" t="str">
        <f>IF('REGISTER SK'!D546="","",'REGISTER SK'!D546)</f>
        <v/>
      </c>
      <c r="M543" s="26" t="str">
        <f>IF('REGISTER SK'!E546="","",'REGISTER SK'!E546)</f>
        <v/>
      </c>
      <c r="N543" s="31" t="str">
        <f>IF(G543="","",IF(OR(G543="GTT",G543="PTT"),"--",VLOOKUP(F543,'Data Induk Pegawai'!B:AE,4,FALSE)))</f>
        <v/>
      </c>
      <c r="O543" s="18" t="str">
        <f>IF(G543="","",VLOOKUP(F543,'Data Induk Pegawai'!B:AE,6,FALSE))</f>
        <v/>
      </c>
      <c r="P543" s="31" t="str">
        <f>IF(G543="","",VLOOKUP(F543,'Data Induk Pegawai'!B:AE,7,FALSE))</f>
        <v/>
      </c>
      <c r="Q543" s="30"/>
      <c r="R543" s="26" t="str">
        <f>IF(G543="","","Nomor "&amp;RIGHT(VLOOKUP(F543,'Data Induk Pegawai'!B:AE,12,FALSE),2)&amp;" Tahun "&amp;MID(VLOOKUP(F543,'Data Induk Pegawai'!B:AE,12,FALSE),5,4))</f>
        <v/>
      </c>
      <c r="S543" s="26" t="str">
        <f>IF(G543="","",VLOOKUP(F543,'Data Induk Pegawai'!B:AE,11,FALSE))</f>
        <v/>
      </c>
      <c r="T543" s="56"/>
      <c r="U543" s="18" t="str">
        <f t="shared" si="203"/>
        <v/>
      </c>
      <c r="V543" s="30"/>
      <c r="W543" s="18" t="str">
        <f t="shared" si="225"/>
        <v/>
      </c>
      <c r="Y543" t="str">
        <f t="shared" si="204"/>
        <v/>
      </c>
      <c r="Z543" t="str">
        <f t="shared" si="205"/>
        <v/>
      </c>
      <c r="AA543" t="str">
        <f t="shared" si="206"/>
        <v/>
      </c>
      <c r="AB543" t="str">
        <f>COUNTIFS(AC543:AC$596,AC543)&amp;AC543</f>
        <v>54</v>
      </c>
      <c r="AC543" t="str">
        <f t="shared" si="222"/>
        <v/>
      </c>
      <c r="AD543" t="str">
        <f>COUNTIFS(AC$2:AC543,AC543)&amp;AC543</f>
        <v>542</v>
      </c>
      <c r="AE543" t="str">
        <f t="shared" si="207"/>
        <v/>
      </c>
      <c r="AF543" t="str">
        <f t="shared" si="223"/>
        <v>..</v>
      </c>
      <c r="AG543" s="28" t="str">
        <f t="shared" si="226"/>
        <v/>
      </c>
      <c r="AH543" s="28" t="str">
        <f t="shared" si="208"/>
        <v/>
      </c>
      <c r="AI543" t="str">
        <f t="shared" si="209"/>
        <v/>
      </c>
      <c r="AJ543" t="str">
        <f t="shared" si="210"/>
        <v/>
      </c>
      <c r="AK543" t="str">
        <f t="shared" si="211"/>
        <v/>
      </c>
      <c r="AL543" t="str">
        <f t="shared" si="212"/>
        <v/>
      </c>
      <c r="AM543" t="str">
        <f t="shared" si="213"/>
        <v/>
      </c>
      <c r="AN543" t="str">
        <f t="shared" si="214"/>
        <v/>
      </c>
      <c r="AO543" t="str">
        <f t="shared" si="215"/>
        <v/>
      </c>
      <c r="AP543" t="str">
        <f t="shared" si="216"/>
        <v/>
      </c>
      <c r="AQ543" t="str">
        <f t="shared" si="217"/>
        <v/>
      </c>
      <c r="AR543" t="str">
        <f t="shared" si="218"/>
        <v/>
      </c>
      <c r="AS543" t="str">
        <f t="shared" si="219"/>
        <v/>
      </c>
      <c r="AT543" t="str">
        <f t="shared" si="220"/>
        <v/>
      </c>
      <c r="AU543" s="25" t="str">
        <f t="shared" si="224"/>
        <v/>
      </c>
      <c r="BA543">
        <f>'REGISTER SK'!F546</f>
        <v>0</v>
      </c>
    </row>
    <row r="544" spans="1:53" x14ac:dyDescent="0.35">
      <c r="A544" s="18">
        <v>543</v>
      </c>
      <c r="B544" s="18"/>
      <c r="C544" s="18" t="str">
        <f>IF(G544="","",IF(G544="Umum",G544,VLOOKUP(F544,'Data Induk Pegawai'!B:AE,4,FALSE)))</f>
        <v/>
      </c>
      <c r="D544" s="19" t="str">
        <f>IF('REGISTER SK'!A547="","",IF('REGISTER SK'!B547=0,D543,'REGISTER SK'!B547))</f>
        <v/>
      </c>
      <c r="E544" s="19" t="str">
        <f t="shared" si="221"/>
        <v/>
      </c>
      <c r="F544" s="29"/>
      <c r="G544" s="29"/>
      <c r="H544" s="31" t="str">
        <f>IF(F544="","",VLOOKUP(F544,'Data Induk Pegawai'!B:U,2,FALSE))</f>
        <v/>
      </c>
      <c r="I544" s="19" t="str">
        <f>IF('REGISTER SK'!C547="","",'REGISTER SK'!C547)</f>
        <v/>
      </c>
      <c r="J544" s="125"/>
      <c r="K544" s="125"/>
      <c r="L544" s="26" t="str">
        <f>IF('REGISTER SK'!D547="","",'REGISTER SK'!D547)</f>
        <v/>
      </c>
      <c r="M544" s="26" t="str">
        <f>IF('REGISTER SK'!E547="","",'REGISTER SK'!E547)</f>
        <v/>
      </c>
      <c r="N544" s="31" t="str">
        <f>IF(G544="","",IF(OR(G544="GTT",G544="PTT"),"--",VLOOKUP(F544,'Data Induk Pegawai'!B:AE,4,FALSE)))</f>
        <v/>
      </c>
      <c r="O544" s="18" t="str">
        <f>IF(G544="","",VLOOKUP(F544,'Data Induk Pegawai'!B:AE,6,FALSE))</f>
        <v/>
      </c>
      <c r="P544" s="31" t="str">
        <f>IF(G544="","",VLOOKUP(F544,'Data Induk Pegawai'!B:AE,7,FALSE))</f>
        <v/>
      </c>
      <c r="Q544" s="30"/>
      <c r="R544" s="26" t="str">
        <f>IF(G544="","","Nomor "&amp;RIGHT(VLOOKUP(F544,'Data Induk Pegawai'!B:AE,12,FALSE),2)&amp;" Tahun "&amp;MID(VLOOKUP(F544,'Data Induk Pegawai'!B:AE,12,FALSE),5,4))</f>
        <v/>
      </c>
      <c r="S544" s="26" t="str">
        <f>IF(G544="","",VLOOKUP(F544,'Data Induk Pegawai'!B:AE,11,FALSE))</f>
        <v/>
      </c>
      <c r="T544" s="56"/>
      <c r="U544" s="18" t="str">
        <f t="shared" si="203"/>
        <v/>
      </c>
      <c r="V544" s="30"/>
      <c r="W544" s="18" t="str">
        <f t="shared" si="225"/>
        <v/>
      </c>
      <c r="Y544" t="str">
        <f t="shared" si="204"/>
        <v/>
      </c>
      <c r="Z544" t="str">
        <f t="shared" si="205"/>
        <v/>
      </c>
      <c r="AA544" t="str">
        <f t="shared" si="206"/>
        <v/>
      </c>
      <c r="AB544" t="str">
        <f>COUNTIFS(AC544:AC$596,AC544)&amp;AC544</f>
        <v>53</v>
      </c>
      <c r="AC544" t="str">
        <f t="shared" si="222"/>
        <v/>
      </c>
      <c r="AD544" t="str">
        <f>COUNTIFS(AC$2:AC544,AC544)&amp;AC544</f>
        <v>543</v>
      </c>
      <c r="AE544" t="str">
        <f t="shared" si="207"/>
        <v/>
      </c>
      <c r="AF544" t="str">
        <f t="shared" si="223"/>
        <v>..</v>
      </c>
      <c r="AG544" s="28" t="str">
        <f t="shared" si="226"/>
        <v/>
      </c>
      <c r="AH544" s="28" t="str">
        <f t="shared" si="208"/>
        <v/>
      </c>
      <c r="AI544" t="str">
        <f t="shared" si="209"/>
        <v/>
      </c>
      <c r="AJ544" t="str">
        <f t="shared" si="210"/>
        <v/>
      </c>
      <c r="AK544" t="str">
        <f t="shared" si="211"/>
        <v/>
      </c>
      <c r="AL544" t="str">
        <f t="shared" si="212"/>
        <v/>
      </c>
      <c r="AM544" t="str">
        <f t="shared" si="213"/>
        <v/>
      </c>
      <c r="AN544" t="str">
        <f t="shared" si="214"/>
        <v/>
      </c>
      <c r="AO544" t="str">
        <f t="shared" si="215"/>
        <v/>
      </c>
      <c r="AP544" t="str">
        <f t="shared" si="216"/>
        <v/>
      </c>
      <c r="AQ544" t="str">
        <f t="shared" si="217"/>
        <v/>
      </c>
      <c r="AR544" t="str">
        <f t="shared" si="218"/>
        <v/>
      </c>
      <c r="AS544" t="str">
        <f t="shared" si="219"/>
        <v/>
      </c>
      <c r="AT544" t="str">
        <f t="shared" si="220"/>
        <v/>
      </c>
      <c r="AU544" s="25" t="str">
        <f t="shared" si="224"/>
        <v/>
      </c>
      <c r="BA544">
        <f>'REGISTER SK'!F547</f>
        <v>0</v>
      </c>
    </row>
    <row r="545" spans="1:53" x14ac:dyDescent="0.35">
      <c r="A545" s="18">
        <v>544</v>
      </c>
      <c r="B545" s="18"/>
      <c r="C545" s="18" t="str">
        <f>IF(G545="","",IF(G545="Umum",G545,VLOOKUP(F545,'Data Induk Pegawai'!B:AE,4,FALSE)))</f>
        <v/>
      </c>
      <c r="D545" s="19" t="str">
        <f>IF('REGISTER SK'!A548="","",IF('REGISTER SK'!B548=0,D544,'REGISTER SK'!B548))</f>
        <v/>
      </c>
      <c r="E545" s="19" t="str">
        <f t="shared" si="221"/>
        <v/>
      </c>
      <c r="F545" s="29"/>
      <c r="G545" s="29"/>
      <c r="H545" s="31" t="str">
        <f>IF(F545="","",VLOOKUP(F545,'Data Induk Pegawai'!B:U,2,FALSE))</f>
        <v/>
      </c>
      <c r="I545" s="19" t="str">
        <f>IF('REGISTER SK'!C548="","",'REGISTER SK'!C548)</f>
        <v/>
      </c>
      <c r="J545" s="125"/>
      <c r="K545" s="125"/>
      <c r="L545" s="26" t="str">
        <f>IF('REGISTER SK'!D548="","",'REGISTER SK'!D548)</f>
        <v/>
      </c>
      <c r="M545" s="26" t="str">
        <f>IF('REGISTER SK'!E548="","",'REGISTER SK'!E548)</f>
        <v/>
      </c>
      <c r="N545" s="31" t="str">
        <f>IF(G545="","",IF(OR(G545="GTT",G545="PTT"),"--",VLOOKUP(F545,'Data Induk Pegawai'!B:AE,4,FALSE)))</f>
        <v/>
      </c>
      <c r="O545" s="18" t="str">
        <f>IF(G545="","",VLOOKUP(F545,'Data Induk Pegawai'!B:AE,6,FALSE))</f>
        <v/>
      </c>
      <c r="P545" s="31" t="str">
        <f>IF(G545="","",VLOOKUP(F545,'Data Induk Pegawai'!B:AE,7,FALSE))</f>
        <v/>
      </c>
      <c r="Q545" s="30"/>
      <c r="R545" s="26" t="str">
        <f>IF(G545="","","Nomor "&amp;RIGHT(VLOOKUP(F545,'Data Induk Pegawai'!B:AE,12,FALSE),2)&amp;" Tahun "&amp;MID(VLOOKUP(F545,'Data Induk Pegawai'!B:AE,12,FALSE),5,4))</f>
        <v/>
      </c>
      <c r="S545" s="26" t="str">
        <f>IF(G545="","",VLOOKUP(F545,'Data Induk Pegawai'!B:AE,11,FALSE))</f>
        <v/>
      </c>
      <c r="T545" s="56"/>
      <c r="U545" s="18" t="str">
        <f t="shared" si="203"/>
        <v/>
      </c>
      <c r="V545" s="30"/>
      <c r="W545" s="18" t="str">
        <f t="shared" si="225"/>
        <v/>
      </c>
      <c r="Y545" t="str">
        <f t="shared" si="204"/>
        <v/>
      </c>
      <c r="Z545" t="str">
        <f t="shared" si="205"/>
        <v/>
      </c>
      <c r="AA545" t="str">
        <f t="shared" si="206"/>
        <v/>
      </c>
      <c r="AB545" t="str">
        <f>COUNTIFS(AC545:AC$596,AC545)&amp;AC545</f>
        <v>52</v>
      </c>
      <c r="AC545" t="str">
        <f t="shared" si="222"/>
        <v/>
      </c>
      <c r="AD545" t="str">
        <f>COUNTIFS(AC$2:AC545,AC545)&amp;AC545</f>
        <v>544</v>
      </c>
      <c r="AE545" t="str">
        <f t="shared" si="207"/>
        <v/>
      </c>
      <c r="AF545" t="str">
        <f t="shared" si="223"/>
        <v>..</v>
      </c>
      <c r="AG545" s="28" t="str">
        <f t="shared" si="226"/>
        <v/>
      </c>
      <c r="AH545" s="28" t="str">
        <f t="shared" si="208"/>
        <v/>
      </c>
      <c r="AI545" t="str">
        <f t="shared" si="209"/>
        <v/>
      </c>
      <c r="AJ545" t="str">
        <f t="shared" si="210"/>
        <v/>
      </c>
      <c r="AK545" t="str">
        <f t="shared" si="211"/>
        <v/>
      </c>
      <c r="AL545" t="str">
        <f t="shared" si="212"/>
        <v/>
      </c>
      <c r="AM545" t="str">
        <f t="shared" si="213"/>
        <v/>
      </c>
      <c r="AN545" t="str">
        <f t="shared" si="214"/>
        <v/>
      </c>
      <c r="AO545" t="str">
        <f t="shared" si="215"/>
        <v/>
      </c>
      <c r="AP545" t="str">
        <f t="shared" si="216"/>
        <v/>
      </c>
      <c r="AQ545" t="str">
        <f t="shared" si="217"/>
        <v/>
      </c>
      <c r="AR545" t="str">
        <f t="shared" si="218"/>
        <v/>
      </c>
      <c r="AS545" t="str">
        <f t="shared" si="219"/>
        <v/>
      </c>
      <c r="AT545" t="str">
        <f t="shared" si="220"/>
        <v/>
      </c>
      <c r="AU545" s="25" t="str">
        <f t="shared" si="224"/>
        <v/>
      </c>
      <c r="BA545">
        <f>'REGISTER SK'!F548</f>
        <v>0</v>
      </c>
    </row>
    <row r="546" spans="1:53" x14ac:dyDescent="0.35">
      <c r="A546" s="18">
        <v>545</v>
      </c>
      <c r="B546" s="18"/>
      <c r="C546" s="18" t="str">
        <f>IF(G546="","",IF(G546="Umum",G546,VLOOKUP(F546,'Data Induk Pegawai'!B:AE,4,FALSE)))</f>
        <v/>
      </c>
      <c r="D546" s="19" t="str">
        <f>IF('REGISTER SK'!A549="","",IF('REGISTER SK'!B549=0,D545,'REGISTER SK'!B549))</f>
        <v/>
      </c>
      <c r="E546" s="19" t="str">
        <f t="shared" si="221"/>
        <v/>
      </c>
      <c r="F546" s="29"/>
      <c r="G546" s="29"/>
      <c r="H546" s="31" t="str">
        <f>IF(F546="","",VLOOKUP(F546,'Data Induk Pegawai'!B:U,2,FALSE))</f>
        <v/>
      </c>
      <c r="I546" s="19" t="str">
        <f>IF('REGISTER SK'!C549="","",'REGISTER SK'!C549)</f>
        <v/>
      </c>
      <c r="J546" s="125"/>
      <c r="K546" s="125"/>
      <c r="L546" s="26" t="str">
        <f>IF('REGISTER SK'!D549="","",'REGISTER SK'!D549)</f>
        <v/>
      </c>
      <c r="M546" s="26" t="str">
        <f>IF('REGISTER SK'!E549="","",'REGISTER SK'!E549)</f>
        <v/>
      </c>
      <c r="N546" s="31" t="str">
        <f>IF(G546="","",IF(OR(G546="GTT",G546="PTT"),"--",VLOOKUP(F546,'Data Induk Pegawai'!B:AE,4,FALSE)))</f>
        <v/>
      </c>
      <c r="O546" s="18" t="str">
        <f>IF(G546="","",VLOOKUP(F546,'Data Induk Pegawai'!B:AE,6,FALSE))</f>
        <v/>
      </c>
      <c r="P546" s="31" t="str">
        <f>IF(G546="","",VLOOKUP(F546,'Data Induk Pegawai'!B:AE,7,FALSE))</f>
        <v/>
      </c>
      <c r="Q546" s="30"/>
      <c r="R546" s="26" t="str">
        <f>IF(G546="","","Nomor "&amp;RIGHT(VLOOKUP(F546,'Data Induk Pegawai'!B:AE,12,FALSE),2)&amp;" Tahun "&amp;MID(VLOOKUP(F546,'Data Induk Pegawai'!B:AE,12,FALSE),5,4))</f>
        <v/>
      </c>
      <c r="S546" s="26" t="str">
        <f>IF(G546="","",VLOOKUP(F546,'Data Induk Pegawai'!B:AE,11,FALSE))</f>
        <v/>
      </c>
      <c r="T546" s="56"/>
      <c r="U546" s="18" t="str">
        <f t="shared" si="203"/>
        <v/>
      </c>
      <c r="V546" s="30"/>
      <c r="W546" s="18" t="str">
        <f t="shared" si="225"/>
        <v/>
      </c>
      <c r="Y546" t="str">
        <f t="shared" si="204"/>
        <v/>
      </c>
      <c r="Z546" t="str">
        <f t="shared" si="205"/>
        <v/>
      </c>
      <c r="AA546" t="str">
        <f t="shared" si="206"/>
        <v/>
      </c>
      <c r="AB546" t="str">
        <f>COUNTIFS(AC546:AC$596,AC546)&amp;AC546</f>
        <v>51</v>
      </c>
      <c r="AC546" t="str">
        <f t="shared" si="222"/>
        <v/>
      </c>
      <c r="AD546" t="str">
        <f>COUNTIFS(AC$2:AC546,AC546)&amp;AC546</f>
        <v>545</v>
      </c>
      <c r="AE546" t="str">
        <f t="shared" si="207"/>
        <v/>
      </c>
      <c r="AF546" t="str">
        <f t="shared" si="223"/>
        <v>..</v>
      </c>
      <c r="AG546" s="28" t="str">
        <f t="shared" si="226"/>
        <v/>
      </c>
      <c r="AH546" s="28" t="str">
        <f t="shared" si="208"/>
        <v/>
      </c>
      <c r="AI546" t="str">
        <f t="shared" si="209"/>
        <v/>
      </c>
      <c r="AJ546" t="str">
        <f t="shared" si="210"/>
        <v/>
      </c>
      <c r="AK546" t="str">
        <f t="shared" si="211"/>
        <v/>
      </c>
      <c r="AL546" t="str">
        <f t="shared" si="212"/>
        <v/>
      </c>
      <c r="AM546" t="str">
        <f t="shared" si="213"/>
        <v/>
      </c>
      <c r="AN546" t="str">
        <f t="shared" si="214"/>
        <v/>
      </c>
      <c r="AO546" t="str">
        <f t="shared" si="215"/>
        <v/>
      </c>
      <c r="AP546" t="str">
        <f t="shared" si="216"/>
        <v/>
      </c>
      <c r="AQ546" t="str">
        <f t="shared" si="217"/>
        <v/>
      </c>
      <c r="AR546" t="str">
        <f t="shared" si="218"/>
        <v/>
      </c>
      <c r="AS546" t="str">
        <f t="shared" si="219"/>
        <v/>
      </c>
      <c r="AT546" t="str">
        <f t="shared" si="220"/>
        <v/>
      </c>
      <c r="AU546" s="25" t="str">
        <f t="shared" si="224"/>
        <v/>
      </c>
      <c r="BA546">
        <f>'REGISTER SK'!F549</f>
        <v>0</v>
      </c>
    </row>
    <row r="547" spans="1:53" x14ac:dyDescent="0.35">
      <c r="A547" s="18">
        <v>546</v>
      </c>
      <c r="B547" s="18"/>
      <c r="C547" s="18" t="str">
        <f>IF(G547="","",IF(G547="Umum",G547,VLOOKUP(F547,'Data Induk Pegawai'!B:AE,4,FALSE)))</f>
        <v/>
      </c>
      <c r="D547" s="19" t="str">
        <f>IF('REGISTER SK'!A550="","",IF('REGISTER SK'!B550=0,D546,'REGISTER SK'!B550))</f>
        <v/>
      </c>
      <c r="E547" s="19" t="str">
        <f t="shared" si="221"/>
        <v/>
      </c>
      <c r="F547" s="29"/>
      <c r="G547" s="29"/>
      <c r="H547" s="31" t="str">
        <f>IF(F547="","",VLOOKUP(F547,'Data Induk Pegawai'!B:U,2,FALSE))</f>
        <v/>
      </c>
      <c r="I547" s="19" t="str">
        <f>IF('REGISTER SK'!C550="","",'REGISTER SK'!C550)</f>
        <v/>
      </c>
      <c r="J547" s="125"/>
      <c r="K547" s="125"/>
      <c r="L547" s="26" t="str">
        <f>IF('REGISTER SK'!D550="","",'REGISTER SK'!D550)</f>
        <v/>
      </c>
      <c r="M547" s="26" t="str">
        <f>IF('REGISTER SK'!E550="","",'REGISTER SK'!E550)</f>
        <v/>
      </c>
      <c r="N547" s="31" t="str">
        <f>IF(G547="","",IF(OR(G547="GTT",G547="PTT"),"--",VLOOKUP(F547,'Data Induk Pegawai'!B:AE,4,FALSE)))</f>
        <v/>
      </c>
      <c r="O547" s="18" t="str">
        <f>IF(G547="","",VLOOKUP(F547,'Data Induk Pegawai'!B:AE,6,FALSE))</f>
        <v/>
      </c>
      <c r="P547" s="31" t="str">
        <f>IF(G547="","",VLOOKUP(F547,'Data Induk Pegawai'!B:AE,7,FALSE))</f>
        <v/>
      </c>
      <c r="Q547" s="30"/>
      <c r="R547" s="26" t="str">
        <f>IF(G547="","","Nomor "&amp;RIGHT(VLOOKUP(F547,'Data Induk Pegawai'!B:AE,12,FALSE),2)&amp;" Tahun "&amp;MID(VLOOKUP(F547,'Data Induk Pegawai'!B:AE,12,FALSE),5,4))</f>
        <v/>
      </c>
      <c r="S547" s="26" t="str">
        <f>IF(G547="","",VLOOKUP(F547,'Data Induk Pegawai'!B:AE,11,FALSE))</f>
        <v/>
      </c>
      <c r="T547" s="56"/>
      <c r="U547" s="18" t="str">
        <f t="shared" si="203"/>
        <v/>
      </c>
      <c r="V547" s="30"/>
      <c r="W547" s="18" t="str">
        <f t="shared" si="225"/>
        <v/>
      </c>
      <c r="Y547" t="str">
        <f t="shared" si="204"/>
        <v/>
      </c>
      <c r="Z547" t="str">
        <f t="shared" si="205"/>
        <v/>
      </c>
      <c r="AA547" t="str">
        <f t="shared" si="206"/>
        <v/>
      </c>
      <c r="AB547" t="str">
        <f>COUNTIFS(AC547:AC$596,AC547)&amp;AC547</f>
        <v>50</v>
      </c>
      <c r="AC547" t="str">
        <f t="shared" si="222"/>
        <v/>
      </c>
      <c r="AD547" t="str">
        <f>COUNTIFS(AC$2:AC547,AC547)&amp;AC547</f>
        <v>546</v>
      </c>
      <c r="AE547" t="str">
        <f t="shared" si="207"/>
        <v/>
      </c>
      <c r="AF547" t="str">
        <f t="shared" si="223"/>
        <v>..</v>
      </c>
      <c r="AG547" s="28" t="str">
        <f t="shared" si="226"/>
        <v/>
      </c>
      <c r="AH547" s="28" t="str">
        <f t="shared" si="208"/>
        <v/>
      </c>
      <c r="AI547" t="str">
        <f t="shared" si="209"/>
        <v/>
      </c>
      <c r="AJ547" t="str">
        <f t="shared" si="210"/>
        <v/>
      </c>
      <c r="AK547" t="str">
        <f t="shared" si="211"/>
        <v/>
      </c>
      <c r="AL547" t="str">
        <f t="shared" si="212"/>
        <v/>
      </c>
      <c r="AM547" t="str">
        <f t="shared" si="213"/>
        <v/>
      </c>
      <c r="AN547" t="str">
        <f t="shared" si="214"/>
        <v/>
      </c>
      <c r="AO547" t="str">
        <f t="shared" si="215"/>
        <v/>
      </c>
      <c r="AP547" t="str">
        <f t="shared" si="216"/>
        <v/>
      </c>
      <c r="AQ547" t="str">
        <f t="shared" si="217"/>
        <v/>
      </c>
      <c r="AR547" t="str">
        <f t="shared" si="218"/>
        <v/>
      </c>
      <c r="AS547" t="str">
        <f t="shared" si="219"/>
        <v/>
      </c>
      <c r="AT547" t="str">
        <f t="shared" si="220"/>
        <v/>
      </c>
      <c r="AU547" s="25" t="str">
        <f t="shared" si="224"/>
        <v/>
      </c>
      <c r="BA547">
        <f>'REGISTER SK'!F550</f>
        <v>0</v>
      </c>
    </row>
    <row r="548" spans="1:53" x14ac:dyDescent="0.35">
      <c r="A548" s="18">
        <v>547</v>
      </c>
      <c r="B548" s="18"/>
      <c r="C548" s="18" t="str">
        <f>IF(G548="","",IF(G548="Umum",G548,VLOOKUP(F548,'Data Induk Pegawai'!B:AE,4,FALSE)))</f>
        <v/>
      </c>
      <c r="D548" s="19" t="str">
        <f>IF('REGISTER SK'!A551="","",IF('REGISTER SK'!B551=0,D547,'REGISTER SK'!B551))</f>
        <v/>
      </c>
      <c r="E548" s="19" t="str">
        <f t="shared" si="221"/>
        <v/>
      </c>
      <c r="F548" s="29"/>
      <c r="G548" s="29"/>
      <c r="H548" s="31" t="str">
        <f>IF(F548="","",VLOOKUP(F548,'Data Induk Pegawai'!B:U,2,FALSE))</f>
        <v/>
      </c>
      <c r="I548" s="19" t="str">
        <f>IF('REGISTER SK'!C551="","",'REGISTER SK'!C551)</f>
        <v/>
      </c>
      <c r="J548" s="125"/>
      <c r="K548" s="125"/>
      <c r="L548" s="26" t="str">
        <f>IF('REGISTER SK'!D551="","",'REGISTER SK'!D551)</f>
        <v/>
      </c>
      <c r="M548" s="26" t="str">
        <f>IF('REGISTER SK'!E551="","",'REGISTER SK'!E551)</f>
        <v/>
      </c>
      <c r="N548" s="31" t="str">
        <f>IF(G548="","",IF(OR(G548="GTT",G548="PTT"),"--",VLOOKUP(F548,'Data Induk Pegawai'!B:AE,4,FALSE)))</f>
        <v/>
      </c>
      <c r="O548" s="18" t="str">
        <f>IF(G548="","",VLOOKUP(F548,'Data Induk Pegawai'!B:AE,6,FALSE))</f>
        <v/>
      </c>
      <c r="P548" s="31" t="str">
        <f>IF(G548="","",VLOOKUP(F548,'Data Induk Pegawai'!B:AE,7,FALSE))</f>
        <v/>
      </c>
      <c r="Q548" s="30"/>
      <c r="R548" s="26" t="str">
        <f>IF(G548="","","Nomor "&amp;RIGHT(VLOOKUP(F548,'Data Induk Pegawai'!B:AE,12,FALSE),2)&amp;" Tahun "&amp;MID(VLOOKUP(F548,'Data Induk Pegawai'!B:AE,12,FALSE),5,4))</f>
        <v/>
      </c>
      <c r="S548" s="26" t="str">
        <f>IF(G548="","",VLOOKUP(F548,'Data Induk Pegawai'!B:AE,11,FALSE))</f>
        <v/>
      </c>
      <c r="T548" s="56"/>
      <c r="U548" s="18" t="str">
        <f t="shared" si="203"/>
        <v/>
      </c>
      <c r="V548" s="30"/>
      <c r="W548" s="18" t="str">
        <f t="shared" si="225"/>
        <v/>
      </c>
      <c r="Y548" t="str">
        <f t="shared" si="204"/>
        <v/>
      </c>
      <c r="Z548" t="str">
        <f t="shared" si="205"/>
        <v/>
      </c>
      <c r="AA548" t="str">
        <f t="shared" si="206"/>
        <v/>
      </c>
      <c r="AB548" t="str">
        <f>COUNTIFS(AC548:AC$596,AC548)&amp;AC548</f>
        <v>49</v>
      </c>
      <c r="AC548" t="str">
        <f t="shared" si="222"/>
        <v/>
      </c>
      <c r="AD548" t="str">
        <f>COUNTIFS(AC$2:AC548,AC548)&amp;AC548</f>
        <v>547</v>
      </c>
      <c r="AE548" t="str">
        <f t="shared" si="207"/>
        <v/>
      </c>
      <c r="AF548" t="str">
        <f t="shared" si="223"/>
        <v>..</v>
      </c>
      <c r="AG548" s="28" t="str">
        <f t="shared" si="226"/>
        <v/>
      </c>
      <c r="AH548" s="28" t="str">
        <f t="shared" si="208"/>
        <v/>
      </c>
      <c r="AI548" t="str">
        <f t="shared" si="209"/>
        <v/>
      </c>
      <c r="AJ548" t="str">
        <f t="shared" si="210"/>
        <v/>
      </c>
      <c r="AK548" t="str">
        <f t="shared" si="211"/>
        <v/>
      </c>
      <c r="AL548" t="str">
        <f t="shared" si="212"/>
        <v/>
      </c>
      <c r="AM548" t="str">
        <f t="shared" si="213"/>
        <v/>
      </c>
      <c r="AN548" t="str">
        <f t="shared" si="214"/>
        <v/>
      </c>
      <c r="AO548" t="str">
        <f t="shared" si="215"/>
        <v/>
      </c>
      <c r="AP548" t="str">
        <f t="shared" si="216"/>
        <v/>
      </c>
      <c r="AQ548" t="str">
        <f t="shared" si="217"/>
        <v/>
      </c>
      <c r="AR548" t="str">
        <f t="shared" si="218"/>
        <v/>
      </c>
      <c r="AS548" t="str">
        <f t="shared" si="219"/>
        <v/>
      </c>
      <c r="AT548" t="str">
        <f t="shared" si="220"/>
        <v/>
      </c>
      <c r="AU548" s="25" t="str">
        <f t="shared" si="224"/>
        <v/>
      </c>
      <c r="BA548">
        <f>'REGISTER SK'!F551</f>
        <v>0</v>
      </c>
    </row>
    <row r="549" spans="1:53" x14ac:dyDescent="0.35">
      <c r="A549" s="18">
        <v>548</v>
      </c>
      <c r="B549" s="18"/>
      <c r="C549" s="18" t="str">
        <f>IF(G549="","",IF(G549="Umum",G549,VLOOKUP(F549,'Data Induk Pegawai'!B:AE,4,FALSE)))</f>
        <v/>
      </c>
      <c r="D549" s="19" t="str">
        <f>IF('REGISTER SK'!A552="","",IF('REGISTER SK'!B552=0,D548,'REGISTER SK'!B552))</f>
        <v/>
      </c>
      <c r="E549" s="19" t="str">
        <f t="shared" si="221"/>
        <v/>
      </c>
      <c r="F549" s="29"/>
      <c r="G549" s="29"/>
      <c r="H549" s="31" t="str">
        <f>IF(F549="","",VLOOKUP(F549,'Data Induk Pegawai'!B:U,2,FALSE))</f>
        <v/>
      </c>
      <c r="I549" s="19" t="str">
        <f>IF('REGISTER SK'!C552="","",'REGISTER SK'!C552)</f>
        <v/>
      </c>
      <c r="J549" s="125"/>
      <c r="K549" s="125"/>
      <c r="L549" s="26" t="str">
        <f>IF('REGISTER SK'!D552="","",'REGISTER SK'!D552)</f>
        <v/>
      </c>
      <c r="M549" s="26" t="str">
        <f>IF('REGISTER SK'!E552="","",'REGISTER SK'!E552)</f>
        <v/>
      </c>
      <c r="N549" s="31" t="str">
        <f>IF(G549="","",IF(OR(G549="GTT",G549="PTT"),"--",VLOOKUP(F549,'Data Induk Pegawai'!B:AE,4,FALSE)))</f>
        <v/>
      </c>
      <c r="O549" s="18" t="str">
        <f>IF(G549="","",VLOOKUP(F549,'Data Induk Pegawai'!B:AE,6,FALSE))</f>
        <v/>
      </c>
      <c r="P549" s="31" t="str">
        <f>IF(G549="","",VLOOKUP(F549,'Data Induk Pegawai'!B:AE,7,FALSE))</f>
        <v/>
      </c>
      <c r="Q549" s="30"/>
      <c r="R549" s="26" t="str">
        <f>IF(G549="","","Nomor "&amp;RIGHT(VLOOKUP(F549,'Data Induk Pegawai'!B:AE,12,FALSE),2)&amp;" Tahun "&amp;MID(VLOOKUP(F549,'Data Induk Pegawai'!B:AE,12,FALSE),5,4))</f>
        <v/>
      </c>
      <c r="S549" s="26" t="str">
        <f>IF(G549="","",VLOOKUP(F549,'Data Induk Pegawai'!B:AE,11,FALSE))</f>
        <v/>
      </c>
      <c r="T549" s="56"/>
      <c r="U549" s="18" t="str">
        <f t="shared" si="203"/>
        <v/>
      </c>
      <c r="V549" s="30"/>
      <c r="W549" s="18" t="str">
        <f t="shared" si="225"/>
        <v/>
      </c>
      <c r="Y549" t="str">
        <f t="shared" si="204"/>
        <v/>
      </c>
      <c r="Z549" t="str">
        <f t="shared" si="205"/>
        <v/>
      </c>
      <c r="AA549" t="str">
        <f t="shared" si="206"/>
        <v/>
      </c>
      <c r="AB549" t="str">
        <f>COUNTIFS(AC549:AC$596,AC549)&amp;AC549</f>
        <v>48</v>
      </c>
      <c r="AC549" t="str">
        <f t="shared" si="222"/>
        <v/>
      </c>
      <c r="AD549" t="str">
        <f>COUNTIFS(AC$2:AC549,AC549)&amp;AC549</f>
        <v>548</v>
      </c>
      <c r="AE549" t="str">
        <f t="shared" si="207"/>
        <v/>
      </c>
      <c r="AF549" t="str">
        <f t="shared" si="223"/>
        <v>..</v>
      </c>
      <c r="AG549" s="28" t="str">
        <f t="shared" si="226"/>
        <v/>
      </c>
      <c r="AH549" s="28" t="str">
        <f t="shared" si="208"/>
        <v/>
      </c>
      <c r="AI549" t="str">
        <f t="shared" si="209"/>
        <v/>
      </c>
      <c r="AJ549" t="str">
        <f t="shared" si="210"/>
        <v/>
      </c>
      <c r="AK549" t="str">
        <f t="shared" si="211"/>
        <v/>
      </c>
      <c r="AL549" t="str">
        <f t="shared" si="212"/>
        <v/>
      </c>
      <c r="AM549" t="str">
        <f t="shared" si="213"/>
        <v/>
      </c>
      <c r="AN549" t="str">
        <f t="shared" si="214"/>
        <v/>
      </c>
      <c r="AO549" t="str">
        <f t="shared" si="215"/>
        <v/>
      </c>
      <c r="AP549" t="str">
        <f t="shared" si="216"/>
        <v/>
      </c>
      <c r="AQ549" t="str">
        <f t="shared" si="217"/>
        <v/>
      </c>
      <c r="AR549" t="str">
        <f t="shared" si="218"/>
        <v/>
      </c>
      <c r="AS549" t="str">
        <f t="shared" si="219"/>
        <v/>
      </c>
      <c r="AT549" t="str">
        <f t="shared" si="220"/>
        <v/>
      </c>
      <c r="AU549" s="25" t="str">
        <f t="shared" si="224"/>
        <v/>
      </c>
      <c r="BA549">
        <f>'REGISTER SK'!F552</f>
        <v>0</v>
      </c>
    </row>
    <row r="550" spans="1:53" x14ac:dyDescent="0.35">
      <c r="A550" s="18">
        <v>549</v>
      </c>
      <c r="B550" s="18"/>
      <c r="C550" s="18" t="str">
        <f>IF(G550="","",IF(G550="Umum",G550,VLOOKUP(F550,'Data Induk Pegawai'!B:AE,4,FALSE)))</f>
        <v/>
      </c>
      <c r="D550" s="19" t="str">
        <f>IF('REGISTER SK'!A553="","",IF('REGISTER SK'!B553=0,D549,'REGISTER SK'!B553))</f>
        <v/>
      </c>
      <c r="E550" s="19" t="str">
        <f t="shared" si="221"/>
        <v/>
      </c>
      <c r="F550" s="29"/>
      <c r="G550" s="29"/>
      <c r="H550" s="31" t="str">
        <f>IF(F550="","",VLOOKUP(F550,'Data Induk Pegawai'!B:U,2,FALSE))</f>
        <v/>
      </c>
      <c r="I550" s="19" t="str">
        <f>IF('REGISTER SK'!C553="","",'REGISTER SK'!C553)</f>
        <v/>
      </c>
      <c r="J550" s="125"/>
      <c r="K550" s="125"/>
      <c r="L550" s="26" t="str">
        <f>IF('REGISTER SK'!D553="","",'REGISTER SK'!D553)</f>
        <v/>
      </c>
      <c r="M550" s="26" t="str">
        <f>IF('REGISTER SK'!E553="","",'REGISTER SK'!E553)</f>
        <v/>
      </c>
      <c r="N550" s="31" t="str">
        <f>IF(G550="","",IF(OR(G550="GTT",G550="PTT"),"--",VLOOKUP(F550,'Data Induk Pegawai'!B:AE,4,FALSE)))</f>
        <v/>
      </c>
      <c r="O550" s="18" t="str">
        <f>IF(G550="","",VLOOKUP(F550,'Data Induk Pegawai'!B:AE,6,FALSE))</f>
        <v/>
      </c>
      <c r="P550" s="31" t="str">
        <f>IF(G550="","",VLOOKUP(F550,'Data Induk Pegawai'!B:AE,7,FALSE))</f>
        <v/>
      </c>
      <c r="Q550" s="30"/>
      <c r="R550" s="26" t="str">
        <f>IF(G550="","","Nomor "&amp;RIGHT(VLOOKUP(F550,'Data Induk Pegawai'!B:AE,12,FALSE),2)&amp;" Tahun "&amp;MID(VLOOKUP(F550,'Data Induk Pegawai'!B:AE,12,FALSE),5,4))</f>
        <v/>
      </c>
      <c r="S550" s="26" t="str">
        <f>IF(G550="","",VLOOKUP(F550,'Data Induk Pegawai'!B:AE,11,FALSE))</f>
        <v/>
      </c>
      <c r="T550" s="56"/>
      <c r="U550" s="18" t="str">
        <f t="shared" si="203"/>
        <v/>
      </c>
      <c r="V550" s="30"/>
      <c r="W550" s="18" t="str">
        <f t="shared" si="225"/>
        <v/>
      </c>
      <c r="Y550" t="str">
        <f t="shared" si="204"/>
        <v/>
      </c>
      <c r="Z550" t="str">
        <f t="shared" si="205"/>
        <v/>
      </c>
      <c r="AA550" t="str">
        <f t="shared" si="206"/>
        <v/>
      </c>
      <c r="AB550" t="str">
        <f>COUNTIFS(AC550:AC$596,AC550)&amp;AC550</f>
        <v>47</v>
      </c>
      <c r="AC550" t="str">
        <f t="shared" si="222"/>
        <v/>
      </c>
      <c r="AD550" t="str">
        <f>COUNTIFS(AC$2:AC550,AC550)&amp;AC550</f>
        <v>549</v>
      </c>
      <c r="AE550" t="str">
        <f t="shared" si="207"/>
        <v/>
      </c>
      <c r="AF550" t="str">
        <f t="shared" si="223"/>
        <v>..</v>
      </c>
      <c r="AG550" s="28" t="str">
        <f t="shared" si="226"/>
        <v/>
      </c>
      <c r="AH550" s="28" t="str">
        <f t="shared" si="208"/>
        <v/>
      </c>
      <c r="AI550" t="str">
        <f t="shared" si="209"/>
        <v/>
      </c>
      <c r="AJ550" t="str">
        <f t="shared" si="210"/>
        <v/>
      </c>
      <c r="AK550" t="str">
        <f t="shared" si="211"/>
        <v/>
      </c>
      <c r="AL550" t="str">
        <f t="shared" si="212"/>
        <v/>
      </c>
      <c r="AM550" t="str">
        <f t="shared" si="213"/>
        <v/>
      </c>
      <c r="AN550" t="str">
        <f t="shared" si="214"/>
        <v/>
      </c>
      <c r="AO550" t="str">
        <f t="shared" si="215"/>
        <v/>
      </c>
      <c r="AP550" t="str">
        <f t="shared" si="216"/>
        <v/>
      </c>
      <c r="AQ550" t="str">
        <f t="shared" si="217"/>
        <v/>
      </c>
      <c r="AR550" t="str">
        <f t="shared" si="218"/>
        <v/>
      </c>
      <c r="AS550" t="str">
        <f t="shared" si="219"/>
        <v/>
      </c>
      <c r="AT550" t="str">
        <f t="shared" si="220"/>
        <v/>
      </c>
      <c r="AU550" s="25" t="str">
        <f t="shared" si="224"/>
        <v/>
      </c>
      <c r="BA550">
        <f>'REGISTER SK'!F553</f>
        <v>0</v>
      </c>
    </row>
    <row r="551" spans="1:53" x14ac:dyDescent="0.35">
      <c r="A551" s="18">
        <v>550</v>
      </c>
      <c r="B551" s="18"/>
      <c r="C551" s="18" t="str">
        <f>IF(G551="","",IF(G551="Umum",G551,VLOOKUP(F551,'Data Induk Pegawai'!B:AE,4,FALSE)))</f>
        <v/>
      </c>
      <c r="D551" s="19" t="str">
        <f>IF('REGISTER SK'!A554="","",IF('REGISTER SK'!B554=0,D550,'REGISTER SK'!B554))</f>
        <v/>
      </c>
      <c r="E551" s="19" t="str">
        <f t="shared" si="221"/>
        <v/>
      </c>
      <c r="F551" s="29"/>
      <c r="G551" s="29"/>
      <c r="H551" s="31" t="str">
        <f>IF(F551="","",VLOOKUP(F551,'Data Induk Pegawai'!B:U,2,FALSE))</f>
        <v/>
      </c>
      <c r="I551" s="19" t="str">
        <f>IF('REGISTER SK'!C554="","",'REGISTER SK'!C554)</f>
        <v/>
      </c>
      <c r="J551" s="125"/>
      <c r="K551" s="125"/>
      <c r="L551" s="26" t="str">
        <f>IF('REGISTER SK'!D554="","",'REGISTER SK'!D554)</f>
        <v/>
      </c>
      <c r="M551" s="26" t="str">
        <f>IF('REGISTER SK'!E554="","",'REGISTER SK'!E554)</f>
        <v/>
      </c>
      <c r="N551" s="31" t="str">
        <f>IF(G551="","",IF(OR(G551="GTT",G551="PTT"),"--",VLOOKUP(F551,'Data Induk Pegawai'!B:AE,4,FALSE)))</f>
        <v/>
      </c>
      <c r="O551" s="18" t="str">
        <f>IF(G551="","",VLOOKUP(F551,'Data Induk Pegawai'!B:AE,6,FALSE))</f>
        <v/>
      </c>
      <c r="P551" s="31" t="str">
        <f>IF(G551="","",VLOOKUP(F551,'Data Induk Pegawai'!B:AE,7,FALSE))</f>
        <v/>
      </c>
      <c r="Q551" s="30"/>
      <c r="R551" s="26" t="str">
        <f>IF(G551="","","Nomor "&amp;RIGHT(VLOOKUP(F551,'Data Induk Pegawai'!B:AE,12,FALSE),2)&amp;" Tahun "&amp;MID(VLOOKUP(F551,'Data Induk Pegawai'!B:AE,12,FALSE),5,4))</f>
        <v/>
      </c>
      <c r="S551" s="26" t="str">
        <f>IF(G551="","",VLOOKUP(F551,'Data Induk Pegawai'!B:AE,11,FALSE))</f>
        <v/>
      </c>
      <c r="T551" s="56"/>
      <c r="U551" s="18" t="str">
        <f t="shared" si="203"/>
        <v/>
      </c>
      <c r="V551" s="30"/>
      <c r="W551" s="18" t="str">
        <f t="shared" si="225"/>
        <v/>
      </c>
      <c r="Y551" t="str">
        <f t="shared" si="204"/>
        <v/>
      </c>
      <c r="Z551" t="str">
        <f t="shared" si="205"/>
        <v/>
      </c>
      <c r="AA551" t="str">
        <f t="shared" si="206"/>
        <v/>
      </c>
      <c r="AB551" t="str">
        <f>COUNTIFS(AC551:AC$596,AC551)&amp;AC551</f>
        <v>46</v>
      </c>
      <c r="AC551" t="str">
        <f t="shared" si="222"/>
        <v/>
      </c>
      <c r="AD551" t="str">
        <f>COUNTIFS(AC$2:AC551,AC551)&amp;AC551</f>
        <v>550</v>
      </c>
      <c r="AE551" t="str">
        <f t="shared" si="207"/>
        <v/>
      </c>
      <c r="AF551" t="str">
        <f t="shared" si="223"/>
        <v>..</v>
      </c>
      <c r="AG551" s="28" t="str">
        <f t="shared" si="226"/>
        <v/>
      </c>
      <c r="AH551" s="28" t="str">
        <f t="shared" si="208"/>
        <v/>
      </c>
      <c r="AI551" t="str">
        <f t="shared" si="209"/>
        <v/>
      </c>
      <c r="AJ551" t="str">
        <f t="shared" si="210"/>
        <v/>
      </c>
      <c r="AK551" t="str">
        <f t="shared" si="211"/>
        <v/>
      </c>
      <c r="AL551" t="str">
        <f t="shared" si="212"/>
        <v/>
      </c>
      <c r="AM551" t="str">
        <f t="shared" si="213"/>
        <v/>
      </c>
      <c r="AN551" t="str">
        <f t="shared" si="214"/>
        <v/>
      </c>
      <c r="AO551" t="str">
        <f t="shared" si="215"/>
        <v/>
      </c>
      <c r="AP551" t="str">
        <f t="shared" si="216"/>
        <v/>
      </c>
      <c r="AQ551" t="str">
        <f t="shared" si="217"/>
        <v/>
      </c>
      <c r="AR551" t="str">
        <f t="shared" si="218"/>
        <v/>
      </c>
      <c r="AS551" t="str">
        <f t="shared" si="219"/>
        <v/>
      </c>
      <c r="AT551" t="str">
        <f t="shared" si="220"/>
        <v/>
      </c>
      <c r="AU551" s="25" t="str">
        <f t="shared" si="224"/>
        <v/>
      </c>
      <c r="BA551">
        <f>'REGISTER SK'!F554</f>
        <v>0</v>
      </c>
    </row>
    <row r="552" spans="1:53" x14ac:dyDescent="0.35">
      <c r="A552" s="18">
        <v>551</v>
      </c>
      <c r="B552" s="18"/>
      <c r="C552" s="18" t="str">
        <f>IF(G552="","",IF(G552="Umum",G552,VLOOKUP(F552,'Data Induk Pegawai'!B:AE,4,FALSE)))</f>
        <v/>
      </c>
      <c r="D552" s="19" t="str">
        <f>IF('REGISTER SK'!A555="","",IF('REGISTER SK'!B555=0,D551,'REGISTER SK'!B555))</f>
        <v/>
      </c>
      <c r="E552" s="19" t="str">
        <f t="shared" si="221"/>
        <v/>
      </c>
      <c r="F552" s="29"/>
      <c r="G552" s="29"/>
      <c r="H552" s="31" t="str">
        <f>IF(F552="","",VLOOKUP(F552,'Data Induk Pegawai'!B:U,2,FALSE))</f>
        <v/>
      </c>
      <c r="I552" s="19" t="str">
        <f>IF('REGISTER SK'!C555="","",'REGISTER SK'!C555)</f>
        <v/>
      </c>
      <c r="J552" s="125"/>
      <c r="K552" s="125"/>
      <c r="L552" s="26" t="str">
        <f>IF('REGISTER SK'!D555="","",'REGISTER SK'!D555)</f>
        <v/>
      </c>
      <c r="M552" s="26" t="str">
        <f>IF('REGISTER SK'!E555="","",'REGISTER SK'!E555)</f>
        <v/>
      </c>
      <c r="N552" s="31" t="str">
        <f>IF(G552="","",IF(OR(G552="GTT",G552="PTT"),"--",VLOOKUP(F552,'Data Induk Pegawai'!B:AE,4,FALSE)))</f>
        <v/>
      </c>
      <c r="O552" s="18" t="str">
        <f>IF(G552="","",VLOOKUP(F552,'Data Induk Pegawai'!B:AE,6,FALSE))</f>
        <v/>
      </c>
      <c r="P552" s="31" t="str">
        <f>IF(G552="","",VLOOKUP(F552,'Data Induk Pegawai'!B:AE,7,FALSE))</f>
        <v/>
      </c>
      <c r="Q552" s="30"/>
      <c r="R552" s="26" t="str">
        <f>IF(G552="","","Nomor "&amp;RIGHT(VLOOKUP(F552,'Data Induk Pegawai'!B:AE,12,FALSE),2)&amp;" Tahun "&amp;MID(VLOOKUP(F552,'Data Induk Pegawai'!B:AE,12,FALSE),5,4))</f>
        <v/>
      </c>
      <c r="S552" s="26" t="str">
        <f>IF(G552="","",VLOOKUP(F552,'Data Induk Pegawai'!B:AE,11,FALSE))</f>
        <v/>
      </c>
      <c r="T552" s="56"/>
      <c r="U552" s="18" t="str">
        <f t="shared" si="203"/>
        <v/>
      </c>
      <c r="V552" s="30"/>
      <c r="W552" s="18" t="str">
        <f t="shared" si="225"/>
        <v/>
      </c>
      <c r="Y552" t="str">
        <f t="shared" si="204"/>
        <v/>
      </c>
      <c r="Z552" t="str">
        <f t="shared" si="205"/>
        <v/>
      </c>
      <c r="AA552" t="str">
        <f t="shared" si="206"/>
        <v/>
      </c>
      <c r="AB552" t="str">
        <f>COUNTIFS(AC552:AC$596,AC552)&amp;AC552</f>
        <v>45</v>
      </c>
      <c r="AC552" t="str">
        <f t="shared" si="222"/>
        <v/>
      </c>
      <c r="AD552" t="str">
        <f>COUNTIFS(AC$2:AC552,AC552)&amp;AC552</f>
        <v>551</v>
      </c>
      <c r="AE552" t="str">
        <f t="shared" si="207"/>
        <v/>
      </c>
      <c r="AF552" t="str">
        <f t="shared" si="223"/>
        <v>..</v>
      </c>
      <c r="AG552" s="28" t="str">
        <f t="shared" si="226"/>
        <v/>
      </c>
      <c r="AH552" s="28" t="str">
        <f t="shared" si="208"/>
        <v/>
      </c>
      <c r="AI552" t="str">
        <f t="shared" si="209"/>
        <v/>
      </c>
      <c r="AJ552" t="str">
        <f t="shared" si="210"/>
        <v/>
      </c>
      <c r="AK552" t="str">
        <f t="shared" si="211"/>
        <v/>
      </c>
      <c r="AL552" t="str">
        <f t="shared" si="212"/>
        <v/>
      </c>
      <c r="AM552" t="str">
        <f t="shared" si="213"/>
        <v/>
      </c>
      <c r="AN552" t="str">
        <f t="shared" si="214"/>
        <v/>
      </c>
      <c r="AO552" t="str">
        <f t="shared" si="215"/>
        <v/>
      </c>
      <c r="AP552" t="str">
        <f t="shared" si="216"/>
        <v/>
      </c>
      <c r="AQ552" t="str">
        <f t="shared" si="217"/>
        <v/>
      </c>
      <c r="AR552" t="str">
        <f t="shared" si="218"/>
        <v/>
      </c>
      <c r="AS552" t="str">
        <f t="shared" si="219"/>
        <v/>
      </c>
      <c r="AT552" t="str">
        <f t="shared" si="220"/>
        <v/>
      </c>
      <c r="AU552" s="25" t="str">
        <f t="shared" si="224"/>
        <v/>
      </c>
      <c r="BA552">
        <f>'REGISTER SK'!F555</f>
        <v>0</v>
      </c>
    </row>
    <row r="553" spans="1:53" x14ac:dyDescent="0.35">
      <c r="A553" s="18">
        <v>552</v>
      </c>
      <c r="B553" s="18"/>
      <c r="C553" s="18" t="str">
        <f>IF(G553="","",IF(G553="Umum",G553,VLOOKUP(F553,'Data Induk Pegawai'!B:AE,4,FALSE)))</f>
        <v/>
      </c>
      <c r="D553" s="19" t="str">
        <f>IF('REGISTER SK'!A556="","",IF('REGISTER SK'!B556=0,D552,'REGISTER SK'!B556))</f>
        <v/>
      </c>
      <c r="E553" s="19" t="str">
        <f t="shared" si="221"/>
        <v/>
      </c>
      <c r="F553" s="29"/>
      <c r="G553" s="29"/>
      <c r="H553" s="31" t="str">
        <f>IF(F553="","",VLOOKUP(F553,'Data Induk Pegawai'!B:U,2,FALSE))</f>
        <v/>
      </c>
      <c r="I553" s="19" t="str">
        <f>IF('REGISTER SK'!C556="","",'REGISTER SK'!C556)</f>
        <v/>
      </c>
      <c r="J553" s="125"/>
      <c r="K553" s="125"/>
      <c r="L553" s="26" t="str">
        <f>IF('REGISTER SK'!D556="","",'REGISTER SK'!D556)</f>
        <v/>
      </c>
      <c r="M553" s="26" t="str">
        <f>IF('REGISTER SK'!E556="","",'REGISTER SK'!E556)</f>
        <v/>
      </c>
      <c r="N553" s="31" t="str">
        <f>IF(G553="","",IF(OR(G553="GTT",G553="PTT"),"--",VLOOKUP(F553,'Data Induk Pegawai'!B:AE,4,FALSE)))</f>
        <v/>
      </c>
      <c r="O553" s="18" t="str">
        <f>IF(G553="","",VLOOKUP(F553,'Data Induk Pegawai'!B:AE,6,FALSE))</f>
        <v/>
      </c>
      <c r="P553" s="31" t="str">
        <f>IF(G553="","",VLOOKUP(F553,'Data Induk Pegawai'!B:AE,7,FALSE))</f>
        <v/>
      </c>
      <c r="Q553" s="30"/>
      <c r="R553" s="26" t="str">
        <f>IF(G553="","","Nomor "&amp;RIGHT(VLOOKUP(F553,'Data Induk Pegawai'!B:AE,12,FALSE),2)&amp;" Tahun "&amp;MID(VLOOKUP(F553,'Data Induk Pegawai'!B:AE,12,FALSE),5,4))</f>
        <v/>
      </c>
      <c r="S553" s="26" t="str">
        <f>IF(G553="","",VLOOKUP(F553,'Data Induk Pegawai'!B:AE,11,FALSE))</f>
        <v/>
      </c>
      <c r="T553" s="56"/>
      <c r="U553" s="18" t="str">
        <f t="shared" si="203"/>
        <v/>
      </c>
      <c r="V553" s="30"/>
      <c r="W553" s="18" t="str">
        <f t="shared" si="225"/>
        <v/>
      </c>
      <c r="Y553" t="str">
        <f t="shared" si="204"/>
        <v/>
      </c>
      <c r="Z553" t="str">
        <f t="shared" si="205"/>
        <v/>
      </c>
      <c r="AA553" t="str">
        <f t="shared" si="206"/>
        <v/>
      </c>
      <c r="AB553" t="str">
        <f>COUNTIFS(AC553:AC$596,AC553)&amp;AC553</f>
        <v>44</v>
      </c>
      <c r="AC553" t="str">
        <f t="shared" si="222"/>
        <v/>
      </c>
      <c r="AD553" t="str">
        <f>COUNTIFS(AC$2:AC553,AC553)&amp;AC553</f>
        <v>552</v>
      </c>
      <c r="AE553" t="str">
        <f t="shared" si="207"/>
        <v/>
      </c>
      <c r="AF553" t="str">
        <f t="shared" si="223"/>
        <v>..</v>
      </c>
      <c r="AG553" s="28" t="str">
        <f t="shared" si="226"/>
        <v/>
      </c>
      <c r="AH553" s="28" t="str">
        <f t="shared" si="208"/>
        <v/>
      </c>
      <c r="AI553" t="str">
        <f t="shared" si="209"/>
        <v/>
      </c>
      <c r="AJ553" t="str">
        <f t="shared" si="210"/>
        <v/>
      </c>
      <c r="AK553" t="str">
        <f t="shared" si="211"/>
        <v/>
      </c>
      <c r="AL553" t="str">
        <f t="shared" si="212"/>
        <v/>
      </c>
      <c r="AM553" t="str">
        <f t="shared" si="213"/>
        <v/>
      </c>
      <c r="AN553" t="str">
        <f t="shared" si="214"/>
        <v/>
      </c>
      <c r="AO553" t="str">
        <f t="shared" si="215"/>
        <v/>
      </c>
      <c r="AP553" t="str">
        <f t="shared" si="216"/>
        <v/>
      </c>
      <c r="AQ553" t="str">
        <f t="shared" si="217"/>
        <v/>
      </c>
      <c r="AR553" t="str">
        <f t="shared" si="218"/>
        <v/>
      </c>
      <c r="AS553" t="str">
        <f t="shared" si="219"/>
        <v/>
      </c>
      <c r="AT553" t="str">
        <f t="shared" si="220"/>
        <v/>
      </c>
      <c r="AU553" s="25" t="str">
        <f t="shared" si="224"/>
        <v/>
      </c>
      <c r="BA553">
        <f>'REGISTER SK'!F556</f>
        <v>0</v>
      </c>
    </row>
    <row r="554" spans="1:53" x14ac:dyDescent="0.35">
      <c r="A554" s="18">
        <v>553</v>
      </c>
      <c r="B554" s="18"/>
      <c r="C554" s="18" t="str">
        <f>IF(G554="","",IF(G554="Umum",G554,VLOOKUP(F554,'Data Induk Pegawai'!B:AE,4,FALSE)))</f>
        <v/>
      </c>
      <c r="D554" s="19" t="str">
        <f>IF('REGISTER SK'!A557="","",IF('REGISTER SK'!B557=0,D553,'REGISTER SK'!B557))</f>
        <v/>
      </c>
      <c r="E554" s="19" t="str">
        <f t="shared" si="221"/>
        <v/>
      </c>
      <c r="F554" s="29"/>
      <c r="G554" s="29"/>
      <c r="H554" s="31" t="str">
        <f>IF(F554="","",VLOOKUP(F554,'Data Induk Pegawai'!B:U,2,FALSE))</f>
        <v/>
      </c>
      <c r="I554" s="19" t="str">
        <f>IF('REGISTER SK'!C557="","",'REGISTER SK'!C557)</f>
        <v/>
      </c>
      <c r="J554" s="125"/>
      <c r="K554" s="125"/>
      <c r="L554" s="26" t="str">
        <f>IF('REGISTER SK'!D557="","",'REGISTER SK'!D557)</f>
        <v/>
      </c>
      <c r="M554" s="26" t="str">
        <f>IF('REGISTER SK'!E557="","",'REGISTER SK'!E557)</f>
        <v/>
      </c>
      <c r="N554" s="31" t="str">
        <f>IF(G554="","",IF(OR(G554="GTT",G554="PTT"),"--",VLOOKUP(F554,'Data Induk Pegawai'!B:AE,4,FALSE)))</f>
        <v/>
      </c>
      <c r="O554" s="18" t="str">
        <f>IF(G554="","",VLOOKUP(F554,'Data Induk Pegawai'!B:AE,6,FALSE))</f>
        <v/>
      </c>
      <c r="P554" s="31" t="str">
        <f>IF(G554="","",VLOOKUP(F554,'Data Induk Pegawai'!B:AE,7,FALSE))</f>
        <v/>
      </c>
      <c r="Q554" s="30"/>
      <c r="R554" s="26" t="str">
        <f>IF(G554="","","Nomor "&amp;RIGHT(VLOOKUP(F554,'Data Induk Pegawai'!B:AE,12,FALSE),2)&amp;" Tahun "&amp;MID(VLOOKUP(F554,'Data Induk Pegawai'!B:AE,12,FALSE),5,4))</f>
        <v/>
      </c>
      <c r="S554" s="26" t="str">
        <f>IF(G554="","",VLOOKUP(F554,'Data Induk Pegawai'!B:AE,11,FALSE))</f>
        <v/>
      </c>
      <c r="T554" s="56"/>
      <c r="U554" s="18" t="str">
        <f t="shared" si="203"/>
        <v/>
      </c>
      <c r="V554" s="30"/>
      <c r="W554" s="18" t="str">
        <f t="shared" si="225"/>
        <v/>
      </c>
      <c r="Y554" t="str">
        <f t="shared" si="204"/>
        <v/>
      </c>
      <c r="Z554" t="str">
        <f t="shared" si="205"/>
        <v/>
      </c>
      <c r="AA554" t="str">
        <f t="shared" si="206"/>
        <v/>
      </c>
      <c r="AB554" t="str">
        <f>COUNTIFS(AC554:AC$596,AC554)&amp;AC554</f>
        <v>43</v>
      </c>
      <c r="AC554" t="str">
        <f t="shared" si="222"/>
        <v/>
      </c>
      <c r="AD554" t="str">
        <f>COUNTIFS(AC$2:AC554,AC554)&amp;AC554</f>
        <v>553</v>
      </c>
      <c r="AE554" t="str">
        <f t="shared" si="207"/>
        <v/>
      </c>
      <c r="AF554" t="str">
        <f t="shared" si="223"/>
        <v>..</v>
      </c>
      <c r="AG554" s="28" t="str">
        <f t="shared" si="226"/>
        <v/>
      </c>
      <c r="AH554" s="28" t="str">
        <f t="shared" si="208"/>
        <v/>
      </c>
      <c r="AI554" t="str">
        <f t="shared" si="209"/>
        <v/>
      </c>
      <c r="AJ554" t="str">
        <f t="shared" si="210"/>
        <v/>
      </c>
      <c r="AK554" t="str">
        <f t="shared" si="211"/>
        <v/>
      </c>
      <c r="AL554" t="str">
        <f t="shared" si="212"/>
        <v/>
      </c>
      <c r="AM554" t="str">
        <f t="shared" si="213"/>
        <v/>
      </c>
      <c r="AN554" t="str">
        <f t="shared" si="214"/>
        <v/>
      </c>
      <c r="AO554" t="str">
        <f t="shared" si="215"/>
        <v/>
      </c>
      <c r="AP554" t="str">
        <f t="shared" si="216"/>
        <v/>
      </c>
      <c r="AQ554" t="str">
        <f t="shared" si="217"/>
        <v/>
      </c>
      <c r="AR554" t="str">
        <f t="shared" si="218"/>
        <v/>
      </c>
      <c r="AS554" t="str">
        <f t="shared" si="219"/>
        <v/>
      </c>
      <c r="AT554" t="str">
        <f t="shared" si="220"/>
        <v/>
      </c>
      <c r="AU554" s="25" t="str">
        <f t="shared" si="224"/>
        <v/>
      </c>
      <c r="BA554">
        <f>'REGISTER SK'!F557</f>
        <v>0</v>
      </c>
    </row>
    <row r="555" spans="1:53" x14ac:dyDescent="0.35">
      <c r="A555" s="18">
        <v>554</v>
      </c>
      <c r="B555" s="18"/>
      <c r="C555" s="18" t="str">
        <f>IF(G555="","",IF(G555="Umum",G555,VLOOKUP(F555,'Data Induk Pegawai'!B:AE,4,FALSE)))</f>
        <v/>
      </c>
      <c r="D555" s="19" t="str">
        <f>IF('REGISTER SK'!A558="","",IF('REGISTER SK'!B558=0,D554,'REGISTER SK'!B558))</f>
        <v/>
      </c>
      <c r="E555" s="19" t="str">
        <f t="shared" si="221"/>
        <v/>
      </c>
      <c r="F555" s="29"/>
      <c r="G555" s="29"/>
      <c r="H555" s="31" t="str">
        <f>IF(F555="","",VLOOKUP(F555,'Data Induk Pegawai'!B:U,2,FALSE))</f>
        <v/>
      </c>
      <c r="I555" s="19" t="str">
        <f>IF('REGISTER SK'!C558="","",'REGISTER SK'!C558)</f>
        <v/>
      </c>
      <c r="J555" s="125"/>
      <c r="K555" s="125"/>
      <c r="L555" s="26" t="str">
        <f>IF('REGISTER SK'!D558="","",'REGISTER SK'!D558)</f>
        <v/>
      </c>
      <c r="M555" s="26" t="str">
        <f>IF('REGISTER SK'!E558="","",'REGISTER SK'!E558)</f>
        <v/>
      </c>
      <c r="N555" s="31" t="str">
        <f>IF(G555="","",IF(OR(G555="GTT",G555="PTT"),"--",VLOOKUP(F555,'Data Induk Pegawai'!B:AE,4,FALSE)))</f>
        <v/>
      </c>
      <c r="O555" s="18" t="str">
        <f>IF(G555="","",VLOOKUP(F555,'Data Induk Pegawai'!B:AE,6,FALSE))</f>
        <v/>
      </c>
      <c r="P555" s="31" t="str">
        <f>IF(G555="","",VLOOKUP(F555,'Data Induk Pegawai'!B:AE,7,FALSE))</f>
        <v/>
      </c>
      <c r="Q555" s="30"/>
      <c r="R555" s="26" t="str">
        <f>IF(G555="","","Nomor "&amp;RIGHT(VLOOKUP(F555,'Data Induk Pegawai'!B:AE,12,FALSE),2)&amp;" Tahun "&amp;MID(VLOOKUP(F555,'Data Induk Pegawai'!B:AE,12,FALSE),5,4))</f>
        <v/>
      </c>
      <c r="S555" s="26" t="str">
        <f>IF(G555="","",VLOOKUP(F555,'Data Induk Pegawai'!B:AE,11,FALSE))</f>
        <v/>
      </c>
      <c r="T555" s="56"/>
      <c r="U555" s="18" t="str">
        <f t="shared" si="203"/>
        <v/>
      </c>
      <c r="V555" s="30"/>
      <c r="W555" s="18" t="str">
        <f t="shared" si="225"/>
        <v/>
      </c>
      <c r="Y555" t="str">
        <f t="shared" si="204"/>
        <v/>
      </c>
      <c r="Z555" t="str">
        <f t="shared" si="205"/>
        <v/>
      </c>
      <c r="AA555" t="str">
        <f t="shared" si="206"/>
        <v/>
      </c>
      <c r="AB555" t="str">
        <f>COUNTIFS(AC555:AC$596,AC555)&amp;AC555</f>
        <v>42</v>
      </c>
      <c r="AC555" t="str">
        <f t="shared" si="222"/>
        <v/>
      </c>
      <c r="AD555" t="str">
        <f>COUNTIFS(AC$2:AC555,AC555)&amp;AC555</f>
        <v>554</v>
      </c>
      <c r="AE555" t="str">
        <f t="shared" si="207"/>
        <v/>
      </c>
      <c r="AF555" t="str">
        <f t="shared" si="223"/>
        <v>..</v>
      </c>
      <c r="AG555" s="28" t="str">
        <f t="shared" si="226"/>
        <v/>
      </c>
      <c r="AH555" s="28" t="str">
        <f t="shared" si="208"/>
        <v/>
      </c>
      <c r="AI555" t="str">
        <f t="shared" si="209"/>
        <v/>
      </c>
      <c r="AJ555" t="str">
        <f t="shared" si="210"/>
        <v/>
      </c>
      <c r="AK555" t="str">
        <f t="shared" si="211"/>
        <v/>
      </c>
      <c r="AL555" t="str">
        <f t="shared" si="212"/>
        <v/>
      </c>
      <c r="AM555" t="str">
        <f t="shared" si="213"/>
        <v/>
      </c>
      <c r="AN555" t="str">
        <f t="shared" si="214"/>
        <v/>
      </c>
      <c r="AO555" t="str">
        <f t="shared" si="215"/>
        <v/>
      </c>
      <c r="AP555" t="str">
        <f t="shared" si="216"/>
        <v/>
      </c>
      <c r="AQ555" t="str">
        <f t="shared" si="217"/>
        <v/>
      </c>
      <c r="AR555" t="str">
        <f t="shared" si="218"/>
        <v/>
      </c>
      <c r="AS555" t="str">
        <f t="shared" si="219"/>
        <v/>
      </c>
      <c r="AT555" t="str">
        <f t="shared" si="220"/>
        <v/>
      </c>
      <c r="AU555" s="25" t="str">
        <f t="shared" si="224"/>
        <v/>
      </c>
      <c r="BA555">
        <f>'REGISTER SK'!F558</f>
        <v>0</v>
      </c>
    </row>
    <row r="556" spans="1:53" x14ac:dyDescent="0.35">
      <c r="A556" s="18">
        <v>555</v>
      </c>
      <c r="B556" s="18"/>
      <c r="C556" s="18" t="str">
        <f>IF(G556="","",IF(G556="Umum",G556,VLOOKUP(F556,'Data Induk Pegawai'!B:AE,4,FALSE)))</f>
        <v/>
      </c>
      <c r="D556" s="19" t="str">
        <f>IF('REGISTER SK'!A559="","",IF('REGISTER SK'!B559=0,D555,'REGISTER SK'!B559))</f>
        <v/>
      </c>
      <c r="E556" s="19" t="str">
        <f t="shared" si="221"/>
        <v/>
      </c>
      <c r="F556" s="29"/>
      <c r="G556" s="29"/>
      <c r="H556" s="31" t="str">
        <f>IF(F556="","",VLOOKUP(F556,'Data Induk Pegawai'!B:U,2,FALSE))</f>
        <v/>
      </c>
      <c r="I556" s="19" t="str">
        <f>IF('REGISTER SK'!C559="","",'REGISTER SK'!C559)</f>
        <v/>
      </c>
      <c r="J556" s="125"/>
      <c r="K556" s="125"/>
      <c r="L556" s="26" t="str">
        <f>IF('REGISTER SK'!D559="","",'REGISTER SK'!D559)</f>
        <v/>
      </c>
      <c r="M556" s="26" t="str">
        <f>IF('REGISTER SK'!E559="","",'REGISTER SK'!E559)</f>
        <v/>
      </c>
      <c r="N556" s="31" t="str">
        <f>IF(G556="","",IF(OR(G556="GTT",G556="PTT"),"--",VLOOKUP(F556,'Data Induk Pegawai'!B:AE,4,FALSE)))</f>
        <v/>
      </c>
      <c r="O556" s="18" t="str">
        <f>IF(G556="","",VLOOKUP(F556,'Data Induk Pegawai'!B:AE,6,FALSE))</f>
        <v/>
      </c>
      <c r="P556" s="31" t="str">
        <f>IF(G556="","",VLOOKUP(F556,'Data Induk Pegawai'!B:AE,7,FALSE))</f>
        <v/>
      </c>
      <c r="Q556" s="30"/>
      <c r="R556" s="26" t="str">
        <f>IF(G556="","","Nomor "&amp;RIGHT(VLOOKUP(F556,'Data Induk Pegawai'!B:AE,12,FALSE),2)&amp;" Tahun "&amp;MID(VLOOKUP(F556,'Data Induk Pegawai'!B:AE,12,FALSE),5,4))</f>
        <v/>
      </c>
      <c r="S556" s="26" t="str">
        <f>IF(G556="","",VLOOKUP(F556,'Data Induk Pegawai'!B:AE,11,FALSE))</f>
        <v/>
      </c>
      <c r="T556" s="56"/>
      <c r="U556" s="18" t="str">
        <f t="shared" si="203"/>
        <v/>
      </c>
      <c r="V556" s="30"/>
      <c r="W556" s="18" t="str">
        <f t="shared" si="225"/>
        <v/>
      </c>
      <c r="Y556" t="str">
        <f t="shared" si="204"/>
        <v/>
      </c>
      <c r="Z556" t="str">
        <f t="shared" si="205"/>
        <v/>
      </c>
      <c r="AA556" t="str">
        <f t="shared" si="206"/>
        <v/>
      </c>
      <c r="AB556" t="str">
        <f>COUNTIFS(AC556:AC$596,AC556)&amp;AC556</f>
        <v>41</v>
      </c>
      <c r="AC556" t="str">
        <f t="shared" si="222"/>
        <v/>
      </c>
      <c r="AD556" t="str">
        <f>COUNTIFS(AC$2:AC556,AC556)&amp;AC556</f>
        <v>555</v>
      </c>
      <c r="AE556" t="str">
        <f t="shared" si="207"/>
        <v/>
      </c>
      <c r="AF556" t="str">
        <f t="shared" si="223"/>
        <v>..</v>
      </c>
      <c r="AG556" s="28" t="str">
        <f t="shared" si="226"/>
        <v/>
      </c>
      <c r="AH556" s="28" t="str">
        <f t="shared" si="208"/>
        <v/>
      </c>
      <c r="AI556" t="str">
        <f t="shared" si="209"/>
        <v/>
      </c>
      <c r="AJ556" t="str">
        <f t="shared" si="210"/>
        <v/>
      </c>
      <c r="AK556" t="str">
        <f t="shared" si="211"/>
        <v/>
      </c>
      <c r="AL556" t="str">
        <f t="shared" si="212"/>
        <v/>
      </c>
      <c r="AM556" t="str">
        <f t="shared" si="213"/>
        <v/>
      </c>
      <c r="AN556" t="str">
        <f t="shared" si="214"/>
        <v/>
      </c>
      <c r="AO556" t="str">
        <f t="shared" si="215"/>
        <v/>
      </c>
      <c r="AP556" t="str">
        <f t="shared" si="216"/>
        <v/>
      </c>
      <c r="AQ556" t="str">
        <f t="shared" si="217"/>
        <v/>
      </c>
      <c r="AR556" t="str">
        <f t="shared" si="218"/>
        <v/>
      </c>
      <c r="AS556" t="str">
        <f t="shared" si="219"/>
        <v/>
      </c>
      <c r="AT556" t="str">
        <f t="shared" si="220"/>
        <v/>
      </c>
      <c r="AU556" s="25" t="str">
        <f t="shared" si="224"/>
        <v/>
      </c>
      <c r="BA556">
        <f>'REGISTER SK'!F559</f>
        <v>0</v>
      </c>
    </row>
    <row r="557" spans="1:53" x14ac:dyDescent="0.35">
      <c r="A557" s="18">
        <v>556</v>
      </c>
      <c r="B557" s="18"/>
      <c r="C557" s="18" t="str">
        <f>IF(G557="","",IF(G557="Umum",G557,VLOOKUP(F557,'Data Induk Pegawai'!B:AE,4,FALSE)))</f>
        <v/>
      </c>
      <c r="D557" s="19" t="str">
        <f>IF('REGISTER SK'!A560="","",IF('REGISTER SK'!B560=0,D556,'REGISTER SK'!B560))</f>
        <v/>
      </c>
      <c r="E557" s="19" t="str">
        <f t="shared" si="221"/>
        <v/>
      </c>
      <c r="F557" s="29"/>
      <c r="G557" s="29"/>
      <c r="H557" s="31" t="str">
        <f>IF(F557="","",VLOOKUP(F557,'Data Induk Pegawai'!B:U,2,FALSE))</f>
        <v/>
      </c>
      <c r="I557" s="19" t="str">
        <f>IF('REGISTER SK'!C560="","",'REGISTER SK'!C560)</f>
        <v/>
      </c>
      <c r="J557" s="125"/>
      <c r="K557" s="125"/>
      <c r="L557" s="26" t="str">
        <f>IF('REGISTER SK'!D560="","",'REGISTER SK'!D560)</f>
        <v/>
      </c>
      <c r="M557" s="26" t="str">
        <f>IF('REGISTER SK'!E560="","",'REGISTER SK'!E560)</f>
        <v/>
      </c>
      <c r="N557" s="31" t="str">
        <f>IF(G557="","",IF(OR(G557="GTT",G557="PTT"),"--",VLOOKUP(F557,'Data Induk Pegawai'!B:AE,4,FALSE)))</f>
        <v/>
      </c>
      <c r="O557" s="18" t="str">
        <f>IF(G557="","",VLOOKUP(F557,'Data Induk Pegawai'!B:AE,6,FALSE))</f>
        <v/>
      </c>
      <c r="P557" s="31" t="str">
        <f>IF(G557="","",VLOOKUP(F557,'Data Induk Pegawai'!B:AE,7,FALSE))</f>
        <v/>
      </c>
      <c r="Q557" s="30"/>
      <c r="R557" s="26" t="str">
        <f>IF(G557="","","Nomor "&amp;RIGHT(VLOOKUP(F557,'Data Induk Pegawai'!B:AE,12,FALSE),2)&amp;" Tahun "&amp;MID(VLOOKUP(F557,'Data Induk Pegawai'!B:AE,12,FALSE),5,4))</f>
        <v/>
      </c>
      <c r="S557" s="26" t="str">
        <f>IF(G557="","",VLOOKUP(F557,'Data Induk Pegawai'!B:AE,11,FALSE))</f>
        <v/>
      </c>
      <c r="T557" s="56"/>
      <c r="U557" s="18" t="str">
        <f t="shared" si="203"/>
        <v/>
      </c>
      <c r="V557" s="30"/>
      <c r="W557" s="18" t="str">
        <f t="shared" si="225"/>
        <v/>
      </c>
      <c r="Y557" t="str">
        <f t="shared" si="204"/>
        <v/>
      </c>
      <c r="Z557" t="str">
        <f t="shared" si="205"/>
        <v/>
      </c>
      <c r="AA557" t="str">
        <f t="shared" si="206"/>
        <v/>
      </c>
      <c r="AB557" t="str">
        <f>COUNTIFS(AC557:AC$596,AC557)&amp;AC557</f>
        <v>40</v>
      </c>
      <c r="AC557" t="str">
        <f t="shared" si="222"/>
        <v/>
      </c>
      <c r="AD557" t="str">
        <f>COUNTIFS(AC$2:AC557,AC557)&amp;AC557</f>
        <v>556</v>
      </c>
      <c r="AE557" t="str">
        <f t="shared" si="207"/>
        <v/>
      </c>
      <c r="AF557" t="str">
        <f t="shared" si="223"/>
        <v>..</v>
      </c>
      <c r="AG557" s="28" t="str">
        <f t="shared" si="226"/>
        <v/>
      </c>
      <c r="AH557" s="28" t="str">
        <f t="shared" si="208"/>
        <v/>
      </c>
      <c r="AI557" t="str">
        <f t="shared" si="209"/>
        <v/>
      </c>
      <c r="AJ557" t="str">
        <f t="shared" si="210"/>
        <v/>
      </c>
      <c r="AK557" t="str">
        <f t="shared" si="211"/>
        <v/>
      </c>
      <c r="AL557" t="str">
        <f t="shared" si="212"/>
        <v/>
      </c>
      <c r="AM557" t="str">
        <f t="shared" si="213"/>
        <v/>
      </c>
      <c r="AN557" t="str">
        <f t="shared" si="214"/>
        <v/>
      </c>
      <c r="AO557" t="str">
        <f t="shared" si="215"/>
        <v/>
      </c>
      <c r="AP557" t="str">
        <f t="shared" si="216"/>
        <v/>
      </c>
      <c r="AQ557" t="str">
        <f t="shared" si="217"/>
        <v/>
      </c>
      <c r="AR557" t="str">
        <f t="shared" si="218"/>
        <v/>
      </c>
      <c r="AS557" t="str">
        <f t="shared" si="219"/>
        <v/>
      </c>
      <c r="AT557" t="str">
        <f t="shared" si="220"/>
        <v/>
      </c>
      <c r="AU557" s="25" t="str">
        <f t="shared" si="224"/>
        <v/>
      </c>
      <c r="BA557">
        <f>'REGISTER SK'!F560</f>
        <v>0</v>
      </c>
    </row>
    <row r="558" spans="1:53" x14ac:dyDescent="0.35">
      <c r="A558" s="18">
        <v>557</v>
      </c>
      <c r="B558" s="18"/>
      <c r="C558" s="18" t="str">
        <f>IF(G558="","",IF(G558="Umum",G558,VLOOKUP(F558,'Data Induk Pegawai'!B:AE,4,FALSE)))</f>
        <v/>
      </c>
      <c r="D558" s="19" t="str">
        <f>IF('REGISTER SK'!A561="","",IF('REGISTER SK'!B561=0,D557,'REGISTER SK'!B561))</f>
        <v/>
      </c>
      <c r="E558" s="19" t="str">
        <f t="shared" si="221"/>
        <v/>
      </c>
      <c r="F558" s="29"/>
      <c r="G558" s="29"/>
      <c r="H558" s="31" t="str">
        <f>IF(F558="","",VLOOKUP(F558,'Data Induk Pegawai'!B:U,2,FALSE))</f>
        <v/>
      </c>
      <c r="I558" s="19" t="str">
        <f>IF('REGISTER SK'!C561="","",'REGISTER SK'!C561)</f>
        <v/>
      </c>
      <c r="J558" s="125"/>
      <c r="K558" s="125"/>
      <c r="L558" s="26" t="str">
        <f>IF('REGISTER SK'!D561="","",'REGISTER SK'!D561)</f>
        <v/>
      </c>
      <c r="M558" s="26" t="str">
        <f>IF('REGISTER SK'!E561="","",'REGISTER SK'!E561)</f>
        <v/>
      </c>
      <c r="N558" s="31" t="str">
        <f>IF(G558="","",IF(OR(G558="GTT",G558="PTT"),"--",VLOOKUP(F558,'Data Induk Pegawai'!B:AE,4,FALSE)))</f>
        <v/>
      </c>
      <c r="O558" s="18" t="str">
        <f>IF(G558="","",VLOOKUP(F558,'Data Induk Pegawai'!B:AE,6,FALSE))</f>
        <v/>
      </c>
      <c r="P558" s="31" t="str">
        <f>IF(G558="","",VLOOKUP(F558,'Data Induk Pegawai'!B:AE,7,FALSE))</f>
        <v/>
      </c>
      <c r="Q558" s="30"/>
      <c r="R558" s="26" t="str">
        <f>IF(G558="","","Nomor "&amp;RIGHT(VLOOKUP(F558,'Data Induk Pegawai'!B:AE,12,FALSE),2)&amp;" Tahun "&amp;MID(VLOOKUP(F558,'Data Induk Pegawai'!B:AE,12,FALSE),5,4))</f>
        <v/>
      </c>
      <c r="S558" s="26" t="str">
        <f>IF(G558="","",VLOOKUP(F558,'Data Induk Pegawai'!B:AE,11,FALSE))</f>
        <v/>
      </c>
      <c r="T558" s="56"/>
      <c r="U558" s="18" t="str">
        <f t="shared" si="203"/>
        <v/>
      </c>
      <c r="V558" s="30"/>
      <c r="W558" s="18" t="str">
        <f t="shared" si="225"/>
        <v/>
      </c>
      <c r="Y558" t="str">
        <f t="shared" si="204"/>
        <v/>
      </c>
      <c r="Z558" t="str">
        <f t="shared" si="205"/>
        <v/>
      </c>
      <c r="AA558" t="str">
        <f t="shared" si="206"/>
        <v/>
      </c>
      <c r="AB558" t="str">
        <f>COUNTIFS(AC558:AC$596,AC558)&amp;AC558</f>
        <v>39</v>
      </c>
      <c r="AC558" t="str">
        <f t="shared" si="222"/>
        <v/>
      </c>
      <c r="AD558" t="str">
        <f>COUNTIFS(AC$2:AC558,AC558)&amp;AC558</f>
        <v>557</v>
      </c>
      <c r="AE558" t="str">
        <f t="shared" si="207"/>
        <v/>
      </c>
      <c r="AF558" t="str">
        <f t="shared" si="223"/>
        <v>..</v>
      </c>
      <c r="AG558" s="28" t="str">
        <f t="shared" si="226"/>
        <v/>
      </c>
      <c r="AH558" s="28" t="str">
        <f t="shared" si="208"/>
        <v/>
      </c>
      <c r="AI558" t="str">
        <f t="shared" si="209"/>
        <v/>
      </c>
      <c r="AJ558" t="str">
        <f t="shared" si="210"/>
        <v/>
      </c>
      <c r="AK558" t="str">
        <f t="shared" si="211"/>
        <v/>
      </c>
      <c r="AL558" t="str">
        <f t="shared" si="212"/>
        <v/>
      </c>
      <c r="AM558" t="str">
        <f t="shared" si="213"/>
        <v/>
      </c>
      <c r="AN558" t="str">
        <f t="shared" si="214"/>
        <v/>
      </c>
      <c r="AO558" t="str">
        <f t="shared" si="215"/>
        <v/>
      </c>
      <c r="AP558" t="str">
        <f t="shared" si="216"/>
        <v/>
      </c>
      <c r="AQ558" t="str">
        <f t="shared" si="217"/>
        <v/>
      </c>
      <c r="AR558" t="str">
        <f t="shared" si="218"/>
        <v/>
      </c>
      <c r="AS558" t="str">
        <f t="shared" si="219"/>
        <v/>
      </c>
      <c r="AT558" t="str">
        <f t="shared" si="220"/>
        <v/>
      </c>
      <c r="AU558" s="25" t="str">
        <f t="shared" si="224"/>
        <v/>
      </c>
      <c r="BA558">
        <f>'REGISTER SK'!F561</f>
        <v>0</v>
      </c>
    </row>
    <row r="559" spans="1:53" x14ac:dyDescent="0.35">
      <c r="A559" s="18">
        <v>558</v>
      </c>
      <c r="B559" s="18"/>
      <c r="C559" s="18" t="str">
        <f>IF(G559="","",IF(G559="Umum",G559,VLOOKUP(F559,'Data Induk Pegawai'!B:AE,4,FALSE)))</f>
        <v/>
      </c>
      <c r="D559" s="19" t="str">
        <f>IF('REGISTER SK'!A562="","",IF('REGISTER SK'!B562=0,D558,'REGISTER SK'!B562))</f>
        <v/>
      </c>
      <c r="E559" s="19" t="str">
        <f t="shared" si="221"/>
        <v/>
      </c>
      <c r="F559" s="29"/>
      <c r="G559" s="29"/>
      <c r="H559" s="31" t="str">
        <f>IF(F559="","",VLOOKUP(F559,'Data Induk Pegawai'!B:U,2,FALSE))</f>
        <v/>
      </c>
      <c r="I559" s="19" t="str">
        <f>IF('REGISTER SK'!C562="","",'REGISTER SK'!C562)</f>
        <v/>
      </c>
      <c r="J559" s="125"/>
      <c r="K559" s="125"/>
      <c r="L559" s="26" t="str">
        <f>IF('REGISTER SK'!D562="","",'REGISTER SK'!D562)</f>
        <v/>
      </c>
      <c r="M559" s="26" t="str">
        <f>IF('REGISTER SK'!E562="","",'REGISTER SK'!E562)</f>
        <v/>
      </c>
      <c r="N559" s="31" t="str">
        <f>IF(G559="","",IF(OR(G559="GTT",G559="PTT"),"--",VLOOKUP(F559,'Data Induk Pegawai'!B:AE,4,FALSE)))</f>
        <v/>
      </c>
      <c r="O559" s="18" t="str">
        <f>IF(G559="","",VLOOKUP(F559,'Data Induk Pegawai'!B:AE,6,FALSE))</f>
        <v/>
      </c>
      <c r="P559" s="31" t="str">
        <f>IF(G559="","",VLOOKUP(F559,'Data Induk Pegawai'!B:AE,7,FALSE))</f>
        <v/>
      </c>
      <c r="Q559" s="30"/>
      <c r="R559" s="26" t="str">
        <f>IF(G559="","","Nomor "&amp;RIGHT(VLOOKUP(F559,'Data Induk Pegawai'!B:AE,12,FALSE),2)&amp;" Tahun "&amp;MID(VLOOKUP(F559,'Data Induk Pegawai'!B:AE,12,FALSE),5,4))</f>
        <v/>
      </c>
      <c r="S559" s="26" t="str">
        <f>IF(G559="","",VLOOKUP(F559,'Data Induk Pegawai'!B:AE,11,FALSE))</f>
        <v/>
      </c>
      <c r="T559" s="56"/>
      <c r="U559" s="18" t="str">
        <f t="shared" si="203"/>
        <v/>
      </c>
      <c r="V559" s="30"/>
      <c r="W559" s="18" t="str">
        <f t="shared" si="225"/>
        <v/>
      </c>
      <c r="Y559" t="str">
        <f t="shared" si="204"/>
        <v/>
      </c>
      <c r="Z559" t="str">
        <f t="shared" si="205"/>
        <v/>
      </c>
      <c r="AA559" t="str">
        <f t="shared" si="206"/>
        <v/>
      </c>
      <c r="AB559" t="str">
        <f>COUNTIFS(AC559:AC$596,AC559)&amp;AC559</f>
        <v>38</v>
      </c>
      <c r="AC559" t="str">
        <f t="shared" si="222"/>
        <v/>
      </c>
      <c r="AD559" t="str">
        <f>COUNTIFS(AC$2:AC559,AC559)&amp;AC559</f>
        <v>558</v>
      </c>
      <c r="AE559" t="str">
        <f t="shared" si="207"/>
        <v/>
      </c>
      <c r="AF559" t="str">
        <f t="shared" si="223"/>
        <v>..</v>
      </c>
      <c r="AG559" s="28" t="str">
        <f t="shared" si="226"/>
        <v/>
      </c>
      <c r="AH559" s="28" t="str">
        <f t="shared" si="208"/>
        <v/>
      </c>
      <c r="AI559" t="str">
        <f t="shared" si="209"/>
        <v/>
      </c>
      <c r="AJ559" t="str">
        <f t="shared" si="210"/>
        <v/>
      </c>
      <c r="AK559" t="str">
        <f t="shared" si="211"/>
        <v/>
      </c>
      <c r="AL559" t="str">
        <f t="shared" si="212"/>
        <v/>
      </c>
      <c r="AM559" t="str">
        <f t="shared" si="213"/>
        <v/>
      </c>
      <c r="AN559" t="str">
        <f t="shared" si="214"/>
        <v/>
      </c>
      <c r="AO559" t="str">
        <f t="shared" si="215"/>
        <v/>
      </c>
      <c r="AP559" t="str">
        <f t="shared" si="216"/>
        <v/>
      </c>
      <c r="AQ559" t="str">
        <f t="shared" si="217"/>
        <v/>
      </c>
      <c r="AR559" t="str">
        <f t="shared" si="218"/>
        <v/>
      </c>
      <c r="AS559" t="str">
        <f t="shared" si="219"/>
        <v/>
      </c>
      <c r="AT559" t="str">
        <f t="shared" si="220"/>
        <v/>
      </c>
      <c r="AU559" s="25" t="str">
        <f t="shared" si="224"/>
        <v/>
      </c>
      <c r="BA559">
        <f>'REGISTER SK'!F562</f>
        <v>0</v>
      </c>
    </row>
    <row r="560" spans="1:53" x14ac:dyDescent="0.35">
      <c r="A560" s="18">
        <v>559</v>
      </c>
      <c r="B560" s="18"/>
      <c r="C560" s="18" t="str">
        <f>IF(G560="","",IF(G560="Umum",G560,VLOOKUP(F560,'Data Induk Pegawai'!B:AE,4,FALSE)))</f>
        <v/>
      </c>
      <c r="D560" s="19" t="str">
        <f>IF('REGISTER SK'!A563="","",IF('REGISTER SK'!B563=0,D559,'REGISTER SK'!B563))</f>
        <v/>
      </c>
      <c r="E560" s="19" t="str">
        <f t="shared" si="221"/>
        <v/>
      </c>
      <c r="F560" s="29"/>
      <c r="G560" s="29"/>
      <c r="H560" s="31" t="str">
        <f>IF(F560="","",VLOOKUP(F560,'Data Induk Pegawai'!B:U,2,FALSE))</f>
        <v/>
      </c>
      <c r="I560" s="19" t="str">
        <f>IF('REGISTER SK'!C563="","",'REGISTER SK'!C563)</f>
        <v/>
      </c>
      <c r="J560" s="125"/>
      <c r="K560" s="125"/>
      <c r="L560" s="26" t="str">
        <f>IF('REGISTER SK'!D563="","",'REGISTER SK'!D563)</f>
        <v/>
      </c>
      <c r="M560" s="26" t="str">
        <f>IF('REGISTER SK'!E563="","",'REGISTER SK'!E563)</f>
        <v/>
      </c>
      <c r="N560" s="31" t="str">
        <f>IF(G560="","",IF(OR(G560="GTT",G560="PTT"),"--",VLOOKUP(F560,'Data Induk Pegawai'!B:AE,4,FALSE)))</f>
        <v/>
      </c>
      <c r="O560" s="18" t="str">
        <f>IF(G560="","",VLOOKUP(F560,'Data Induk Pegawai'!B:AE,6,FALSE))</f>
        <v/>
      </c>
      <c r="P560" s="31" t="str">
        <f>IF(G560="","",VLOOKUP(F560,'Data Induk Pegawai'!B:AE,7,FALSE))</f>
        <v/>
      </c>
      <c r="Q560" s="30"/>
      <c r="R560" s="26" t="str">
        <f>IF(G560="","","Nomor "&amp;RIGHT(VLOOKUP(F560,'Data Induk Pegawai'!B:AE,12,FALSE),2)&amp;" Tahun "&amp;MID(VLOOKUP(F560,'Data Induk Pegawai'!B:AE,12,FALSE),5,4))</f>
        <v/>
      </c>
      <c r="S560" s="26" t="str">
        <f>IF(G560="","",VLOOKUP(F560,'Data Induk Pegawai'!B:AE,11,FALSE))</f>
        <v/>
      </c>
      <c r="T560" s="56"/>
      <c r="U560" s="18" t="str">
        <f t="shared" si="203"/>
        <v/>
      </c>
      <c r="V560" s="30"/>
      <c r="W560" s="18" t="str">
        <f t="shared" si="225"/>
        <v/>
      </c>
      <c r="Y560" t="str">
        <f t="shared" si="204"/>
        <v/>
      </c>
      <c r="Z560" t="str">
        <f t="shared" si="205"/>
        <v/>
      </c>
      <c r="AA560" t="str">
        <f t="shared" si="206"/>
        <v/>
      </c>
      <c r="AB560" t="str">
        <f>COUNTIFS(AC560:AC$596,AC560)&amp;AC560</f>
        <v>37</v>
      </c>
      <c r="AC560" t="str">
        <f t="shared" si="222"/>
        <v/>
      </c>
      <c r="AD560" t="str">
        <f>COUNTIFS(AC$2:AC560,AC560)&amp;AC560</f>
        <v>559</v>
      </c>
      <c r="AE560" t="str">
        <f t="shared" si="207"/>
        <v/>
      </c>
      <c r="AF560" t="str">
        <f t="shared" si="223"/>
        <v>..</v>
      </c>
      <c r="AG560" s="28" t="str">
        <f t="shared" si="226"/>
        <v/>
      </c>
      <c r="AH560" s="28" t="str">
        <f t="shared" si="208"/>
        <v/>
      </c>
      <c r="AI560" t="str">
        <f t="shared" si="209"/>
        <v/>
      </c>
      <c r="AJ560" t="str">
        <f t="shared" si="210"/>
        <v/>
      </c>
      <c r="AK560" t="str">
        <f t="shared" si="211"/>
        <v/>
      </c>
      <c r="AL560" t="str">
        <f t="shared" si="212"/>
        <v/>
      </c>
      <c r="AM560" t="str">
        <f t="shared" si="213"/>
        <v/>
      </c>
      <c r="AN560" t="str">
        <f t="shared" si="214"/>
        <v/>
      </c>
      <c r="AO560" t="str">
        <f t="shared" si="215"/>
        <v/>
      </c>
      <c r="AP560" t="str">
        <f t="shared" si="216"/>
        <v/>
      </c>
      <c r="AQ560" t="str">
        <f t="shared" si="217"/>
        <v/>
      </c>
      <c r="AR560" t="str">
        <f t="shared" si="218"/>
        <v/>
      </c>
      <c r="AS560" t="str">
        <f t="shared" si="219"/>
        <v/>
      </c>
      <c r="AT560" t="str">
        <f t="shared" si="220"/>
        <v/>
      </c>
      <c r="AU560" s="25" t="str">
        <f t="shared" si="224"/>
        <v/>
      </c>
      <c r="BA560">
        <f>'REGISTER SK'!F563</f>
        <v>0</v>
      </c>
    </row>
    <row r="561" spans="1:53" x14ac:dyDescent="0.35">
      <c r="A561" s="18">
        <v>560</v>
      </c>
      <c r="B561" s="18"/>
      <c r="C561" s="18" t="str">
        <f>IF(G561="","",IF(G561="Umum",G561,VLOOKUP(F561,'Data Induk Pegawai'!B:AE,4,FALSE)))</f>
        <v/>
      </c>
      <c r="D561" s="19" t="str">
        <f>IF('REGISTER SK'!A564="","",IF('REGISTER SK'!B564=0,D560,'REGISTER SK'!B564))</f>
        <v/>
      </c>
      <c r="E561" s="19" t="str">
        <f t="shared" si="221"/>
        <v/>
      </c>
      <c r="F561" s="29"/>
      <c r="G561" s="29"/>
      <c r="H561" s="31" t="str">
        <f>IF(F561="","",VLOOKUP(F561,'Data Induk Pegawai'!B:U,2,FALSE))</f>
        <v/>
      </c>
      <c r="I561" s="19" t="str">
        <f>IF('REGISTER SK'!C564="","",'REGISTER SK'!C564)</f>
        <v/>
      </c>
      <c r="J561" s="125"/>
      <c r="K561" s="125"/>
      <c r="L561" s="26" t="str">
        <f>IF('REGISTER SK'!D564="","",'REGISTER SK'!D564)</f>
        <v/>
      </c>
      <c r="M561" s="26" t="str">
        <f>IF('REGISTER SK'!E564="","",'REGISTER SK'!E564)</f>
        <v/>
      </c>
      <c r="N561" s="31" t="str">
        <f>IF(G561="","",IF(OR(G561="GTT",G561="PTT"),"--",VLOOKUP(F561,'Data Induk Pegawai'!B:AE,4,FALSE)))</f>
        <v/>
      </c>
      <c r="O561" s="18" t="str">
        <f>IF(G561="","",VLOOKUP(F561,'Data Induk Pegawai'!B:AE,6,FALSE))</f>
        <v/>
      </c>
      <c r="P561" s="31" t="str">
        <f>IF(G561="","",VLOOKUP(F561,'Data Induk Pegawai'!B:AE,7,FALSE))</f>
        <v/>
      </c>
      <c r="Q561" s="30"/>
      <c r="R561" s="26" t="str">
        <f>IF(G561="","","Nomor "&amp;RIGHT(VLOOKUP(F561,'Data Induk Pegawai'!B:AE,12,FALSE),2)&amp;" Tahun "&amp;MID(VLOOKUP(F561,'Data Induk Pegawai'!B:AE,12,FALSE),5,4))</f>
        <v/>
      </c>
      <c r="S561" s="26" t="str">
        <f>IF(G561="","",VLOOKUP(F561,'Data Induk Pegawai'!B:AE,11,FALSE))</f>
        <v/>
      </c>
      <c r="T561" s="56"/>
      <c r="U561" s="18" t="str">
        <f t="shared" si="203"/>
        <v/>
      </c>
      <c r="V561" s="30"/>
      <c r="W561" s="18" t="str">
        <f t="shared" si="225"/>
        <v/>
      </c>
      <c r="Y561" t="str">
        <f t="shared" si="204"/>
        <v/>
      </c>
      <c r="Z561" t="str">
        <f t="shared" si="205"/>
        <v/>
      </c>
      <c r="AA561" t="str">
        <f t="shared" si="206"/>
        <v/>
      </c>
      <c r="AB561" t="str">
        <f>COUNTIFS(AC561:AC$596,AC561)&amp;AC561</f>
        <v>36</v>
      </c>
      <c r="AC561" t="str">
        <f t="shared" si="222"/>
        <v/>
      </c>
      <c r="AD561" t="str">
        <f>COUNTIFS(AC$2:AC561,AC561)&amp;AC561</f>
        <v>560</v>
      </c>
      <c r="AE561" t="str">
        <f t="shared" si="207"/>
        <v/>
      </c>
      <c r="AF561" t="str">
        <f t="shared" si="223"/>
        <v>..</v>
      </c>
      <c r="AG561" s="28" t="str">
        <f t="shared" si="226"/>
        <v/>
      </c>
      <c r="AH561" s="28" t="str">
        <f t="shared" si="208"/>
        <v/>
      </c>
      <c r="AI561" t="str">
        <f t="shared" si="209"/>
        <v/>
      </c>
      <c r="AJ561" t="str">
        <f t="shared" si="210"/>
        <v/>
      </c>
      <c r="AK561" t="str">
        <f t="shared" si="211"/>
        <v/>
      </c>
      <c r="AL561" t="str">
        <f t="shared" si="212"/>
        <v/>
      </c>
      <c r="AM561" t="str">
        <f t="shared" si="213"/>
        <v/>
      </c>
      <c r="AN561" t="str">
        <f t="shared" si="214"/>
        <v/>
      </c>
      <c r="AO561" t="str">
        <f t="shared" si="215"/>
        <v/>
      </c>
      <c r="AP561" t="str">
        <f t="shared" si="216"/>
        <v/>
      </c>
      <c r="AQ561" t="str">
        <f t="shared" si="217"/>
        <v/>
      </c>
      <c r="AR561" t="str">
        <f t="shared" si="218"/>
        <v/>
      </c>
      <c r="AS561" t="str">
        <f t="shared" si="219"/>
        <v/>
      </c>
      <c r="AT561" t="str">
        <f t="shared" si="220"/>
        <v/>
      </c>
      <c r="AU561" s="25" t="str">
        <f t="shared" si="224"/>
        <v/>
      </c>
      <c r="BA561">
        <f>'REGISTER SK'!F564</f>
        <v>0</v>
      </c>
    </row>
    <row r="562" spans="1:53" x14ac:dyDescent="0.35">
      <c r="A562" s="18">
        <v>561</v>
      </c>
      <c r="B562" s="18"/>
      <c r="C562" s="18" t="str">
        <f>IF(G562="","",IF(G562="Umum",G562,VLOOKUP(F562,'Data Induk Pegawai'!B:AE,4,FALSE)))</f>
        <v/>
      </c>
      <c r="D562" s="19" t="str">
        <f>IF('REGISTER SK'!A565="","",IF('REGISTER SK'!B565=0,D561,'REGISTER SK'!B565))</f>
        <v/>
      </c>
      <c r="E562" s="19" t="str">
        <f t="shared" si="221"/>
        <v/>
      </c>
      <c r="F562" s="29"/>
      <c r="G562" s="29"/>
      <c r="H562" s="31" t="str">
        <f>IF(F562="","",VLOOKUP(F562,'Data Induk Pegawai'!B:U,2,FALSE))</f>
        <v/>
      </c>
      <c r="I562" s="19" t="str">
        <f>IF('REGISTER SK'!C565="","",'REGISTER SK'!C565)</f>
        <v/>
      </c>
      <c r="J562" s="125"/>
      <c r="K562" s="125"/>
      <c r="L562" s="26" t="str">
        <f>IF('REGISTER SK'!D565="","",'REGISTER SK'!D565)</f>
        <v/>
      </c>
      <c r="M562" s="26" t="str">
        <f>IF('REGISTER SK'!E565="","",'REGISTER SK'!E565)</f>
        <v/>
      </c>
      <c r="N562" s="31" t="str">
        <f>IF(G562="","",IF(OR(G562="GTT",G562="PTT"),"--",VLOOKUP(F562,'Data Induk Pegawai'!B:AE,4,FALSE)))</f>
        <v/>
      </c>
      <c r="O562" s="18" t="str">
        <f>IF(G562="","",VLOOKUP(F562,'Data Induk Pegawai'!B:AE,6,FALSE))</f>
        <v/>
      </c>
      <c r="P562" s="31" t="str">
        <f>IF(G562="","",VLOOKUP(F562,'Data Induk Pegawai'!B:AE,7,FALSE))</f>
        <v/>
      </c>
      <c r="Q562" s="30"/>
      <c r="R562" s="26" t="str">
        <f>IF(G562="","","Nomor "&amp;RIGHT(VLOOKUP(F562,'Data Induk Pegawai'!B:AE,12,FALSE),2)&amp;" Tahun "&amp;MID(VLOOKUP(F562,'Data Induk Pegawai'!B:AE,12,FALSE),5,4))</f>
        <v/>
      </c>
      <c r="S562" s="26" t="str">
        <f>IF(G562="","",VLOOKUP(F562,'Data Induk Pegawai'!B:AE,11,FALSE))</f>
        <v/>
      </c>
      <c r="T562" s="56"/>
      <c r="U562" s="18" t="str">
        <f t="shared" si="203"/>
        <v/>
      </c>
      <c r="V562" s="30"/>
      <c r="W562" s="18" t="str">
        <f t="shared" si="225"/>
        <v/>
      </c>
      <c r="Y562" t="str">
        <f t="shared" si="204"/>
        <v/>
      </c>
      <c r="Z562" t="str">
        <f t="shared" si="205"/>
        <v/>
      </c>
      <c r="AA562" t="str">
        <f t="shared" si="206"/>
        <v/>
      </c>
      <c r="AB562" t="str">
        <f>COUNTIFS(AC562:AC$596,AC562)&amp;AC562</f>
        <v>35</v>
      </c>
      <c r="AC562" t="str">
        <f t="shared" si="222"/>
        <v/>
      </c>
      <c r="AD562" t="str">
        <f>COUNTIFS(AC$2:AC562,AC562)&amp;AC562</f>
        <v>561</v>
      </c>
      <c r="AE562" t="str">
        <f t="shared" si="207"/>
        <v/>
      </c>
      <c r="AF562" t="str">
        <f t="shared" si="223"/>
        <v>..</v>
      </c>
      <c r="AG562" s="28" t="str">
        <f t="shared" si="226"/>
        <v/>
      </c>
      <c r="AH562" s="28" t="str">
        <f t="shared" si="208"/>
        <v/>
      </c>
      <c r="AI562" t="str">
        <f t="shared" si="209"/>
        <v/>
      </c>
      <c r="AJ562" t="str">
        <f t="shared" si="210"/>
        <v/>
      </c>
      <c r="AK562" t="str">
        <f t="shared" si="211"/>
        <v/>
      </c>
      <c r="AL562" t="str">
        <f t="shared" si="212"/>
        <v/>
      </c>
      <c r="AM562" t="str">
        <f t="shared" si="213"/>
        <v/>
      </c>
      <c r="AN562" t="str">
        <f t="shared" si="214"/>
        <v/>
      </c>
      <c r="AO562" t="str">
        <f t="shared" si="215"/>
        <v/>
      </c>
      <c r="AP562" t="str">
        <f t="shared" si="216"/>
        <v/>
      </c>
      <c r="AQ562" t="str">
        <f t="shared" si="217"/>
        <v/>
      </c>
      <c r="AR562" t="str">
        <f t="shared" si="218"/>
        <v/>
      </c>
      <c r="AS562" t="str">
        <f t="shared" si="219"/>
        <v/>
      </c>
      <c r="AT562" t="str">
        <f t="shared" si="220"/>
        <v/>
      </c>
      <c r="AU562" s="25" t="str">
        <f t="shared" si="224"/>
        <v/>
      </c>
      <c r="BA562">
        <f>'REGISTER SK'!F565</f>
        <v>0</v>
      </c>
    </row>
    <row r="563" spans="1:53" x14ac:dyDescent="0.35">
      <c r="A563" s="18">
        <v>562</v>
      </c>
      <c r="B563" s="18"/>
      <c r="C563" s="18" t="str">
        <f>IF(G563="","",IF(G563="Umum",G563,VLOOKUP(F563,'Data Induk Pegawai'!B:AE,4,FALSE)))</f>
        <v/>
      </c>
      <c r="D563" s="19" t="str">
        <f>IF('REGISTER SK'!A566="","",IF('REGISTER SK'!B566=0,D562,'REGISTER SK'!B566))</f>
        <v/>
      </c>
      <c r="E563" s="19" t="str">
        <f t="shared" si="221"/>
        <v/>
      </c>
      <c r="F563" s="29"/>
      <c r="G563" s="29"/>
      <c r="H563" s="31" t="str">
        <f>IF(F563="","",VLOOKUP(F563,'Data Induk Pegawai'!B:U,2,FALSE))</f>
        <v/>
      </c>
      <c r="I563" s="19" t="str">
        <f>IF('REGISTER SK'!C566="","",'REGISTER SK'!C566)</f>
        <v/>
      </c>
      <c r="J563" s="125"/>
      <c r="K563" s="125"/>
      <c r="L563" s="26" t="str">
        <f>IF('REGISTER SK'!D566="","",'REGISTER SK'!D566)</f>
        <v/>
      </c>
      <c r="M563" s="26" t="str">
        <f>IF('REGISTER SK'!E566="","",'REGISTER SK'!E566)</f>
        <v/>
      </c>
      <c r="N563" s="31" t="str">
        <f>IF(G563="","",IF(OR(G563="GTT",G563="PTT"),"--",VLOOKUP(F563,'Data Induk Pegawai'!B:AE,4,FALSE)))</f>
        <v/>
      </c>
      <c r="O563" s="18" t="str">
        <f>IF(G563="","",VLOOKUP(F563,'Data Induk Pegawai'!B:AE,6,FALSE))</f>
        <v/>
      </c>
      <c r="P563" s="31" t="str">
        <f>IF(G563="","",VLOOKUP(F563,'Data Induk Pegawai'!B:AE,7,FALSE))</f>
        <v/>
      </c>
      <c r="Q563" s="30"/>
      <c r="R563" s="26" t="str">
        <f>IF(G563="","","Nomor "&amp;RIGHT(VLOOKUP(F563,'Data Induk Pegawai'!B:AE,12,FALSE),2)&amp;" Tahun "&amp;MID(VLOOKUP(F563,'Data Induk Pegawai'!B:AE,12,FALSE),5,4))</f>
        <v/>
      </c>
      <c r="S563" s="26" t="str">
        <f>IF(G563="","",VLOOKUP(F563,'Data Induk Pegawai'!B:AE,11,FALSE))</f>
        <v/>
      </c>
      <c r="T563" s="56"/>
      <c r="U563" s="18" t="str">
        <f t="shared" si="203"/>
        <v/>
      </c>
      <c r="V563" s="30"/>
      <c r="W563" s="18" t="str">
        <f t="shared" si="225"/>
        <v/>
      </c>
      <c r="Y563" t="str">
        <f t="shared" si="204"/>
        <v/>
      </c>
      <c r="Z563" t="str">
        <f t="shared" si="205"/>
        <v/>
      </c>
      <c r="AA563" t="str">
        <f t="shared" si="206"/>
        <v/>
      </c>
      <c r="AB563" t="str">
        <f>COUNTIFS(AC563:AC$596,AC563)&amp;AC563</f>
        <v>34</v>
      </c>
      <c r="AC563" t="str">
        <f t="shared" si="222"/>
        <v/>
      </c>
      <c r="AD563" t="str">
        <f>COUNTIFS(AC$2:AC563,AC563)&amp;AC563</f>
        <v>562</v>
      </c>
      <c r="AE563" t="str">
        <f t="shared" si="207"/>
        <v/>
      </c>
      <c r="AF563" t="str">
        <f t="shared" si="223"/>
        <v>..</v>
      </c>
      <c r="AG563" s="28" t="str">
        <f t="shared" si="226"/>
        <v/>
      </c>
      <c r="AH563" s="28" t="str">
        <f t="shared" si="208"/>
        <v/>
      </c>
      <c r="AI563" t="str">
        <f t="shared" si="209"/>
        <v/>
      </c>
      <c r="AJ563" t="str">
        <f t="shared" si="210"/>
        <v/>
      </c>
      <c r="AK563" t="str">
        <f t="shared" si="211"/>
        <v/>
      </c>
      <c r="AL563" t="str">
        <f t="shared" si="212"/>
        <v/>
      </c>
      <c r="AM563" t="str">
        <f t="shared" si="213"/>
        <v/>
      </c>
      <c r="AN563" t="str">
        <f t="shared" si="214"/>
        <v/>
      </c>
      <c r="AO563" t="str">
        <f t="shared" si="215"/>
        <v/>
      </c>
      <c r="AP563" t="str">
        <f t="shared" si="216"/>
        <v/>
      </c>
      <c r="AQ563" t="str">
        <f t="shared" si="217"/>
        <v/>
      </c>
      <c r="AR563" t="str">
        <f t="shared" si="218"/>
        <v/>
      </c>
      <c r="AS563" t="str">
        <f t="shared" si="219"/>
        <v/>
      </c>
      <c r="AT563" t="str">
        <f t="shared" si="220"/>
        <v/>
      </c>
      <c r="AU563" s="25" t="str">
        <f t="shared" si="224"/>
        <v/>
      </c>
      <c r="BA563">
        <f>'REGISTER SK'!F566</f>
        <v>0</v>
      </c>
    </row>
    <row r="564" spans="1:53" x14ac:dyDescent="0.35">
      <c r="A564" s="18">
        <v>563</v>
      </c>
      <c r="B564" s="18"/>
      <c r="C564" s="18" t="str">
        <f>IF(G564="","",IF(G564="Umum",G564,VLOOKUP(F564,'Data Induk Pegawai'!B:AE,4,FALSE)))</f>
        <v/>
      </c>
      <c r="D564" s="19" t="str">
        <f>IF('REGISTER SK'!A567="","",IF('REGISTER SK'!B567=0,D563,'REGISTER SK'!B567))</f>
        <v/>
      </c>
      <c r="E564" s="19" t="str">
        <f t="shared" si="221"/>
        <v/>
      </c>
      <c r="F564" s="29"/>
      <c r="G564" s="29"/>
      <c r="H564" s="31" t="str">
        <f>IF(F564="","",VLOOKUP(F564,'Data Induk Pegawai'!B:U,2,FALSE))</f>
        <v/>
      </c>
      <c r="I564" s="19" t="str">
        <f>IF('REGISTER SK'!C567="","",'REGISTER SK'!C567)</f>
        <v/>
      </c>
      <c r="J564" s="125"/>
      <c r="K564" s="125"/>
      <c r="L564" s="26" t="str">
        <f>IF('REGISTER SK'!D567="","",'REGISTER SK'!D567)</f>
        <v/>
      </c>
      <c r="M564" s="26" t="str">
        <f>IF('REGISTER SK'!E567="","",'REGISTER SK'!E567)</f>
        <v/>
      </c>
      <c r="N564" s="31" t="str">
        <f>IF(G564="","",IF(OR(G564="GTT",G564="PTT"),"--",VLOOKUP(F564,'Data Induk Pegawai'!B:AE,4,FALSE)))</f>
        <v/>
      </c>
      <c r="O564" s="18" t="str">
        <f>IF(G564="","",VLOOKUP(F564,'Data Induk Pegawai'!B:AE,6,FALSE))</f>
        <v/>
      </c>
      <c r="P564" s="31" t="str">
        <f>IF(G564="","",VLOOKUP(F564,'Data Induk Pegawai'!B:AE,7,FALSE))</f>
        <v/>
      </c>
      <c r="Q564" s="30"/>
      <c r="R564" s="26" t="str">
        <f>IF(G564="","","Nomor "&amp;RIGHT(VLOOKUP(F564,'Data Induk Pegawai'!B:AE,12,FALSE),2)&amp;" Tahun "&amp;MID(VLOOKUP(F564,'Data Induk Pegawai'!B:AE,12,FALSE),5,4))</f>
        <v/>
      </c>
      <c r="S564" s="26" t="str">
        <f>IF(G564="","",VLOOKUP(F564,'Data Induk Pegawai'!B:AE,11,FALSE))</f>
        <v/>
      </c>
      <c r="T564" s="56"/>
      <c r="U564" s="18" t="str">
        <f t="shared" si="203"/>
        <v/>
      </c>
      <c r="V564" s="30"/>
      <c r="W564" s="18" t="str">
        <f t="shared" si="225"/>
        <v/>
      </c>
      <c r="Y564" t="str">
        <f t="shared" si="204"/>
        <v/>
      </c>
      <c r="Z564" t="str">
        <f t="shared" si="205"/>
        <v/>
      </c>
      <c r="AA564" t="str">
        <f t="shared" si="206"/>
        <v/>
      </c>
      <c r="AB564" t="str">
        <f>COUNTIFS(AC564:AC$596,AC564)&amp;AC564</f>
        <v>33</v>
      </c>
      <c r="AC564" t="str">
        <f t="shared" si="222"/>
        <v/>
      </c>
      <c r="AD564" t="str">
        <f>COUNTIFS(AC$2:AC564,AC564)&amp;AC564</f>
        <v>563</v>
      </c>
      <c r="AE564" t="str">
        <f t="shared" si="207"/>
        <v/>
      </c>
      <c r="AF564" t="str">
        <f t="shared" si="223"/>
        <v>..</v>
      </c>
      <c r="AG564" s="28" t="str">
        <f t="shared" si="226"/>
        <v/>
      </c>
      <c r="AH564" s="28" t="str">
        <f t="shared" si="208"/>
        <v/>
      </c>
      <c r="AI564" t="str">
        <f t="shared" si="209"/>
        <v/>
      </c>
      <c r="AJ564" t="str">
        <f t="shared" si="210"/>
        <v/>
      </c>
      <c r="AK564" t="str">
        <f t="shared" si="211"/>
        <v/>
      </c>
      <c r="AL564" t="str">
        <f t="shared" si="212"/>
        <v/>
      </c>
      <c r="AM564" t="str">
        <f t="shared" si="213"/>
        <v/>
      </c>
      <c r="AN564" t="str">
        <f t="shared" si="214"/>
        <v/>
      </c>
      <c r="AO564" t="str">
        <f t="shared" si="215"/>
        <v/>
      </c>
      <c r="AP564" t="str">
        <f t="shared" si="216"/>
        <v/>
      </c>
      <c r="AQ564" t="str">
        <f t="shared" si="217"/>
        <v/>
      </c>
      <c r="AR564" t="str">
        <f t="shared" si="218"/>
        <v/>
      </c>
      <c r="AS564" t="str">
        <f t="shared" si="219"/>
        <v/>
      </c>
      <c r="AT564" t="str">
        <f t="shared" si="220"/>
        <v/>
      </c>
      <c r="AU564" s="25" t="str">
        <f t="shared" si="224"/>
        <v/>
      </c>
      <c r="BA564">
        <f>'REGISTER SK'!F567</f>
        <v>0</v>
      </c>
    </row>
    <row r="565" spans="1:53" x14ac:dyDescent="0.35">
      <c r="A565" s="18">
        <v>564</v>
      </c>
      <c r="B565" s="18"/>
      <c r="C565" s="18" t="str">
        <f>IF(G565="","",IF(G565="Umum",G565,VLOOKUP(F565,'Data Induk Pegawai'!B:AE,4,FALSE)))</f>
        <v/>
      </c>
      <c r="D565" s="19" t="str">
        <f>IF('REGISTER SK'!A568="","",IF('REGISTER SK'!B568=0,D564,'REGISTER SK'!B568))</f>
        <v/>
      </c>
      <c r="E565" s="19" t="str">
        <f t="shared" si="221"/>
        <v/>
      </c>
      <c r="F565" s="29"/>
      <c r="G565" s="29"/>
      <c r="H565" s="31" t="str">
        <f>IF(F565="","",VLOOKUP(F565,'Data Induk Pegawai'!B:U,2,FALSE))</f>
        <v/>
      </c>
      <c r="I565" s="19" t="str">
        <f>IF('REGISTER SK'!C568="","",'REGISTER SK'!C568)</f>
        <v/>
      </c>
      <c r="J565" s="125"/>
      <c r="K565" s="125"/>
      <c r="L565" s="26" t="str">
        <f>IF('REGISTER SK'!D568="","",'REGISTER SK'!D568)</f>
        <v/>
      </c>
      <c r="M565" s="26" t="str">
        <f>IF('REGISTER SK'!E568="","",'REGISTER SK'!E568)</f>
        <v/>
      </c>
      <c r="N565" s="31" t="str">
        <f>IF(G565="","",IF(OR(G565="GTT",G565="PTT"),"--",VLOOKUP(F565,'Data Induk Pegawai'!B:AE,4,FALSE)))</f>
        <v/>
      </c>
      <c r="O565" s="18" t="str">
        <f>IF(G565="","",VLOOKUP(F565,'Data Induk Pegawai'!B:AE,6,FALSE))</f>
        <v/>
      </c>
      <c r="P565" s="31" t="str">
        <f>IF(G565="","",VLOOKUP(F565,'Data Induk Pegawai'!B:AE,7,FALSE))</f>
        <v/>
      </c>
      <c r="Q565" s="30"/>
      <c r="R565" s="26" t="str">
        <f>IF(G565="","","Nomor "&amp;RIGHT(VLOOKUP(F565,'Data Induk Pegawai'!B:AE,12,FALSE),2)&amp;" Tahun "&amp;MID(VLOOKUP(F565,'Data Induk Pegawai'!B:AE,12,FALSE),5,4))</f>
        <v/>
      </c>
      <c r="S565" s="26" t="str">
        <f>IF(G565="","",VLOOKUP(F565,'Data Induk Pegawai'!B:AE,11,FALSE))</f>
        <v/>
      </c>
      <c r="T565" s="56"/>
      <c r="U565" s="18" t="str">
        <f t="shared" si="203"/>
        <v/>
      </c>
      <c r="V565" s="30"/>
      <c r="W565" s="18" t="str">
        <f t="shared" si="225"/>
        <v/>
      </c>
      <c r="Y565" t="str">
        <f t="shared" si="204"/>
        <v/>
      </c>
      <c r="Z565" t="str">
        <f t="shared" si="205"/>
        <v/>
      </c>
      <c r="AA565" t="str">
        <f t="shared" si="206"/>
        <v/>
      </c>
      <c r="AB565" t="str">
        <f>COUNTIFS(AC565:AC$596,AC565)&amp;AC565</f>
        <v>32</v>
      </c>
      <c r="AC565" t="str">
        <f t="shared" si="222"/>
        <v/>
      </c>
      <c r="AD565" t="str">
        <f>COUNTIFS(AC$2:AC565,AC565)&amp;AC565</f>
        <v>564</v>
      </c>
      <c r="AE565" t="str">
        <f t="shared" si="207"/>
        <v/>
      </c>
      <c r="AF565" t="str">
        <f t="shared" si="223"/>
        <v>..</v>
      </c>
      <c r="AG565" s="28" t="str">
        <f t="shared" si="226"/>
        <v/>
      </c>
      <c r="AH565" s="28" t="str">
        <f t="shared" si="208"/>
        <v/>
      </c>
      <c r="AI565" t="str">
        <f t="shared" si="209"/>
        <v/>
      </c>
      <c r="AJ565" t="str">
        <f t="shared" si="210"/>
        <v/>
      </c>
      <c r="AK565" t="str">
        <f t="shared" si="211"/>
        <v/>
      </c>
      <c r="AL565" t="str">
        <f t="shared" si="212"/>
        <v/>
      </c>
      <c r="AM565" t="str">
        <f t="shared" si="213"/>
        <v/>
      </c>
      <c r="AN565" t="str">
        <f t="shared" si="214"/>
        <v/>
      </c>
      <c r="AO565" t="str">
        <f t="shared" si="215"/>
        <v/>
      </c>
      <c r="AP565" t="str">
        <f t="shared" si="216"/>
        <v/>
      </c>
      <c r="AQ565" t="str">
        <f t="shared" si="217"/>
        <v/>
      </c>
      <c r="AR565" t="str">
        <f t="shared" si="218"/>
        <v/>
      </c>
      <c r="AS565" t="str">
        <f t="shared" si="219"/>
        <v/>
      </c>
      <c r="AT565" t="str">
        <f t="shared" si="220"/>
        <v/>
      </c>
      <c r="AU565" s="25" t="str">
        <f t="shared" si="224"/>
        <v/>
      </c>
      <c r="BA565">
        <f>'REGISTER SK'!F568</f>
        <v>0</v>
      </c>
    </row>
    <row r="566" spans="1:53" x14ac:dyDescent="0.35">
      <c r="A566" s="18">
        <v>565</v>
      </c>
      <c r="B566" s="18"/>
      <c r="C566" s="18" t="str">
        <f>IF(G566="","",IF(G566="Umum",G566,VLOOKUP(F566,'Data Induk Pegawai'!B:AE,4,FALSE)))</f>
        <v/>
      </c>
      <c r="D566" s="19" t="str">
        <f>IF('REGISTER SK'!A569="","",IF('REGISTER SK'!B569=0,D565,'REGISTER SK'!B569))</f>
        <v/>
      </c>
      <c r="E566" s="19" t="str">
        <f t="shared" si="221"/>
        <v/>
      </c>
      <c r="F566" s="29"/>
      <c r="G566" s="29"/>
      <c r="H566" s="31" t="str">
        <f>IF(F566="","",VLOOKUP(F566,'Data Induk Pegawai'!B:U,2,FALSE))</f>
        <v/>
      </c>
      <c r="I566" s="19" t="str">
        <f>IF('REGISTER SK'!C569="","",'REGISTER SK'!C569)</f>
        <v/>
      </c>
      <c r="J566" s="125"/>
      <c r="K566" s="125"/>
      <c r="L566" s="26" t="str">
        <f>IF('REGISTER SK'!D569="","",'REGISTER SK'!D569)</f>
        <v/>
      </c>
      <c r="M566" s="26" t="str">
        <f>IF('REGISTER SK'!E569="","",'REGISTER SK'!E569)</f>
        <v/>
      </c>
      <c r="N566" s="31" t="str">
        <f>IF(G566="","",IF(OR(G566="GTT",G566="PTT"),"--",VLOOKUP(F566,'Data Induk Pegawai'!B:AE,4,FALSE)))</f>
        <v/>
      </c>
      <c r="O566" s="18" t="str">
        <f>IF(G566="","",VLOOKUP(F566,'Data Induk Pegawai'!B:AE,6,FALSE))</f>
        <v/>
      </c>
      <c r="P566" s="31" t="str">
        <f>IF(G566="","",VLOOKUP(F566,'Data Induk Pegawai'!B:AE,7,FALSE))</f>
        <v/>
      </c>
      <c r="Q566" s="30"/>
      <c r="R566" s="26" t="str">
        <f>IF(G566="","","Nomor "&amp;RIGHT(VLOOKUP(F566,'Data Induk Pegawai'!B:AE,12,FALSE),2)&amp;" Tahun "&amp;MID(VLOOKUP(F566,'Data Induk Pegawai'!B:AE,12,FALSE),5,4))</f>
        <v/>
      </c>
      <c r="S566" s="26" t="str">
        <f>IF(G566="","",VLOOKUP(F566,'Data Induk Pegawai'!B:AE,11,FALSE))</f>
        <v/>
      </c>
      <c r="T566" s="56"/>
      <c r="U566" s="18" t="str">
        <f t="shared" si="203"/>
        <v/>
      </c>
      <c r="V566" s="30"/>
      <c r="W566" s="18" t="str">
        <f t="shared" si="225"/>
        <v/>
      </c>
      <c r="Y566" t="str">
        <f t="shared" si="204"/>
        <v/>
      </c>
      <c r="Z566" t="str">
        <f t="shared" si="205"/>
        <v/>
      </c>
      <c r="AA566" t="str">
        <f t="shared" si="206"/>
        <v/>
      </c>
      <c r="AB566" t="str">
        <f>COUNTIFS(AC566:AC$596,AC566)&amp;AC566</f>
        <v>31</v>
      </c>
      <c r="AC566" t="str">
        <f t="shared" si="222"/>
        <v/>
      </c>
      <c r="AD566" t="str">
        <f>COUNTIFS(AC$2:AC566,AC566)&amp;AC566</f>
        <v>565</v>
      </c>
      <c r="AE566" t="str">
        <f t="shared" si="207"/>
        <v/>
      </c>
      <c r="AF566" t="str">
        <f t="shared" si="223"/>
        <v>..</v>
      </c>
      <c r="AG566" s="28" t="str">
        <f t="shared" si="226"/>
        <v/>
      </c>
      <c r="AH566" s="28" t="str">
        <f t="shared" si="208"/>
        <v/>
      </c>
      <c r="AI566" t="str">
        <f t="shared" si="209"/>
        <v/>
      </c>
      <c r="AJ566" t="str">
        <f t="shared" si="210"/>
        <v/>
      </c>
      <c r="AK566" t="str">
        <f t="shared" si="211"/>
        <v/>
      </c>
      <c r="AL566" t="str">
        <f t="shared" si="212"/>
        <v/>
      </c>
      <c r="AM566" t="str">
        <f t="shared" si="213"/>
        <v/>
      </c>
      <c r="AN566" t="str">
        <f t="shared" si="214"/>
        <v/>
      </c>
      <c r="AO566" t="str">
        <f t="shared" si="215"/>
        <v/>
      </c>
      <c r="AP566" t="str">
        <f t="shared" si="216"/>
        <v/>
      </c>
      <c r="AQ566" t="str">
        <f t="shared" si="217"/>
        <v/>
      </c>
      <c r="AR566" t="str">
        <f t="shared" si="218"/>
        <v/>
      </c>
      <c r="AS566" t="str">
        <f t="shared" si="219"/>
        <v/>
      </c>
      <c r="AT566" t="str">
        <f t="shared" si="220"/>
        <v/>
      </c>
      <c r="AU566" s="25" t="str">
        <f t="shared" si="224"/>
        <v/>
      </c>
      <c r="BA566">
        <f>'REGISTER SK'!F569</f>
        <v>0</v>
      </c>
    </row>
    <row r="567" spans="1:53" x14ac:dyDescent="0.35">
      <c r="A567" s="18">
        <v>566</v>
      </c>
      <c r="B567" s="18"/>
      <c r="C567" s="18" t="str">
        <f>IF(G567="","",IF(G567="Umum",G567,VLOOKUP(F567,'Data Induk Pegawai'!B:AE,4,FALSE)))</f>
        <v/>
      </c>
      <c r="D567" s="19" t="str">
        <f>IF('REGISTER SK'!A570="","",IF('REGISTER SK'!B570=0,D566,'REGISTER SK'!B570))</f>
        <v/>
      </c>
      <c r="E567" s="19" t="str">
        <f t="shared" si="221"/>
        <v/>
      </c>
      <c r="F567" s="29"/>
      <c r="G567" s="29"/>
      <c r="H567" s="31" t="str">
        <f>IF(F567="","",VLOOKUP(F567,'Data Induk Pegawai'!B:U,2,FALSE))</f>
        <v/>
      </c>
      <c r="I567" s="19" t="str">
        <f>IF('REGISTER SK'!C570="","",'REGISTER SK'!C570)</f>
        <v/>
      </c>
      <c r="J567" s="125"/>
      <c r="K567" s="125"/>
      <c r="L567" s="26" t="str">
        <f>IF('REGISTER SK'!D570="","",'REGISTER SK'!D570)</f>
        <v/>
      </c>
      <c r="M567" s="26" t="str">
        <f>IF('REGISTER SK'!E570="","",'REGISTER SK'!E570)</f>
        <v/>
      </c>
      <c r="N567" s="31" t="str">
        <f>IF(G567="","",IF(OR(G567="GTT",G567="PTT"),"--",VLOOKUP(F567,'Data Induk Pegawai'!B:AE,4,FALSE)))</f>
        <v/>
      </c>
      <c r="O567" s="18" t="str">
        <f>IF(G567="","",VLOOKUP(F567,'Data Induk Pegawai'!B:AE,6,FALSE))</f>
        <v/>
      </c>
      <c r="P567" s="31" t="str">
        <f>IF(G567="","",VLOOKUP(F567,'Data Induk Pegawai'!B:AE,7,FALSE))</f>
        <v/>
      </c>
      <c r="Q567" s="30"/>
      <c r="R567" s="26" t="str">
        <f>IF(G567="","","Nomor "&amp;RIGHT(VLOOKUP(F567,'Data Induk Pegawai'!B:AE,12,FALSE),2)&amp;" Tahun "&amp;MID(VLOOKUP(F567,'Data Induk Pegawai'!B:AE,12,FALSE),5,4))</f>
        <v/>
      </c>
      <c r="S567" s="26" t="str">
        <f>IF(G567="","",VLOOKUP(F567,'Data Induk Pegawai'!B:AE,11,FALSE))</f>
        <v/>
      </c>
      <c r="T567" s="56"/>
      <c r="U567" s="18" t="str">
        <f t="shared" si="203"/>
        <v/>
      </c>
      <c r="V567" s="30"/>
      <c r="W567" s="18" t="str">
        <f t="shared" si="225"/>
        <v/>
      </c>
      <c r="Y567" t="str">
        <f t="shared" si="204"/>
        <v/>
      </c>
      <c r="Z567" t="str">
        <f t="shared" si="205"/>
        <v/>
      </c>
      <c r="AA567" t="str">
        <f t="shared" si="206"/>
        <v/>
      </c>
      <c r="AB567" t="str">
        <f>COUNTIFS(AC567:AC$596,AC567)&amp;AC567</f>
        <v>30</v>
      </c>
      <c r="AC567" t="str">
        <f t="shared" si="222"/>
        <v/>
      </c>
      <c r="AD567" t="str">
        <f>COUNTIFS(AC$2:AC567,AC567)&amp;AC567</f>
        <v>566</v>
      </c>
      <c r="AE567" t="str">
        <f t="shared" si="207"/>
        <v/>
      </c>
      <c r="AF567" t="str">
        <f t="shared" si="223"/>
        <v>..</v>
      </c>
      <c r="AG567" s="28" t="str">
        <f t="shared" si="226"/>
        <v/>
      </c>
      <c r="AH567" s="28" t="str">
        <f t="shared" si="208"/>
        <v/>
      </c>
      <c r="AI567" t="str">
        <f t="shared" si="209"/>
        <v/>
      </c>
      <c r="AJ567" t="str">
        <f t="shared" si="210"/>
        <v/>
      </c>
      <c r="AK567" t="str">
        <f t="shared" si="211"/>
        <v/>
      </c>
      <c r="AL567" t="str">
        <f t="shared" si="212"/>
        <v/>
      </c>
      <c r="AM567" t="str">
        <f t="shared" si="213"/>
        <v/>
      </c>
      <c r="AN567" t="str">
        <f t="shared" si="214"/>
        <v/>
      </c>
      <c r="AO567" t="str">
        <f t="shared" si="215"/>
        <v/>
      </c>
      <c r="AP567" t="str">
        <f t="shared" si="216"/>
        <v/>
      </c>
      <c r="AQ567" t="str">
        <f t="shared" si="217"/>
        <v/>
      </c>
      <c r="AR567" t="str">
        <f t="shared" si="218"/>
        <v/>
      </c>
      <c r="AS567" t="str">
        <f t="shared" si="219"/>
        <v/>
      </c>
      <c r="AT567" t="str">
        <f t="shared" si="220"/>
        <v/>
      </c>
      <c r="AU567" s="25" t="str">
        <f t="shared" si="224"/>
        <v/>
      </c>
      <c r="BA567">
        <f>'REGISTER SK'!F570</f>
        <v>0</v>
      </c>
    </row>
    <row r="568" spans="1:53" x14ac:dyDescent="0.35">
      <c r="A568" s="18">
        <v>567</v>
      </c>
      <c r="B568" s="18"/>
      <c r="C568" s="18" t="str">
        <f>IF(G568="","",IF(G568="Umum",G568,VLOOKUP(F568,'Data Induk Pegawai'!B:AE,4,FALSE)))</f>
        <v/>
      </c>
      <c r="D568" s="19" t="str">
        <f>IF('REGISTER SK'!A571="","",IF('REGISTER SK'!B571=0,D567,'REGISTER SK'!B571))</f>
        <v/>
      </c>
      <c r="E568" s="19" t="str">
        <f t="shared" si="221"/>
        <v/>
      </c>
      <c r="F568" s="29"/>
      <c r="G568" s="29"/>
      <c r="H568" s="31" t="str">
        <f>IF(F568="","",VLOOKUP(F568,'Data Induk Pegawai'!B:U,2,FALSE))</f>
        <v/>
      </c>
      <c r="I568" s="19" t="str">
        <f>IF('REGISTER SK'!C571="","",'REGISTER SK'!C571)</f>
        <v/>
      </c>
      <c r="J568" s="125"/>
      <c r="K568" s="125"/>
      <c r="L568" s="26" t="str">
        <f>IF('REGISTER SK'!D571="","",'REGISTER SK'!D571)</f>
        <v/>
      </c>
      <c r="M568" s="26" t="str">
        <f>IF('REGISTER SK'!E571="","",'REGISTER SK'!E571)</f>
        <v/>
      </c>
      <c r="N568" s="31" t="str">
        <f>IF(G568="","",IF(OR(G568="GTT",G568="PTT"),"--",VLOOKUP(F568,'Data Induk Pegawai'!B:AE,4,FALSE)))</f>
        <v/>
      </c>
      <c r="O568" s="18" t="str">
        <f>IF(G568="","",VLOOKUP(F568,'Data Induk Pegawai'!B:AE,6,FALSE))</f>
        <v/>
      </c>
      <c r="P568" s="31" t="str">
        <f>IF(G568="","",VLOOKUP(F568,'Data Induk Pegawai'!B:AE,7,FALSE))</f>
        <v/>
      </c>
      <c r="Q568" s="30"/>
      <c r="R568" s="26" t="str">
        <f>IF(G568="","","Nomor "&amp;RIGHT(VLOOKUP(F568,'Data Induk Pegawai'!B:AE,12,FALSE),2)&amp;" Tahun "&amp;MID(VLOOKUP(F568,'Data Induk Pegawai'!B:AE,12,FALSE),5,4))</f>
        <v/>
      </c>
      <c r="S568" s="26" t="str">
        <f>IF(G568="","",VLOOKUP(F568,'Data Induk Pegawai'!B:AE,11,FALSE))</f>
        <v/>
      </c>
      <c r="T568" s="56"/>
      <c r="U568" s="18" t="str">
        <f t="shared" si="203"/>
        <v/>
      </c>
      <c r="V568" s="30"/>
      <c r="W568" s="18" t="str">
        <f t="shared" si="225"/>
        <v/>
      </c>
      <c r="Y568" t="str">
        <f t="shared" si="204"/>
        <v/>
      </c>
      <c r="Z568" t="str">
        <f t="shared" si="205"/>
        <v/>
      </c>
      <c r="AA568" t="str">
        <f t="shared" si="206"/>
        <v/>
      </c>
      <c r="AB568" t="str">
        <f>COUNTIFS(AC568:AC$596,AC568)&amp;AC568</f>
        <v>29</v>
      </c>
      <c r="AC568" t="str">
        <f t="shared" si="222"/>
        <v/>
      </c>
      <c r="AD568" t="str">
        <f>COUNTIFS(AC$2:AC568,AC568)&amp;AC568</f>
        <v>567</v>
      </c>
      <c r="AE568" t="str">
        <f t="shared" si="207"/>
        <v/>
      </c>
      <c r="AF568" t="str">
        <f t="shared" si="223"/>
        <v>..</v>
      </c>
      <c r="AG568" s="28" t="str">
        <f t="shared" si="226"/>
        <v/>
      </c>
      <c r="AH568" s="28" t="str">
        <f t="shared" si="208"/>
        <v/>
      </c>
      <c r="AI568" t="str">
        <f t="shared" si="209"/>
        <v/>
      </c>
      <c r="AJ568" t="str">
        <f t="shared" si="210"/>
        <v/>
      </c>
      <c r="AK568" t="str">
        <f t="shared" si="211"/>
        <v/>
      </c>
      <c r="AL568" t="str">
        <f t="shared" si="212"/>
        <v/>
      </c>
      <c r="AM568" t="str">
        <f t="shared" si="213"/>
        <v/>
      </c>
      <c r="AN568" t="str">
        <f t="shared" si="214"/>
        <v/>
      </c>
      <c r="AO568" t="str">
        <f t="shared" si="215"/>
        <v/>
      </c>
      <c r="AP568" t="str">
        <f t="shared" si="216"/>
        <v/>
      </c>
      <c r="AQ568" t="str">
        <f t="shared" si="217"/>
        <v/>
      </c>
      <c r="AR568" t="str">
        <f t="shared" si="218"/>
        <v/>
      </c>
      <c r="AS568" t="str">
        <f t="shared" si="219"/>
        <v/>
      </c>
      <c r="AT568" t="str">
        <f t="shared" si="220"/>
        <v/>
      </c>
      <c r="AU568" s="25" t="str">
        <f t="shared" si="224"/>
        <v/>
      </c>
      <c r="BA568">
        <f>'REGISTER SK'!F571</f>
        <v>0</v>
      </c>
    </row>
    <row r="569" spans="1:53" x14ac:dyDescent="0.35">
      <c r="A569" s="18">
        <v>568</v>
      </c>
      <c r="B569" s="18"/>
      <c r="C569" s="18" t="str">
        <f>IF(G569="","",IF(G569="Umum",G569,VLOOKUP(F569,'Data Induk Pegawai'!B:AE,4,FALSE)))</f>
        <v/>
      </c>
      <c r="D569" s="19" t="str">
        <f>IF('REGISTER SK'!A572="","",IF('REGISTER SK'!B572=0,D568,'REGISTER SK'!B572))</f>
        <v/>
      </c>
      <c r="E569" s="19" t="str">
        <f t="shared" si="221"/>
        <v/>
      </c>
      <c r="F569" s="29"/>
      <c r="G569" s="29"/>
      <c r="H569" s="31" t="str">
        <f>IF(F569="","",VLOOKUP(F569,'Data Induk Pegawai'!B:U,2,FALSE))</f>
        <v/>
      </c>
      <c r="I569" s="19" t="str">
        <f>IF('REGISTER SK'!C572="","",'REGISTER SK'!C572)</f>
        <v/>
      </c>
      <c r="J569" s="125"/>
      <c r="K569" s="125"/>
      <c r="L569" s="26" t="str">
        <f>IF('REGISTER SK'!D572="","",'REGISTER SK'!D572)</f>
        <v/>
      </c>
      <c r="M569" s="26" t="str">
        <f>IF('REGISTER SK'!E572="","",'REGISTER SK'!E572)</f>
        <v/>
      </c>
      <c r="N569" s="31" t="str">
        <f>IF(G569="","",IF(OR(G569="GTT",G569="PTT"),"--",VLOOKUP(F569,'Data Induk Pegawai'!B:AE,4,FALSE)))</f>
        <v/>
      </c>
      <c r="O569" s="18" t="str">
        <f>IF(G569="","",VLOOKUP(F569,'Data Induk Pegawai'!B:AE,6,FALSE))</f>
        <v/>
      </c>
      <c r="P569" s="31" t="str">
        <f>IF(G569="","",VLOOKUP(F569,'Data Induk Pegawai'!B:AE,7,FALSE))</f>
        <v/>
      </c>
      <c r="Q569" s="30"/>
      <c r="R569" s="26" t="str">
        <f>IF(G569="","","Nomor "&amp;RIGHT(VLOOKUP(F569,'Data Induk Pegawai'!B:AE,12,FALSE),2)&amp;" Tahun "&amp;MID(VLOOKUP(F569,'Data Induk Pegawai'!B:AE,12,FALSE),5,4))</f>
        <v/>
      </c>
      <c r="S569" s="26" t="str">
        <f>IF(G569="","",VLOOKUP(F569,'Data Induk Pegawai'!B:AE,11,FALSE))</f>
        <v/>
      </c>
      <c r="T569" s="56"/>
      <c r="U569" s="18" t="str">
        <f t="shared" si="203"/>
        <v/>
      </c>
      <c r="V569" s="30"/>
      <c r="W569" s="18" t="str">
        <f t="shared" si="225"/>
        <v/>
      </c>
      <c r="Y569" t="str">
        <f t="shared" si="204"/>
        <v/>
      </c>
      <c r="Z569" t="str">
        <f t="shared" si="205"/>
        <v/>
      </c>
      <c r="AA569" t="str">
        <f t="shared" si="206"/>
        <v/>
      </c>
      <c r="AB569" t="str">
        <f>COUNTIFS(AC569:AC$596,AC569)&amp;AC569</f>
        <v>28</v>
      </c>
      <c r="AC569" t="str">
        <f t="shared" si="222"/>
        <v/>
      </c>
      <c r="AD569" t="str">
        <f>COUNTIFS(AC$2:AC569,AC569)&amp;AC569</f>
        <v>568</v>
      </c>
      <c r="AE569" t="str">
        <f t="shared" si="207"/>
        <v/>
      </c>
      <c r="AF569" t="str">
        <f t="shared" si="223"/>
        <v>..</v>
      </c>
      <c r="AG569" s="28" t="str">
        <f t="shared" si="226"/>
        <v/>
      </c>
      <c r="AH569" s="28" t="str">
        <f t="shared" si="208"/>
        <v/>
      </c>
      <c r="AI569" t="str">
        <f t="shared" si="209"/>
        <v/>
      </c>
      <c r="AJ569" t="str">
        <f t="shared" si="210"/>
        <v/>
      </c>
      <c r="AK569" t="str">
        <f t="shared" si="211"/>
        <v/>
      </c>
      <c r="AL569" t="str">
        <f t="shared" si="212"/>
        <v/>
      </c>
      <c r="AM569" t="str">
        <f t="shared" si="213"/>
        <v/>
      </c>
      <c r="AN569" t="str">
        <f t="shared" si="214"/>
        <v/>
      </c>
      <c r="AO569" t="str">
        <f t="shared" si="215"/>
        <v/>
      </c>
      <c r="AP569" t="str">
        <f t="shared" si="216"/>
        <v/>
      </c>
      <c r="AQ569" t="str">
        <f t="shared" si="217"/>
        <v/>
      </c>
      <c r="AR569" t="str">
        <f t="shared" si="218"/>
        <v/>
      </c>
      <c r="AS569" t="str">
        <f t="shared" si="219"/>
        <v/>
      </c>
      <c r="AT569" t="str">
        <f t="shared" si="220"/>
        <v/>
      </c>
      <c r="AU569" s="25" t="str">
        <f t="shared" si="224"/>
        <v/>
      </c>
      <c r="BA569">
        <f>'REGISTER SK'!F572</f>
        <v>0</v>
      </c>
    </row>
    <row r="570" spans="1:53" x14ac:dyDescent="0.35">
      <c r="A570" s="18">
        <v>569</v>
      </c>
      <c r="B570" s="18"/>
      <c r="C570" s="18" t="str">
        <f>IF(G570="","",IF(G570="Umum",G570,VLOOKUP(F570,'Data Induk Pegawai'!B:AE,4,FALSE)))</f>
        <v/>
      </c>
      <c r="D570" s="19" t="str">
        <f>IF('REGISTER SK'!A573="","",IF('REGISTER SK'!B573=0,D569,'REGISTER SK'!B573))</f>
        <v/>
      </c>
      <c r="E570" s="19" t="str">
        <f t="shared" si="221"/>
        <v/>
      </c>
      <c r="F570" s="29"/>
      <c r="G570" s="29"/>
      <c r="H570" s="31" t="str">
        <f>IF(F570="","",VLOOKUP(F570,'Data Induk Pegawai'!B:U,2,FALSE))</f>
        <v/>
      </c>
      <c r="I570" s="19" t="str">
        <f>IF('REGISTER SK'!C573="","",'REGISTER SK'!C573)</f>
        <v/>
      </c>
      <c r="J570" s="125"/>
      <c r="K570" s="125"/>
      <c r="L570" s="26" t="str">
        <f>IF('REGISTER SK'!D573="","",'REGISTER SK'!D573)</f>
        <v/>
      </c>
      <c r="M570" s="26" t="str">
        <f>IF('REGISTER SK'!E573="","",'REGISTER SK'!E573)</f>
        <v/>
      </c>
      <c r="N570" s="31" t="str">
        <f>IF(G570="","",IF(OR(G570="GTT",G570="PTT"),"--",VLOOKUP(F570,'Data Induk Pegawai'!B:AE,4,FALSE)))</f>
        <v/>
      </c>
      <c r="O570" s="18" t="str">
        <f>IF(G570="","",VLOOKUP(F570,'Data Induk Pegawai'!B:AE,6,FALSE))</f>
        <v/>
      </c>
      <c r="P570" s="31" t="str">
        <f>IF(G570="","",VLOOKUP(F570,'Data Induk Pegawai'!B:AE,7,FALSE))</f>
        <v/>
      </c>
      <c r="Q570" s="30"/>
      <c r="R570" s="26" t="str">
        <f>IF(G570="","","Nomor "&amp;RIGHT(VLOOKUP(F570,'Data Induk Pegawai'!B:AE,12,FALSE),2)&amp;" Tahun "&amp;MID(VLOOKUP(F570,'Data Induk Pegawai'!B:AE,12,FALSE),5,4))</f>
        <v/>
      </c>
      <c r="S570" s="26" t="str">
        <f>IF(G570="","",VLOOKUP(F570,'Data Induk Pegawai'!B:AE,11,FALSE))</f>
        <v/>
      </c>
      <c r="T570" s="56"/>
      <c r="U570" s="18" t="str">
        <f t="shared" si="203"/>
        <v/>
      </c>
      <c r="V570" s="30"/>
      <c r="W570" s="18" t="str">
        <f t="shared" si="225"/>
        <v/>
      </c>
      <c r="Y570" t="str">
        <f t="shared" si="204"/>
        <v/>
      </c>
      <c r="Z570" t="str">
        <f t="shared" si="205"/>
        <v/>
      </c>
      <c r="AA570" t="str">
        <f t="shared" si="206"/>
        <v/>
      </c>
      <c r="AB570" t="str">
        <f>COUNTIFS(AC570:AC$596,AC570)&amp;AC570</f>
        <v>27</v>
      </c>
      <c r="AC570" t="str">
        <f t="shared" si="222"/>
        <v/>
      </c>
      <c r="AD570" t="str">
        <f>COUNTIFS(AC$2:AC570,AC570)&amp;AC570</f>
        <v>569</v>
      </c>
      <c r="AE570" t="str">
        <f t="shared" si="207"/>
        <v/>
      </c>
      <c r="AF570" t="str">
        <f t="shared" si="223"/>
        <v>..</v>
      </c>
      <c r="AG570" s="28" t="str">
        <f t="shared" si="226"/>
        <v/>
      </c>
      <c r="AH570" s="28" t="str">
        <f t="shared" si="208"/>
        <v/>
      </c>
      <c r="AI570" t="str">
        <f t="shared" si="209"/>
        <v/>
      </c>
      <c r="AJ570" t="str">
        <f t="shared" si="210"/>
        <v/>
      </c>
      <c r="AK570" t="str">
        <f t="shared" si="211"/>
        <v/>
      </c>
      <c r="AL570" t="str">
        <f t="shared" si="212"/>
        <v/>
      </c>
      <c r="AM570" t="str">
        <f t="shared" si="213"/>
        <v/>
      </c>
      <c r="AN570" t="str">
        <f t="shared" si="214"/>
        <v/>
      </c>
      <c r="AO570" t="str">
        <f t="shared" si="215"/>
        <v/>
      </c>
      <c r="AP570" t="str">
        <f t="shared" si="216"/>
        <v/>
      </c>
      <c r="AQ570" t="str">
        <f t="shared" si="217"/>
        <v/>
      </c>
      <c r="AR570" t="str">
        <f t="shared" si="218"/>
        <v/>
      </c>
      <c r="AS570" t="str">
        <f t="shared" si="219"/>
        <v/>
      </c>
      <c r="AT570" t="str">
        <f t="shared" si="220"/>
        <v/>
      </c>
      <c r="AU570" s="25" t="str">
        <f t="shared" si="224"/>
        <v/>
      </c>
      <c r="BA570">
        <f>'REGISTER SK'!F573</f>
        <v>0</v>
      </c>
    </row>
    <row r="571" spans="1:53" x14ac:dyDescent="0.35">
      <c r="A571" s="18">
        <v>570</v>
      </c>
      <c r="B571" s="18"/>
      <c r="C571" s="18" t="str">
        <f>IF(G571="","",IF(G571="Umum",G571,VLOOKUP(F571,'Data Induk Pegawai'!B:AE,4,FALSE)))</f>
        <v/>
      </c>
      <c r="D571" s="19" t="str">
        <f>IF('REGISTER SK'!A574="","",IF('REGISTER SK'!B574=0,D570,'REGISTER SK'!B574))</f>
        <v/>
      </c>
      <c r="E571" s="19" t="str">
        <f t="shared" si="221"/>
        <v/>
      </c>
      <c r="F571" s="29"/>
      <c r="G571" s="29"/>
      <c r="H571" s="31" t="str">
        <f>IF(F571="","",VLOOKUP(F571,'Data Induk Pegawai'!B:U,2,FALSE))</f>
        <v/>
      </c>
      <c r="I571" s="19" t="str">
        <f>IF('REGISTER SK'!C574="","",'REGISTER SK'!C574)</f>
        <v/>
      </c>
      <c r="J571" s="125"/>
      <c r="K571" s="125"/>
      <c r="L571" s="26" t="str">
        <f>IF('REGISTER SK'!D574="","",'REGISTER SK'!D574)</f>
        <v/>
      </c>
      <c r="M571" s="26" t="str">
        <f>IF('REGISTER SK'!E574="","",'REGISTER SK'!E574)</f>
        <v/>
      </c>
      <c r="N571" s="31" t="str">
        <f>IF(G571="","",IF(OR(G571="GTT",G571="PTT"),"--",VLOOKUP(F571,'Data Induk Pegawai'!B:AE,4,FALSE)))</f>
        <v/>
      </c>
      <c r="O571" s="18" t="str">
        <f>IF(G571="","",VLOOKUP(F571,'Data Induk Pegawai'!B:AE,6,FALSE))</f>
        <v/>
      </c>
      <c r="P571" s="31" t="str">
        <f>IF(G571="","",VLOOKUP(F571,'Data Induk Pegawai'!B:AE,7,FALSE))</f>
        <v/>
      </c>
      <c r="Q571" s="30"/>
      <c r="R571" s="26" t="str">
        <f>IF(G571="","","Nomor "&amp;RIGHT(VLOOKUP(F571,'Data Induk Pegawai'!B:AE,12,FALSE),2)&amp;" Tahun "&amp;MID(VLOOKUP(F571,'Data Induk Pegawai'!B:AE,12,FALSE),5,4))</f>
        <v/>
      </c>
      <c r="S571" s="26" t="str">
        <f>IF(G571="","",VLOOKUP(F571,'Data Induk Pegawai'!B:AE,11,FALSE))</f>
        <v/>
      </c>
      <c r="T571" s="56"/>
      <c r="U571" s="18" t="str">
        <f t="shared" si="203"/>
        <v/>
      </c>
      <c r="V571" s="30"/>
      <c r="W571" s="18" t="str">
        <f t="shared" si="225"/>
        <v/>
      </c>
      <c r="Y571" t="str">
        <f t="shared" si="204"/>
        <v/>
      </c>
      <c r="Z571" t="str">
        <f t="shared" si="205"/>
        <v/>
      </c>
      <c r="AA571" t="str">
        <f t="shared" si="206"/>
        <v/>
      </c>
      <c r="AB571" t="str">
        <f>COUNTIFS(AC571:AC$596,AC571)&amp;AC571</f>
        <v>26</v>
      </c>
      <c r="AC571" t="str">
        <f t="shared" si="222"/>
        <v/>
      </c>
      <c r="AD571" t="str">
        <f>COUNTIFS(AC$2:AC571,AC571)&amp;AC571</f>
        <v>570</v>
      </c>
      <c r="AE571" t="str">
        <f t="shared" si="207"/>
        <v/>
      </c>
      <c r="AF571" t="str">
        <f t="shared" si="223"/>
        <v>..</v>
      </c>
      <c r="AG571" s="28" t="str">
        <f t="shared" si="226"/>
        <v/>
      </c>
      <c r="AH571" s="28" t="str">
        <f t="shared" si="208"/>
        <v/>
      </c>
      <c r="AI571" t="str">
        <f t="shared" si="209"/>
        <v/>
      </c>
      <c r="AJ571" t="str">
        <f t="shared" si="210"/>
        <v/>
      </c>
      <c r="AK571" t="str">
        <f t="shared" si="211"/>
        <v/>
      </c>
      <c r="AL571" t="str">
        <f t="shared" si="212"/>
        <v/>
      </c>
      <c r="AM571" t="str">
        <f t="shared" si="213"/>
        <v/>
      </c>
      <c r="AN571" t="str">
        <f t="shared" si="214"/>
        <v/>
      </c>
      <c r="AO571" t="str">
        <f t="shared" si="215"/>
        <v/>
      </c>
      <c r="AP571" t="str">
        <f t="shared" si="216"/>
        <v/>
      </c>
      <c r="AQ571" t="str">
        <f t="shared" si="217"/>
        <v/>
      </c>
      <c r="AR571" t="str">
        <f t="shared" si="218"/>
        <v/>
      </c>
      <c r="AS571" t="str">
        <f t="shared" si="219"/>
        <v/>
      </c>
      <c r="AT571" t="str">
        <f t="shared" si="220"/>
        <v/>
      </c>
      <c r="AU571" s="25" t="str">
        <f t="shared" si="224"/>
        <v/>
      </c>
      <c r="BA571">
        <f>'REGISTER SK'!F574</f>
        <v>0</v>
      </c>
    </row>
    <row r="572" spans="1:53" x14ac:dyDescent="0.35">
      <c r="A572" s="18">
        <v>571</v>
      </c>
      <c r="B572" s="18"/>
      <c r="C572" s="18" t="str">
        <f>IF(G572="","",IF(G572="Umum",G572,VLOOKUP(F572,'Data Induk Pegawai'!B:AE,4,FALSE)))</f>
        <v/>
      </c>
      <c r="D572" s="19" t="str">
        <f>IF('REGISTER SK'!A575="","",IF('REGISTER SK'!B575=0,D571,'REGISTER SK'!B575))</f>
        <v/>
      </c>
      <c r="E572" s="19" t="str">
        <f t="shared" si="221"/>
        <v/>
      </c>
      <c r="F572" s="29"/>
      <c r="G572" s="29"/>
      <c r="H572" s="31" t="str">
        <f>IF(F572="","",VLOOKUP(F572,'Data Induk Pegawai'!B:U,2,FALSE))</f>
        <v/>
      </c>
      <c r="I572" s="19" t="str">
        <f>IF('REGISTER SK'!C575="","",'REGISTER SK'!C575)</f>
        <v/>
      </c>
      <c r="J572" s="125"/>
      <c r="K572" s="125"/>
      <c r="L572" s="26" t="str">
        <f>IF('REGISTER SK'!D575="","",'REGISTER SK'!D575)</f>
        <v/>
      </c>
      <c r="M572" s="26" t="str">
        <f>IF('REGISTER SK'!E575="","",'REGISTER SK'!E575)</f>
        <v/>
      </c>
      <c r="N572" s="31" t="str">
        <f>IF(G572="","",IF(OR(G572="GTT",G572="PTT"),"--",VLOOKUP(F572,'Data Induk Pegawai'!B:AE,4,FALSE)))</f>
        <v/>
      </c>
      <c r="O572" s="18" t="str">
        <f>IF(G572="","",VLOOKUP(F572,'Data Induk Pegawai'!B:AE,6,FALSE))</f>
        <v/>
      </c>
      <c r="P572" s="31" t="str">
        <f>IF(G572="","",VLOOKUP(F572,'Data Induk Pegawai'!B:AE,7,FALSE))</f>
        <v/>
      </c>
      <c r="Q572" s="30"/>
      <c r="R572" s="26" t="str">
        <f>IF(G572="","","Nomor "&amp;RIGHT(VLOOKUP(F572,'Data Induk Pegawai'!B:AE,12,FALSE),2)&amp;" Tahun "&amp;MID(VLOOKUP(F572,'Data Induk Pegawai'!B:AE,12,FALSE),5,4))</f>
        <v/>
      </c>
      <c r="S572" s="26" t="str">
        <f>IF(G572="","",VLOOKUP(F572,'Data Induk Pegawai'!B:AE,11,FALSE))</f>
        <v/>
      </c>
      <c r="T572" s="56"/>
      <c r="U572" s="18" t="str">
        <f t="shared" si="203"/>
        <v/>
      </c>
      <c r="V572" s="30"/>
      <c r="W572" s="18" t="str">
        <f t="shared" si="225"/>
        <v/>
      </c>
      <c r="Y572" t="str">
        <f t="shared" si="204"/>
        <v/>
      </c>
      <c r="Z572" t="str">
        <f t="shared" si="205"/>
        <v/>
      </c>
      <c r="AA572" t="str">
        <f t="shared" si="206"/>
        <v/>
      </c>
      <c r="AB572" t="str">
        <f>COUNTIFS(AC572:AC$596,AC572)&amp;AC572</f>
        <v>25</v>
      </c>
      <c r="AC572" t="str">
        <f t="shared" si="222"/>
        <v/>
      </c>
      <c r="AD572" t="str">
        <f>COUNTIFS(AC$2:AC572,AC572)&amp;AC572</f>
        <v>571</v>
      </c>
      <c r="AE572" t="str">
        <f t="shared" si="207"/>
        <v/>
      </c>
      <c r="AF572" t="str">
        <f t="shared" si="223"/>
        <v>..</v>
      </c>
      <c r="AG572" s="28" t="str">
        <f t="shared" si="226"/>
        <v/>
      </c>
      <c r="AH572" s="28" t="str">
        <f t="shared" si="208"/>
        <v/>
      </c>
      <c r="AI572" t="str">
        <f t="shared" si="209"/>
        <v/>
      </c>
      <c r="AJ572" t="str">
        <f t="shared" si="210"/>
        <v/>
      </c>
      <c r="AK572" t="str">
        <f t="shared" si="211"/>
        <v/>
      </c>
      <c r="AL572" t="str">
        <f t="shared" si="212"/>
        <v/>
      </c>
      <c r="AM572" t="str">
        <f t="shared" si="213"/>
        <v/>
      </c>
      <c r="AN572" t="str">
        <f t="shared" si="214"/>
        <v/>
      </c>
      <c r="AO572" t="str">
        <f t="shared" si="215"/>
        <v/>
      </c>
      <c r="AP572" t="str">
        <f t="shared" si="216"/>
        <v/>
      </c>
      <c r="AQ572" t="str">
        <f t="shared" si="217"/>
        <v/>
      </c>
      <c r="AR572" t="str">
        <f t="shared" si="218"/>
        <v/>
      </c>
      <c r="AS572" t="str">
        <f t="shared" si="219"/>
        <v/>
      </c>
      <c r="AT572" t="str">
        <f t="shared" si="220"/>
        <v/>
      </c>
      <c r="AU572" s="25" t="str">
        <f t="shared" si="224"/>
        <v/>
      </c>
      <c r="BA572">
        <f>'REGISTER SK'!F575</f>
        <v>0</v>
      </c>
    </row>
    <row r="573" spans="1:53" x14ac:dyDescent="0.35">
      <c r="A573" s="18">
        <v>572</v>
      </c>
      <c r="B573" s="18"/>
      <c r="C573" s="18" t="str">
        <f>IF(G573="","",IF(G573="Umum",G573,VLOOKUP(F573,'Data Induk Pegawai'!B:AE,4,FALSE)))</f>
        <v/>
      </c>
      <c r="D573" s="19" t="str">
        <f>IF('REGISTER SK'!A576="","",IF('REGISTER SK'!B576=0,D572,'REGISTER SK'!B576))</f>
        <v/>
      </c>
      <c r="E573" s="19" t="str">
        <f t="shared" si="221"/>
        <v/>
      </c>
      <c r="F573" s="29"/>
      <c r="G573" s="29"/>
      <c r="H573" s="31" t="str">
        <f>IF(F573="","",VLOOKUP(F573,'Data Induk Pegawai'!B:U,2,FALSE))</f>
        <v/>
      </c>
      <c r="I573" s="19" t="str">
        <f>IF('REGISTER SK'!C576="","",'REGISTER SK'!C576)</f>
        <v/>
      </c>
      <c r="J573" s="125"/>
      <c r="K573" s="125"/>
      <c r="L573" s="26" t="str">
        <f>IF('REGISTER SK'!D576="","",'REGISTER SK'!D576)</f>
        <v/>
      </c>
      <c r="M573" s="26" t="str">
        <f>IF('REGISTER SK'!E576="","",'REGISTER SK'!E576)</f>
        <v/>
      </c>
      <c r="N573" s="31" t="str">
        <f>IF(G573="","",IF(OR(G573="GTT",G573="PTT"),"--",VLOOKUP(F573,'Data Induk Pegawai'!B:AE,4,FALSE)))</f>
        <v/>
      </c>
      <c r="O573" s="18" t="str">
        <f>IF(G573="","",VLOOKUP(F573,'Data Induk Pegawai'!B:AE,6,FALSE))</f>
        <v/>
      </c>
      <c r="P573" s="31" t="str">
        <f>IF(G573="","",VLOOKUP(F573,'Data Induk Pegawai'!B:AE,7,FALSE))</f>
        <v/>
      </c>
      <c r="Q573" s="30"/>
      <c r="R573" s="26" t="str">
        <f>IF(G573="","","Nomor "&amp;RIGHT(VLOOKUP(F573,'Data Induk Pegawai'!B:AE,12,FALSE),2)&amp;" Tahun "&amp;MID(VLOOKUP(F573,'Data Induk Pegawai'!B:AE,12,FALSE),5,4))</f>
        <v/>
      </c>
      <c r="S573" s="26" t="str">
        <f>IF(G573="","",VLOOKUP(F573,'Data Induk Pegawai'!B:AE,11,FALSE))</f>
        <v/>
      </c>
      <c r="T573" s="56"/>
      <c r="U573" s="18" t="str">
        <f t="shared" si="203"/>
        <v/>
      </c>
      <c r="V573" s="30"/>
      <c r="W573" s="18" t="str">
        <f t="shared" si="225"/>
        <v/>
      </c>
      <c r="Y573" t="str">
        <f t="shared" si="204"/>
        <v/>
      </c>
      <c r="Z573" t="str">
        <f t="shared" si="205"/>
        <v/>
      </c>
      <c r="AA573" t="str">
        <f t="shared" si="206"/>
        <v/>
      </c>
      <c r="AB573" t="str">
        <f>COUNTIFS(AC573:AC$596,AC573)&amp;AC573</f>
        <v>24</v>
      </c>
      <c r="AC573" t="str">
        <f t="shared" si="222"/>
        <v/>
      </c>
      <c r="AD573" t="str">
        <f>COUNTIFS(AC$2:AC573,AC573)&amp;AC573</f>
        <v>572</v>
      </c>
      <c r="AE573" t="str">
        <f t="shared" si="207"/>
        <v/>
      </c>
      <c r="AF573" t="str">
        <f t="shared" si="223"/>
        <v>..</v>
      </c>
      <c r="AG573" s="28" t="str">
        <f t="shared" si="226"/>
        <v/>
      </c>
      <c r="AH573" s="28" t="str">
        <f t="shared" si="208"/>
        <v/>
      </c>
      <c r="AI573" t="str">
        <f t="shared" si="209"/>
        <v/>
      </c>
      <c r="AJ573" t="str">
        <f t="shared" si="210"/>
        <v/>
      </c>
      <c r="AK573" t="str">
        <f t="shared" si="211"/>
        <v/>
      </c>
      <c r="AL573" t="str">
        <f t="shared" si="212"/>
        <v/>
      </c>
      <c r="AM573" t="str">
        <f t="shared" si="213"/>
        <v/>
      </c>
      <c r="AN573" t="str">
        <f t="shared" si="214"/>
        <v/>
      </c>
      <c r="AO573" t="str">
        <f t="shared" si="215"/>
        <v/>
      </c>
      <c r="AP573" t="str">
        <f t="shared" si="216"/>
        <v/>
      </c>
      <c r="AQ573" t="str">
        <f t="shared" si="217"/>
        <v/>
      </c>
      <c r="AR573" t="str">
        <f t="shared" si="218"/>
        <v/>
      </c>
      <c r="AS573" t="str">
        <f t="shared" si="219"/>
        <v/>
      </c>
      <c r="AT573" t="str">
        <f t="shared" si="220"/>
        <v/>
      </c>
      <c r="AU573" s="25" t="str">
        <f t="shared" si="224"/>
        <v/>
      </c>
      <c r="BA573">
        <f>'REGISTER SK'!F576</f>
        <v>0</v>
      </c>
    </row>
    <row r="574" spans="1:53" x14ac:dyDescent="0.35">
      <c r="A574" s="18">
        <v>573</v>
      </c>
      <c r="B574" s="18"/>
      <c r="C574" s="18" t="str">
        <f>IF(G574="","",IF(G574="Umum",G574,VLOOKUP(F574,'Data Induk Pegawai'!B:AE,4,FALSE)))</f>
        <v/>
      </c>
      <c r="D574" s="19" t="str">
        <f>IF('REGISTER SK'!A577="","",IF('REGISTER SK'!B577=0,D573,'REGISTER SK'!B577))</f>
        <v/>
      </c>
      <c r="E574" s="19" t="str">
        <f t="shared" si="221"/>
        <v/>
      </c>
      <c r="F574" s="29"/>
      <c r="G574" s="29"/>
      <c r="H574" s="31" t="str">
        <f>IF(F574="","",VLOOKUP(F574,'Data Induk Pegawai'!B:U,2,FALSE))</f>
        <v/>
      </c>
      <c r="I574" s="19" t="str">
        <f>IF('REGISTER SK'!C577="","",'REGISTER SK'!C577)</f>
        <v/>
      </c>
      <c r="J574" s="125"/>
      <c r="K574" s="125"/>
      <c r="L574" s="26" t="str">
        <f>IF('REGISTER SK'!D577="","",'REGISTER SK'!D577)</f>
        <v/>
      </c>
      <c r="M574" s="26" t="str">
        <f>IF('REGISTER SK'!E577="","",'REGISTER SK'!E577)</f>
        <v/>
      </c>
      <c r="N574" s="31" t="str">
        <f>IF(G574="","",IF(OR(G574="GTT",G574="PTT"),"--",VLOOKUP(F574,'Data Induk Pegawai'!B:AE,4,FALSE)))</f>
        <v/>
      </c>
      <c r="O574" s="18" t="str">
        <f>IF(G574="","",VLOOKUP(F574,'Data Induk Pegawai'!B:AE,6,FALSE))</f>
        <v/>
      </c>
      <c r="P574" s="31" t="str">
        <f>IF(G574="","",VLOOKUP(F574,'Data Induk Pegawai'!B:AE,7,FALSE))</f>
        <v/>
      </c>
      <c r="Q574" s="30"/>
      <c r="R574" s="26" t="str">
        <f>IF(G574="","","Nomor "&amp;RIGHT(VLOOKUP(F574,'Data Induk Pegawai'!B:AE,12,FALSE),2)&amp;" Tahun "&amp;MID(VLOOKUP(F574,'Data Induk Pegawai'!B:AE,12,FALSE),5,4))</f>
        <v/>
      </c>
      <c r="S574" s="26" t="str">
        <f>IF(G574="","",VLOOKUP(F574,'Data Induk Pegawai'!B:AE,11,FALSE))</f>
        <v/>
      </c>
      <c r="T574" s="56"/>
      <c r="U574" s="18" t="str">
        <f t="shared" si="203"/>
        <v/>
      </c>
      <c r="V574" s="30"/>
      <c r="W574" s="18" t="str">
        <f t="shared" si="225"/>
        <v/>
      </c>
      <c r="Y574" t="str">
        <f t="shared" si="204"/>
        <v/>
      </c>
      <c r="Z574" t="str">
        <f t="shared" si="205"/>
        <v/>
      </c>
      <c r="AA574" t="str">
        <f t="shared" si="206"/>
        <v/>
      </c>
      <c r="AB574" t="str">
        <f>COUNTIFS(AC574:AC$596,AC574)&amp;AC574</f>
        <v>23</v>
      </c>
      <c r="AC574" t="str">
        <f t="shared" si="222"/>
        <v/>
      </c>
      <c r="AD574" t="str">
        <f>COUNTIFS(AC$2:AC574,AC574)&amp;AC574</f>
        <v>573</v>
      </c>
      <c r="AE574" t="str">
        <f t="shared" si="207"/>
        <v/>
      </c>
      <c r="AF574" t="str">
        <f t="shared" si="223"/>
        <v>..</v>
      </c>
      <c r="AG574" s="28" t="str">
        <f t="shared" si="226"/>
        <v/>
      </c>
      <c r="AH574" s="28" t="str">
        <f t="shared" si="208"/>
        <v/>
      </c>
      <c r="AI574" t="str">
        <f t="shared" si="209"/>
        <v/>
      </c>
      <c r="AJ574" t="str">
        <f t="shared" si="210"/>
        <v/>
      </c>
      <c r="AK574" t="str">
        <f t="shared" si="211"/>
        <v/>
      </c>
      <c r="AL574" t="str">
        <f t="shared" si="212"/>
        <v/>
      </c>
      <c r="AM574" t="str">
        <f t="shared" si="213"/>
        <v/>
      </c>
      <c r="AN574" t="str">
        <f t="shared" si="214"/>
        <v/>
      </c>
      <c r="AO574" t="str">
        <f t="shared" si="215"/>
        <v/>
      </c>
      <c r="AP574" t="str">
        <f t="shared" si="216"/>
        <v/>
      </c>
      <c r="AQ574" t="str">
        <f t="shared" si="217"/>
        <v/>
      </c>
      <c r="AR574" t="str">
        <f t="shared" si="218"/>
        <v/>
      </c>
      <c r="AS574" t="str">
        <f t="shared" si="219"/>
        <v/>
      </c>
      <c r="AT574" t="str">
        <f t="shared" si="220"/>
        <v/>
      </c>
      <c r="AU574" s="25" t="str">
        <f t="shared" si="224"/>
        <v/>
      </c>
      <c r="BA574">
        <f>'REGISTER SK'!F577</f>
        <v>0</v>
      </c>
    </row>
    <row r="575" spans="1:53" x14ac:dyDescent="0.35">
      <c r="A575" s="18">
        <v>574</v>
      </c>
      <c r="B575" s="18"/>
      <c r="C575" s="18" t="str">
        <f>IF(G575="","",IF(G575="Umum",G575,VLOOKUP(F575,'Data Induk Pegawai'!B:AE,4,FALSE)))</f>
        <v/>
      </c>
      <c r="D575" s="19" t="str">
        <f>IF('REGISTER SK'!A578="","",IF('REGISTER SK'!B578=0,D574,'REGISTER SK'!B578))</f>
        <v/>
      </c>
      <c r="E575" s="19" t="str">
        <f t="shared" si="221"/>
        <v/>
      </c>
      <c r="F575" s="29"/>
      <c r="G575" s="29"/>
      <c r="H575" s="31" t="str">
        <f>IF(F575="","",VLOOKUP(F575,'Data Induk Pegawai'!B:U,2,FALSE))</f>
        <v/>
      </c>
      <c r="I575" s="19" t="str">
        <f>IF('REGISTER SK'!C578="","",'REGISTER SK'!C578)</f>
        <v/>
      </c>
      <c r="J575" s="125"/>
      <c r="K575" s="125"/>
      <c r="L575" s="26" t="str">
        <f>IF('REGISTER SK'!D578="","",'REGISTER SK'!D578)</f>
        <v/>
      </c>
      <c r="M575" s="26" t="str">
        <f>IF('REGISTER SK'!E578="","",'REGISTER SK'!E578)</f>
        <v/>
      </c>
      <c r="N575" s="31" t="str">
        <f>IF(G575="","",IF(OR(G575="GTT",G575="PTT"),"--",VLOOKUP(F575,'Data Induk Pegawai'!B:AE,4,FALSE)))</f>
        <v/>
      </c>
      <c r="O575" s="18" t="str">
        <f>IF(G575="","",VLOOKUP(F575,'Data Induk Pegawai'!B:AE,6,FALSE))</f>
        <v/>
      </c>
      <c r="P575" s="31" t="str">
        <f>IF(G575="","",VLOOKUP(F575,'Data Induk Pegawai'!B:AE,7,FALSE))</f>
        <v/>
      </c>
      <c r="Q575" s="30"/>
      <c r="R575" s="26" t="str">
        <f>IF(G575="","","Nomor "&amp;RIGHT(VLOOKUP(F575,'Data Induk Pegawai'!B:AE,12,FALSE),2)&amp;" Tahun "&amp;MID(VLOOKUP(F575,'Data Induk Pegawai'!B:AE,12,FALSE),5,4))</f>
        <v/>
      </c>
      <c r="S575" s="26" t="str">
        <f>IF(G575="","",VLOOKUP(F575,'Data Induk Pegawai'!B:AE,11,FALSE))</f>
        <v/>
      </c>
      <c r="T575" s="56"/>
      <c r="U575" s="18" t="str">
        <f t="shared" si="203"/>
        <v/>
      </c>
      <c r="V575" s="30"/>
      <c r="W575" s="18" t="str">
        <f t="shared" si="225"/>
        <v/>
      </c>
      <c r="Y575" t="str">
        <f t="shared" si="204"/>
        <v/>
      </c>
      <c r="Z575" t="str">
        <f t="shared" si="205"/>
        <v/>
      </c>
      <c r="AA575" t="str">
        <f t="shared" si="206"/>
        <v/>
      </c>
      <c r="AB575" t="str">
        <f>COUNTIFS(AC575:AC$596,AC575)&amp;AC575</f>
        <v>22</v>
      </c>
      <c r="AC575" t="str">
        <f t="shared" si="222"/>
        <v/>
      </c>
      <c r="AD575" t="str">
        <f>COUNTIFS(AC$2:AC575,AC575)&amp;AC575</f>
        <v>574</v>
      </c>
      <c r="AE575" t="str">
        <f t="shared" si="207"/>
        <v/>
      </c>
      <c r="AF575" t="str">
        <f t="shared" si="223"/>
        <v>..</v>
      </c>
      <c r="AG575" s="28" t="str">
        <f t="shared" si="226"/>
        <v/>
      </c>
      <c r="AH575" s="28" t="str">
        <f t="shared" si="208"/>
        <v/>
      </c>
      <c r="AI575" t="str">
        <f t="shared" si="209"/>
        <v/>
      </c>
      <c r="AJ575" t="str">
        <f t="shared" si="210"/>
        <v/>
      </c>
      <c r="AK575" t="str">
        <f t="shared" si="211"/>
        <v/>
      </c>
      <c r="AL575" t="str">
        <f t="shared" si="212"/>
        <v/>
      </c>
      <c r="AM575" t="str">
        <f t="shared" si="213"/>
        <v/>
      </c>
      <c r="AN575" t="str">
        <f t="shared" si="214"/>
        <v/>
      </c>
      <c r="AO575" t="str">
        <f t="shared" si="215"/>
        <v/>
      </c>
      <c r="AP575" t="str">
        <f t="shared" si="216"/>
        <v/>
      </c>
      <c r="AQ575" t="str">
        <f t="shared" si="217"/>
        <v/>
      </c>
      <c r="AR575" t="str">
        <f t="shared" si="218"/>
        <v/>
      </c>
      <c r="AS575" t="str">
        <f t="shared" si="219"/>
        <v/>
      </c>
      <c r="AT575" t="str">
        <f t="shared" si="220"/>
        <v/>
      </c>
      <c r="AU575" s="25" t="str">
        <f t="shared" si="224"/>
        <v/>
      </c>
      <c r="BA575">
        <f>'REGISTER SK'!F578</f>
        <v>0</v>
      </c>
    </row>
    <row r="576" spans="1:53" x14ac:dyDescent="0.35">
      <c r="A576" s="18">
        <v>575</v>
      </c>
      <c r="B576" s="18"/>
      <c r="C576" s="18" t="str">
        <f>IF(G576="","",IF(G576="Umum",G576,VLOOKUP(F576,'Data Induk Pegawai'!B:AE,4,FALSE)))</f>
        <v/>
      </c>
      <c r="D576" s="19" t="str">
        <f>IF('REGISTER SK'!A579="","",IF('REGISTER SK'!B579=0,D575,'REGISTER SK'!B579))</f>
        <v/>
      </c>
      <c r="E576" s="19" t="str">
        <f t="shared" si="221"/>
        <v/>
      </c>
      <c r="F576" s="29"/>
      <c r="G576" s="29"/>
      <c r="H576" s="31" t="str">
        <f>IF(F576="","",VLOOKUP(F576,'Data Induk Pegawai'!B:U,2,FALSE))</f>
        <v/>
      </c>
      <c r="I576" s="19" t="str">
        <f>IF('REGISTER SK'!C579="","",'REGISTER SK'!C579)</f>
        <v/>
      </c>
      <c r="J576" s="125"/>
      <c r="K576" s="125"/>
      <c r="L576" s="26" t="str">
        <f>IF('REGISTER SK'!D579="","",'REGISTER SK'!D579)</f>
        <v/>
      </c>
      <c r="M576" s="26" t="str">
        <f>IF('REGISTER SK'!E579="","",'REGISTER SK'!E579)</f>
        <v/>
      </c>
      <c r="N576" s="31" t="str">
        <f>IF(G576="","",IF(OR(G576="GTT",G576="PTT"),"--",VLOOKUP(F576,'Data Induk Pegawai'!B:AE,4,FALSE)))</f>
        <v/>
      </c>
      <c r="O576" s="18" t="str">
        <f>IF(G576="","",VLOOKUP(F576,'Data Induk Pegawai'!B:AE,6,FALSE))</f>
        <v/>
      </c>
      <c r="P576" s="31" t="str">
        <f>IF(G576="","",VLOOKUP(F576,'Data Induk Pegawai'!B:AE,7,FALSE))</f>
        <v/>
      </c>
      <c r="Q576" s="30"/>
      <c r="R576" s="26" t="str">
        <f>IF(G576="","","Nomor "&amp;RIGHT(VLOOKUP(F576,'Data Induk Pegawai'!B:AE,12,FALSE),2)&amp;" Tahun "&amp;MID(VLOOKUP(F576,'Data Induk Pegawai'!B:AE,12,FALSE),5,4))</f>
        <v/>
      </c>
      <c r="S576" s="26" t="str">
        <f>IF(G576="","",VLOOKUP(F576,'Data Induk Pegawai'!B:AE,11,FALSE))</f>
        <v/>
      </c>
      <c r="T576" s="56"/>
      <c r="U576" s="18" t="str">
        <f t="shared" si="203"/>
        <v/>
      </c>
      <c r="V576" s="30"/>
      <c r="W576" s="18" t="str">
        <f t="shared" si="225"/>
        <v/>
      </c>
      <c r="Y576" t="str">
        <f t="shared" si="204"/>
        <v/>
      </c>
      <c r="Z576" t="str">
        <f t="shared" si="205"/>
        <v/>
      </c>
      <c r="AA576" t="str">
        <f t="shared" si="206"/>
        <v/>
      </c>
      <c r="AB576" t="str">
        <f>COUNTIFS(AC576:AC$596,AC576)&amp;AC576</f>
        <v>21</v>
      </c>
      <c r="AC576" t="str">
        <f t="shared" si="222"/>
        <v/>
      </c>
      <c r="AD576" t="str">
        <f>COUNTIFS(AC$2:AC576,AC576)&amp;AC576</f>
        <v>575</v>
      </c>
      <c r="AE576" t="str">
        <f t="shared" si="207"/>
        <v/>
      </c>
      <c r="AF576" t="str">
        <f t="shared" si="223"/>
        <v>..</v>
      </c>
      <c r="AG576" s="28" t="str">
        <f t="shared" si="226"/>
        <v/>
      </c>
      <c r="AH576" s="28" t="str">
        <f t="shared" si="208"/>
        <v/>
      </c>
      <c r="AI576" t="str">
        <f t="shared" si="209"/>
        <v/>
      </c>
      <c r="AJ576" t="str">
        <f t="shared" si="210"/>
        <v/>
      </c>
      <c r="AK576" t="str">
        <f t="shared" si="211"/>
        <v/>
      </c>
      <c r="AL576" t="str">
        <f t="shared" si="212"/>
        <v/>
      </c>
      <c r="AM576" t="str">
        <f t="shared" si="213"/>
        <v/>
      </c>
      <c r="AN576" t="str">
        <f t="shared" si="214"/>
        <v/>
      </c>
      <c r="AO576" t="str">
        <f t="shared" si="215"/>
        <v/>
      </c>
      <c r="AP576" t="str">
        <f t="shared" si="216"/>
        <v/>
      </c>
      <c r="AQ576" t="str">
        <f t="shared" si="217"/>
        <v/>
      </c>
      <c r="AR576" t="str">
        <f t="shared" si="218"/>
        <v/>
      </c>
      <c r="AS576" t="str">
        <f t="shared" si="219"/>
        <v/>
      </c>
      <c r="AT576" t="str">
        <f t="shared" si="220"/>
        <v/>
      </c>
      <c r="AU576" s="25" t="str">
        <f t="shared" si="224"/>
        <v/>
      </c>
      <c r="BA576">
        <f>'REGISTER SK'!F579</f>
        <v>0</v>
      </c>
    </row>
    <row r="577" spans="1:53" x14ac:dyDescent="0.35">
      <c r="A577" s="18">
        <v>576</v>
      </c>
      <c r="B577" s="18"/>
      <c r="C577" s="18" t="str">
        <f>IF(G577="","",IF(G577="Umum",G577,VLOOKUP(F577,'Data Induk Pegawai'!B:AE,4,FALSE)))</f>
        <v/>
      </c>
      <c r="D577" s="19" t="str">
        <f>IF('REGISTER SK'!A580="","",IF('REGISTER SK'!B580=0,D576,'REGISTER SK'!B580))</f>
        <v/>
      </c>
      <c r="E577" s="19" t="str">
        <f t="shared" si="221"/>
        <v/>
      </c>
      <c r="F577" s="29"/>
      <c r="G577" s="29"/>
      <c r="H577" s="31" t="str">
        <f>IF(F577="","",VLOOKUP(F577,'Data Induk Pegawai'!B:U,2,FALSE))</f>
        <v/>
      </c>
      <c r="I577" s="19" t="str">
        <f>IF('REGISTER SK'!C580="","",'REGISTER SK'!C580)</f>
        <v/>
      </c>
      <c r="J577" s="125"/>
      <c r="K577" s="125"/>
      <c r="L577" s="26" t="str">
        <f>IF('REGISTER SK'!D580="","",'REGISTER SK'!D580)</f>
        <v/>
      </c>
      <c r="M577" s="26" t="str">
        <f>IF('REGISTER SK'!E580="","",'REGISTER SK'!E580)</f>
        <v/>
      </c>
      <c r="N577" s="31" t="str">
        <f>IF(G577="","",IF(OR(G577="GTT",G577="PTT"),"--",VLOOKUP(F577,'Data Induk Pegawai'!B:AE,4,FALSE)))</f>
        <v/>
      </c>
      <c r="O577" s="18" t="str">
        <f>IF(G577="","",VLOOKUP(F577,'Data Induk Pegawai'!B:AE,6,FALSE))</f>
        <v/>
      </c>
      <c r="P577" s="31" t="str">
        <f>IF(G577="","",VLOOKUP(F577,'Data Induk Pegawai'!B:AE,7,FALSE))</f>
        <v/>
      </c>
      <c r="Q577" s="30"/>
      <c r="R577" s="26" t="str">
        <f>IF(G577="","","Nomor "&amp;RIGHT(VLOOKUP(F577,'Data Induk Pegawai'!B:AE,12,FALSE),2)&amp;" Tahun "&amp;MID(VLOOKUP(F577,'Data Induk Pegawai'!B:AE,12,FALSE),5,4))</f>
        <v/>
      </c>
      <c r="S577" s="26" t="str">
        <f>IF(G577="","",VLOOKUP(F577,'Data Induk Pegawai'!B:AE,11,FALSE))</f>
        <v/>
      </c>
      <c r="T577" s="56"/>
      <c r="U577" s="18" t="str">
        <f t="shared" si="203"/>
        <v/>
      </c>
      <c r="V577" s="30"/>
      <c r="W577" s="18" t="str">
        <f t="shared" si="225"/>
        <v/>
      </c>
      <c r="Y577" t="str">
        <f t="shared" si="204"/>
        <v/>
      </c>
      <c r="Z577" t="str">
        <f t="shared" si="205"/>
        <v/>
      </c>
      <c r="AA577" t="str">
        <f t="shared" si="206"/>
        <v/>
      </c>
      <c r="AB577" t="str">
        <f>COUNTIFS(AC577:AC$596,AC577)&amp;AC577</f>
        <v>20</v>
      </c>
      <c r="AC577" t="str">
        <f t="shared" si="222"/>
        <v/>
      </c>
      <c r="AD577" t="str">
        <f>COUNTIFS(AC$2:AC577,AC577)&amp;AC577</f>
        <v>576</v>
      </c>
      <c r="AE577" t="str">
        <f t="shared" si="207"/>
        <v/>
      </c>
      <c r="AF577" t="str">
        <f t="shared" si="223"/>
        <v>..</v>
      </c>
      <c r="AG577" s="28" t="str">
        <f t="shared" si="226"/>
        <v/>
      </c>
      <c r="AH577" s="28" t="str">
        <f t="shared" si="208"/>
        <v/>
      </c>
      <c r="AI577" t="str">
        <f t="shared" si="209"/>
        <v/>
      </c>
      <c r="AJ577" t="str">
        <f t="shared" si="210"/>
        <v/>
      </c>
      <c r="AK577" t="str">
        <f t="shared" si="211"/>
        <v/>
      </c>
      <c r="AL577" t="str">
        <f t="shared" si="212"/>
        <v/>
      </c>
      <c r="AM577" t="str">
        <f t="shared" si="213"/>
        <v/>
      </c>
      <c r="AN577" t="str">
        <f t="shared" si="214"/>
        <v/>
      </c>
      <c r="AO577" t="str">
        <f t="shared" si="215"/>
        <v/>
      </c>
      <c r="AP577" t="str">
        <f t="shared" si="216"/>
        <v/>
      </c>
      <c r="AQ577" t="str">
        <f t="shared" si="217"/>
        <v/>
      </c>
      <c r="AR577" t="str">
        <f t="shared" si="218"/>
        <v/>
      </c>
      <c r="AS577" t="str">
        <f t="shared" si="219"/>
        <v/>
      </c>
      <c r="AT577" t="str">
        <f t="shared" si="220"/>
        <v/>
      </c>
      <c r="AU577" s="25" t="str">
        <f t="shared" si="224"/>
        <v/>
      </c>
      <c r="BA577">
        <f>'REGISTER SK'!F580</f>
        <v>0</v>
      </c>
    </row>
    <row r="578" spans="1:53" x14ac:dyDescent="0.35">
      <c r="A578" s="18">
        <v>577</v>
      </c>
      <c r="B578" s="18"/>
      <c r="C578" s="18" t="str">
        <f>IF(G578="","",IF(G578="Umum",G578,VLOOKUP(F578,'Data Induk Pegawai'!B:AE,4,FALSE)))</f>
        <v/>
      </c>
      <c r="D578" s="19" t="str">
        <f>IF('REGISTER SK'!A581="","",IF('REGISTER SK'!B581=0,D577,'REGISTER SK'!B581))</f>
        <v/>
      </c>
      <c r="E578" s="19" t="str">
        <f t="shared" si="221"/>
        <v/>
      </c>
      <c r="F578" s="29"/>
      <c r="G578" s="29"/>
      <c r="H578" s="31" t="str">
        <f>IF(F578="","",VLOOKUP(F578,'Data Induk Pegawai'!B:U,2,FALSE))</f>
        <v/>
      </c>
      <c r="I578" s="19" t="str">
        <f>IF('REGISTER SK'!C581="","",'REGISTER SK'!C581)</f>
        <v/>
      </c>
      <c r="J578" s="125"/>
      <c r="K578" s="125"/>
      <c r="L578" s="26" t="str">
        <f>IF('REGISTER SK'!D581="","",'REGISTER SK'!D581)</f>
        <v/>
      </c>
      <c r="M578" s="26" t="str">
        <f>IF('REGISTER SK'!E581="","",'REGISTER SK'!E581)</f>
        <v/>
      </c>
      <c r="N578" s="31" t="str">
        <f>IF(G578="","",IF(OR(G578="GTT",G578="PTT"),"--",VLOOKUP(F578,'Data Induk Pegawai'!B:AE,4,FALSE)))</f>
        <v/>
      </c>
      <c r="O578" s="18" t="str">
        <f>IF(G578="","",VLOOKUP(F578,'Data Induk Pegawai'!B:AE,6,FALSE))</f>
        <v/>
      </c>
      <c r="P578" s="31" t="str">
        <f>IF(G578="","",VLOOKUP(F578,'Data Induk Pegawai'!B:AE,7,FALSE))</f>
        <v/>
      </c>
      <c r="Q578" s="30"/>
      <c r="R578" s="26" t="str">
        <f>IF(G578="","","Nomor "&amp;RIGHT(VLOOKUP(F578,'Data Induk Pegawai'!B:AE,12,FALSE),2)&amp;" Tahun "&amp;MID(VLOOKUP(F578,'Data Induk Pegawai'!B:AE,12,FALSE),5,4))</f>
        <v/>
      </c>
      <c r="S578" s="26" t="str">
        <f>IF(G578="","",VLOOKUP(F578,'Data Induk Pegawai'!B:AE,11,FALSE))</f>
        <v/>
      </c>
      <c r="T578" s="56"/>
      <c r="U578" s="18" t="str">
        <f t="shared" ref="U578:U596" si="227">IF(Y578="","",IF(Z578&lt;1,AA578&amp;" Bulan",IF(AND(Z578&gt;0,AA578=0),Z578&amp;" Tahun",Z578&amp;" Tahun "&amp;AA578&amp;" Bulan")))</f>
        <v/>
      </c>
      <c r="V578" s="30"/>
      <c r="W578" s="18" t="str">
        <f t="shared" si="225"/>
        <v/>
      </c>
      <c r="Y578" t="str">
        <f t="shared" ref="Y578:Y596" si="228">IFERROR(IF(S578="","",DATEDIF(S578,M578,"M")),"?")</f>
        <v/>
      </c>
      <c r="Z578" t="str">
        <f t="shared" ref="Z578:Z596" si="229">IFERROR(IF(Y578="","",ROUNDDOWN(Y578/12,0)),"-")</f>
        <v/>
      </c>
      <c r="AA578" t="str">
        <f t="shared" ref="AA578:AA596" si="230">IFERROR(IF(Y578="","",Y578-Z578*12),"-")</f>
        <v/>
      </c>
      <c r="AB578" t="str">
        <f>COUNTIFS(AC578:AC$596,AC578)&amp;AC578</f>
        <v>19</v>
      </c>
      <c r="AC578" t="str">
        <f t="shared" si="222"/>
        <v/>
      </c>
      <c r="AD578" t="str">
        <f>COUNTIFS(AC$2:AC578,AC578)&amp;AC578</f>
        <v>577</v>
      </c>
      <c r="AE578" t="str">
        <f t="shared" ref="AE578:AE596" si="231">IF(LEFT(V578,16)="SK Pemberhentian",E578&amp;"OUT"&amp;F578,E578&amp;G578&amp;F578)</f>
        <v/>
      </c>
      <c r="AF578" t="str">
        <f t="shared" si="223"/>
        <v>..</v>
      </c>
      <c r="AG578" s="28" t="str">
        <f t="shared" si="226"/>
        <v/>
      </c>
      <c r="AH578" s="28" t="str">
        <f t="shared" ref="AH578:AH596" si="232">M578</f>
        <v/>
      </c>
      <c r="AI578" t="str">
        <f t="shared" ref="AI578:AI596" si="233">IF(AG578="","",AJ578&amp;" "&amp;VLOOKUP(AK578,AX:AY,2,FALSE)&amp;" "&amp;AL578)</f>
        <v/>
      </c>
      <c r="AJ578" t="str">
        <f t="shared" ref="AJ578:AJ596" si="234">TEXT(AG578,"D")</f>
        <v/>
      </c>
      <c r="AK578" t="str">
        <f t="shared" ref="AK578:AK596" si="235">TEXT(AG578,"MMMM")</f>
        <v/>
      </c>
      <c r="AL578" t="str">
        <f t="shared" ref="AL578:AL596" si="236">TEXT(AG578,"YYYY")</f>
        <v/>
      </c>
      <c r="AM578" t="str">
        <f t="shared" ref="AM578:AM596" si="237">IF(AI578="","",AN578&amp;" "&amp;VLOOKUP(AO578,AX:AY,2,FALSE)&amp;" "&amp;AP578)</f>
        <v/>
      </c>
      <c r="AN578" t="str">
        <f t="shared" ref="AN578:AN596" si="238">TEXT(S578,"D")</f>
        <v/>
      </c>
      <c r="AO578" t="str">
        <f t="shared" ref="AO578:AO596" si="239">TEXT(S578,"MMMM")</f>
        <v/>
      </c>
      <c r="AP578" t="str">
        <f t="shared" ref="AP578:AP596" si="240">TEXT(S578,"YYYY")</f>
        <v/>
      </c>
      <c r="AQ578" t="str">
        <f t="shared" ref="AQ578:AQ596" si="241">IF(AM578="","",AR578&amp;" "&amp;VLOOKUP(AS578,AX:AY,2,FALSE)&amp;" "&amp;AT578)</f>
        <v/>
      </c>
      <c r="AR578" t="str">
        <f t="shared" ref="AR578:AR596" si="242">TEXT(M578,"D")</f>
        <v/>
      </c>
      <c r="AS578" t="str">
        <f t="shared" ref="AS578:AS596" si="243">TEXT(M578,"MMMM")</f>
        <v/>
      </c>
      <c r="AT578" t="str">
        <f t="shared" ref="AT578:AT596" si="244">TEXT(M578,"YYYY")</f>
        <v/>
      </c>
      <c r="AU578" s="25" t="str">
        <f t="shared" si="224"/>
        <v/>
      </c>
      <c r="BA578">
        <f>'REGISTER SK'!F581</f>
        <v>0</v>
      </c>
    </row>
    <row r="579" spans="1:53" x14ac:dyDescent="0.35">
      <c r="A579" s="18">
        <v>578</v>
      </c>
      <c r="B579" s="18"/>
      <c r="C579" s="18" t="str">
        <f>IF(G579="","",IF(G579="Umum",G579,VLOOKUP(F579,'Data Induk Pegawai'!B:AE,4,FALSE)))</f>
        <v/>
      </c>
      <c r="D579" s="19" t="str">
        <f>IF('REGISTER SK'!A582="","",IF('REGISTER SK'!B582=0,D578,'REGISTER SK'!B582))</f>
        <v/>
      </c>
      <c r="E579" s="19" t="str">
        <f t="shared" ref="E579:E595" si="245">IF(D579="","",D579&amp;"/"&amp;D579+1)</f>
        <v/>
      </c>
      <c r="F579" s="29"/>
      <c r="G579" s="29"/>
      <c r="H579" s="31" t="str">
        <f>IF(F579="","",VLOOKUP(F579,'Data Induk Pegawai'!B:U,2,FALSE))</f>
        <v/>
      </c>
      <c r="I579" s="19" t="str">
        <f>IF('REGISTER SK'!C582="","",'REGISTER SK'!C582)</f>
        <v/>
      </c>
      <c r="J579" s="125"/>
      <c r="K579" s="125"/>
      <c r="L579" s="26" t="str">
        <f>IF('REGISTER SK'!D582="","",'REGISTER SK'!D582)</f>
        <v/>
      </c>
      <c r="M579" s="26" t="str">
        <f>IF('REGISTER SK'!E582="","",'REGISTER SK'!E582)</f>
        <v/>
      </c>
      <c r="N579" s="31" t="str">
        <f>IF(G579="","",IF(OR(G579="GTT",G579="PTT"),"--",VLOOKUP(F579,'Data Induk Pegawai'!B:AE,4,FALSE)))</f>
        <v/>
      </c>
      <c r="O579" s="18" t="str">
        <f>IF(G579="","",VLOOKUP(F579,'Data Induk Pegawai'!B:AE,6,FALSE))</f>
        <v/>
      </c>
      <c r="P579" s="31" t="str">
        <f>IF(G579="","",VLOOKUP(F579,'Data Induk Pegawai'!B:AE,7,FALSE))</f>
        <v/>
      </c>
      <c r="Q579" s="30"/>
      <c r="R579" s="26" t="str">
        <f>IF(G579="","","Nomor "&amp;RIGHT(VLOOKUP(F579,'Data Induk Pegawai'!B:AE,12,FALSE),2)&amp;" Tahun "&amp;MID(VLOOKUP(F579,'Data Induk Pegawai'!B:AE,12,FALSE),5,4))</f>
        <v/>
      </c>
      <c r="S579" s="26" t="str">
        <f>IF(G579="","",VLOOKUP(F579,'Data Induk Pegawai'!B:AE,11,FALSE))</f>
        <v/>
      </c>
      <c r="T579" s="56"/>
      <c r="U579" s="18" t="str">
        <f t="shared" si="227"/>
        <v/>
      </c>
      <c r="V579" s="30"/>
      <c r="W579" s="18" t="str">
        <f t="shared" si="225"/>
        <v/>
      </c>
      <c r="Y579" t="str">
        <f t="shared" si="228"/>
        <v/>
      </c>
      <c r="Z579" t="str">
        <f t="shared" si="229"/>
        <v/>
      </c>
      <c r="AA579" t="str">
        <f t="shared" si="230"/>
        <v/>
      </c>
      <c r="AB579" t="str">
        <f>COUNTIFS(AC579:AC$596,AC579)&amp;AC579</f>
        <v>18</v>
      </c>
      <c r="AC579" t="str">
        <f t="shared" ref="AC579:AC596" si="246">IF(LEFT(V579,16)="SK Pemberhentian","OUT"&amp;F579,IF(RIGHT(G579,2)="TT","GPTT",IF(RIGHT(G579,2)="TY","GPTY",G579))&amp;F579)</f>
        <v/>
      </c>
      <c r="AD579" t="str">
        <f>COUNTIFS(AC$2:AC579,AC579)&amp;AC579</f>
        <v>578</v>
      </c>
      <c r="AE579" t="str">
        <f t="shared" si="231"/>
        <v/>
      </c>
      <c r="AF579" t="str">
        <f t="shared" ref="AF579:AF596" si="247">G579&amp;"."&amp;D579&amp;"."&amp;I579</f>
        <v>..</v>
      </c>
      <c r="AG579" s="28" t="str">
        <f t="shared" si="226"/>
        <v/>
      </c>
      <c r="AH579" s="28" t="str">
        <f t="shared" si="232"/>
        <v/>
      </c>
      <c r="AI579" t="str">
        <f t="shared" si="233"/>
        <v/>
      </c>
      <c r="AJ579" t="str">
        <f t="shared" si="234"/>
        <v/>
      </c>
      <c r="AK579" t="str">
        <f t="shared" si="235"/>
        <v/>
      </c>
      <c r="AL579" t="str">
        <f t="shared" si="236"/>
        <v/>
      </c>
      <c r="AM579" t="str">
        <f t="shared" si="237"/>
        <v/>
      </c>
      <c r="AN579" t="str">
        <f t="shared" si="238"/>
        <v/>
      </c>
      <c r="AO579" t="str">
        <f t="shared" si="239"/>
        <v/>
      </c>
      <c r="AP579" t="str">
        <f t="shared" si="240"/>
        <v/>
      </c>
      <c r="AQ579" t="str">
        <f t="shared" si="241"/>
        <v/>
      </c>
      <c r="AR579" t="str">
        <f t="shared" si="242"/>
        <v/>
      </c>
      <c r="AS579" t="str">
        <f t="shared" si="243"/>
        <v/>
      </c>
      <c r="AT579" t="str">
        <f t="shared" si="244"/>
        <v/>
      </c>
      <c r="AU579" s="25" t="str">
        <f t="shared" ref="AU579:AU596" si="248">IF(OR(G579="Umum",G579=""),"",VLOOKUP(VALUE(TEXT(M579,"M")-1),AW:AY,3,FALSE))</f>
        <v/>
      </c>
      <c r="BA579">
        <f>'REGISTER SK'!F582</f>
        <v>0</v>
      </c>
    </row>
    <row r="580" spans="1:53" x14ac:dyDescent="0.35">
      <c r="A580" s="18">
        <v>579</v>
      </c>
      <c r="B580" s="18"/>
      <c r="C580" s="18" t="str">
        <f>IF(G580="","",IF(G580="Umum",G580,VLOOKUP(F580,'Data Induk Pegawai'!B:AE,4,FALSE)))</f>
        <v/>
      </c>
      <c r="D580" s="19" t="str">
        <f>IF('REGISTER SK'!A583="","",IF('REGISTER SK'!B583=0,D579,'REGISTER SK'!B583))</f>
        <v/>
      </c>
      <c r="E580" s="19" t="str">
        <f t="shared" si="245"/>
        <v/>
      </c>
      <c r="F580" s="29"/>
      <c r="G580" s="29"/>
      <c r="H580" s="31" t="str">
        <f>IF(F580="","",VLOOKUP(F580,'Data Induk Pegawai'!B:U,2,FALSE))</f>
        <v/>
      </c>
      <c r="I580" s="19" t="str">
        <f>IF('REGISTER SK'!C583="","",'REGISTER SK'!C583)</f>
        <v/>
      </c>
      <c r="J580" s="125"/>
      <c r="K580" s="125"/>
      <c r="L580" s="26" t="str">
        <f>IF('REGISTER SK'!D583="","",'REGISTER SK'!D583)</f>
        <v/>
      </c>
      <c r="M580" s="26" t="str">
        <f>IF('REGISTER SK'!E583="","",'REGISTER SK'!E583)</f>
        <v/>
      </c>
      <c r="N580" s="31" t="str">
        <f>IF(G580="","",IF(OR(G580="GTT",G580="PTT"),"--",VLOOKUP(F580,'Data Induk Pegawai'!B:AE,4,FALSE)))</f>
        <v/>
      </c>
      <c r="O580" s="18" t="str">
        <f>IF(G580="","",VLOOKUP(F580,'Data Induk Pegawai'!B:AE,6,FALSE))</f>
        <v/>
      </c>
      <c r="P580" s="31" t="str">
        <f>IF(G580="","",VLOOKUP(F580,'Data Induk Pegawai'!B:AE,7,FALSE))</f>
        <v/>
      </c>
      <c r="Q580" s="30"/>
      <c r="R580" s="26" t="str">
        <f>IF(G580="","","Nomor "&amp;RIGHT(VLOOKUP(F580,'Data Induk Pegawai'!B:AE,12,FALSE),2)&amp;" Tahun "&amp;MID(VLOOKUP(F580,'Data Induk Pegawai'!B:AE,12,FALSE),5,4))</f>
        <v/>
      </c>
      <c r="S580" s="26" t="str">
        <f>IF(G580="","",VLOOKUP(F580,'Data Induk Pegawai'!B:AE,11,FALSE))</f>
        <v/>
      </c>
      <c r="T580" s="56"/>
      <c r="U580" s="18" t="str">
        <f t="shared" si="227"/>
        <v/>
      </c>
      <c r="V580" s="30"/>
      <c r="W580" s="18" t="str">
        <f t="shared" si="225"/>
        <v/>
      </c>
      <c r="Y580" t="str">
        <f t="shared" si="228"/>
        <v/>
      </c>
      <c r="Z580" t="str">
        <f t="shared" si="229"/>
        <v/>
      </c>
      <c r="AA580" t="str">
        <f t="shared" si="230"/>
        <v/>
      </c>
      <c r="AB580" t="str">
        <f>COUNTIFS(AC580:AC$596,AC580)&amp;AC580</f>
        <v>17</v>
      </c>
      <c r="AC580" t="str">
        <f t="shared" si="246"/>
        <v/>
      </c>
      <c r="AD580" t="str">
        <f>COUNTIFS(AC$2:AC580,AC580)&amp;AC580</f>
        <v>579</v>
      </c>
      <c r="AE580" t="str">
        <f t="shared" si="231"/>
        <v/>
      </c>
      <c r="AF580" t="str">
        <f t="shared" si="247"/>
        <v>..</v>
      </c>
      <c r="AG580" s="28" t="str">
        <f t="shared" si="226"/>
        <v/>
      </c>
      <c r="AH580" s="28" t="str">
        <f t="shared" si="232"/>
        <v/>
      </c>
      <c r="AI580" t="str">
        <f t="shared" si="233"/>
        <v/>
      </c>
      <c r="AJ580" t="str">
        <f t="shared" si="234"/>
        <v/>
      </c>
      <c r="AK580" t="str">
        <f t="shared" si="235"/>
        <v/>
      </c>
      <c r="AL580" t="str">
        <f t="shared" si="236"/>
        <v/>
      </c>
      <c r="AM580" t="str">
        <f t="shared" si="237"/>
        <v/>
      </c>
      <c r="AN580" t="str">
        <f t="shared" si="238"/>
        <v/>
      </c>
      <c r="AO580" t="str">
        <f t="shared" si="239"/>
        <v/>
      </c>
      <c r="AP580" t="str">
        <f t="shared" si="240"/>
        <v/>
      </c>
      <c r="AQ580" t="str">
        <f t="shared" si="241"/>
        <v/>
      </c>
      <c r="AR580" t="str">
        <f t="shared" si="242"/>
        <v/>
      </c>
      <c r="AS580" t="str">
        <f t="shared" si="243"/>
        <v/>
      </c>
      <c r="AT580" t="str">
        <f t="shared" si="244"/>
        <v/>
      </c>
      <c r="AU580" s="25" t="str">
        <f t="shared" si="248"/>
        <v/>
      </c>
      <c r="BA580">
        <f>'REGISTER SK'!F583</f>
        <v>0</v>
      </c>
    </row>
    <row r="581" spans="1:53" x14ac:dyDescent="0.35">
      <c r="A581" s="18">
        <v>580</v>
      </c>
      <c r="B581" s="18"/>
      <c r="C581" s="18" t="str">
        <f>IF(G581="","",IF(G581="Umum",G581,VLOOKUP(F581,'Data Induk Pegawai'!B:AE,4,FALSE)))</f>
        <v/>
      </c>
      <c r="D581" s="19" t="str">
        <f>IF('REGISTER SK'!A584="","",IF('REGISTER SK'!B584=0,D580,'REGISTER SK'!B584))</f>
        <v/>
      </c>
      <c r="E581" s="19" t="str">
        <f t="shared" si="245"/>
        <v/>
      </c>
      <c r="F581" s="29"/>
      <c r="G581" s="29"/>
      <c r="H581" s="31" t="str">
        <f>IF(F581="","",VLOOKUP(F581,'Data Induk Pegawai'!B:U,2,FALSE))</f>
        <v/>
      </c>
      <c r="I581" s="19" t="str">
        <f>IF('REGISTER SK'!C584="","",'REGISTER SK'!C584)</f>
        <v/>
      </c>
      <c r="J581" s="125"/>
      <c r="K581" s="125"/>
      <c r="L581" s="26" t="str">
        <f>IF('REGISTER SK'!D584="","",'REGISTER SK'!D584)</f>
        <v/>
      </c>
      <c r="M581" s="26" t="str">
        <f>IF('REGISTER SK'!E584="","",'REGISTER SK'!E584)</f>
        <v/>
      </c>
      <c r="N581" s="31" t="str">
        <f>IF(G581="","",IF(OR(G581="GTT",G581="PTT"),"--",VLOOKUP(F581,'Data Induk Pegawai'!B:AE,4,FALSE)))</f>
        <v/>
      </c>
      <c r="O581" s="18" t="str">
        <f>IF(G581="","",VLOOKUP(F581,'Data Induk Pegawai'!B:AE,6,FALSE))</f>
        <v/>
      </c>
      <c r="P581" s="31" t="str">
        <f>IF(G581="","",VLOOKUP(F581,'Data Induk Pegawai'!B:AE,7,FALSE))</f>
        <v/>
      </c>
      <c r="Q581" s="30"/>
      <c r="R581" s="26" t="str">
        <f>IF(G581="","","Nomor "&amp;RIGHT(VLOOKUP(F581,'Data Induk Pegawai'!B:AE,12,FALSE),2)&amp;" Tahun "&amp;MID(VLOOKUP(F581,'Data Induk Pegawai'!B:AE,12,FALSE),5,4))</f>
        <v/>
      </c>
      <c r="S581" s="26" t="str">
        <f>IF(G581="","",VLOOKUP(F581,'Data Induk Pegawai'!B:AE,11,FALSE))</f>
        <v/>
      </c>
      <c r="T581" s="56"/>
      <c r="U581" s="18" t="str">
        <f t="shared" si="227"/>
        <v/>
      </c>
      <c r="V581" s="30"/>
      <c r="W581" s="18" t="str">
        <f t="shared" si="225"/>
        <v/>
      </c>
      <c r="Y581" t="str">
        <f t="shared" si="228"/>
        <v/>
      </c>
      <c r="Z581" t="str">
        <f t="shared" si="229"/>
        <v/>
      </c>
      <c r="AA581" t="str">
        <f t="shared" si="230"/>
        <v/>
      </c>
      <c r="AB581" t="str">
        <f>COUNTIFS(AC581:AC$596,AC581)&amp;AC581</f>
        <v>16</v>
      </c>
      <c r="AC581" t="str">
        <f t="shared" si="246"/>
        <v/>
      </c>
      <c r="AD581" t="str">
        <f>COUNTIFS(AC$2:AC581,AC581)&amp;AC581</f>
        <v>580</v>
      </c>
      <c r="AE581" t="str">
        <f t="shared" si="231"/>
        <v/>
      </c>
      <c r="AF581" t="str">
        <f t="shared" si="247"/>
        <v>..</v>
      </c>
      <c r="AG581" s="28" t="str">
        <f t="shared" si="226"/>
        <v/>
      </c>
      <c r="AH581" s="28" t="str">
        <f t="shared" si="232"/>
        <v/>
      </c>
      <c r="AI581" t="str">
        <f t="shared" si="233"/>
        <v/>
      </c>
      <c r="AJ581" t="str">
        <f t="shared" si="234"/>
        <v/>
      </c>
      <c r="AK581" t="str">
        <f t="shared" si="235"/>
        <v/>
      </c>
      <c r="AL581" t="str">
        <f t="shared" si="236"/>
        <v/>
      </c>
      <c r="AM581" t="str">
        <f t="shared" si="237"/>
        <v/>
      </c>
      <c r="AN581" t="str">
        <f t="shared" si="238"/>
        <v/>
      </c>
      <c r="AO581" t="str">
        <f t="shared" si="239"/>
        <v/>
      </c>
      <c r="AP581" t="str">
        <f t="shared" si="240"/>
        <v/>
      </c>
      <c r="AQ581" t="str">
        <f t="shared" si="241"/>
        <v/>
      </c>
      <c r="AR581" t="str">
        <f t="shared" si="242"/>
        <v/>
      </c>
      <c r="AS581" t="str">
        <f t="shared" si="243"/>
        <v/>
      </c>
      <c r="AT581" t="str">
        <f t="shared" si="244"/>
        <v/>
      </c>
      <c r="AU581" s="25" t="str">
        <f t="shared" si="248"/>
        <v/>
      </c>
      <c r="BA581">
        <f>'REGISTER SK'!F584</f>
        <v>0</v>
      </c>
    </row>
    <row r="582" spans="1:53" x14ac:dyDescent="0.35">
      <c r="A582" s="18">
        <v>581</v>
      </c>
      <c r="B582" s="18"/>
      <c r="C582" s="18" t="str">
        <f>IF(G582="","",IF(G582="Umum",G582,VLOOKUP(F582,'Data Induk Pegawai'!B:AE,4,FALSE)))</f>
        <v/>
      </c>
      <c r="D582" s="19" t="str">
        <f>IF('REGISTER SK'!A585="","",IF('REGISTER SK'!B585=0,D581,'REGISTER SK'!B585))</f>
        <v/>
      </c>
      <c r="E582" s="19" t="str">
        <f t="shared" si="245"/>
        <v/>
      </c>
      <c r="F582" s="29"/>
      <c r="G582" s="29"/>
      <c r="H582" s="31" t="str">
        <f>IF(F582="","",VLOOKUP(F582,'Data Induk Pegawai'!B:U,2,FALSE))</f>
        <v/>
      </c>
      <c r="I582" s="19" t="str">
        <f>IF('REGISTER SK'!C585="","",'REGISTER SK'!C585)</f>
        <v/>
      </c>
      <c r="J582" s="125"/>
      <c r="K582" s="125"/>
      <c r="L582" s="26" t="str">
        <f>IF('REGISTER SK'!D585="","",'REGISTER SK'!D585)</f>
        <v/>
      </c>
      <c r="M582" s="26" t="str">
        <f>IF('REGISTER SK'!E585="","",'REGISTER SK'!E585)</f>
        <v/>
      </c>
      <c r="N582" s="31" t="str">
        <f>IF(G582="","",IF(OR(G582="GTT",G582="PTT"),"--",VLOOKUP(F582,'Data Induk Pegawai'!B:AE,4,FALSE)))</f>
        <v/>
      </c>
      <c r="O582" s="18" t="str">
        <f>IF(G582="","",VLOOKUP(F582,'Data Induk Pegawai'!B:AE,6,FALSE))</f>
        <v/>
      </c>
      <c r="P582" s="31" t="str">
        <f>IF(G582="","",VLOOKUP(F582,'Data Induk Pegawai'!B:AE,7,FALSE))</f>
        <v/>
      </c>
      <c r="Q582" s="30"/>
      <c r="R582" s="26" t="str">
        <f>IF(G582="","","Nomor "&amp;RIGHT(VLOOKUP(F582,'Data Induk Pegawai'!B:AE,12,FALSE),2)&amp;" Tahun "&amp;MID(VLOOKUP(F582,'Data Induk Pegawai'!B:AE,12,FALSE),5,4))</f>
        <v/>
      </c>
      <c r="S582" s="26" t="str">
        <f>IF(G582="","",VLOOKUP(F582,'Data Induk Pegawai'!B:AE,11,FALSE))</f>
        <v/>
      </c>
      <c r="T582" s="56"/>
      <c r="U582" s="18" t="str">
        <f t="shared" si="227"/>
        <v/>
      </c>
      <c r="V582" s="30"/>
      <c r="W582" s="18" t="str">
        <f t="shared" si="225"/>
        <v/>
      </c>
      <c r="Y582" t="str">
        <f t="shared" si="228"/>
        <v/>
      </c>
      <c r="Z582" t="str">
        <f t="shared" si="229"/>
        <v/>
      </c>
      <c r="AA582" t="str">
        <f t="shared" si="230"/>
        <v/>
      </c>
      <c r="AB582" t="str">
        <f>COUNTIFS(AC582:AC$596,AC582)&amp;AC582</f>
        <v>15</v>
      </c>
      <c r="AC582" t="str">
        <f t="shared" si="246"/>
        <v/>
      </c>
      <c r="AD582" t="str">
        <f>COUNTIFS(AC$2:AC582,AC582)&amp;AC582</f>
        <v>581</v>
      </c>
      <c r="AE582" t="str">
        <f t="shared" si="231"/>
        <v/>
      </c>
      <c r="AF582" t="str">
        <f t="shared" si="247"/>
        <v>..</v>
      </c>
      <c r="AG582" s="28" t="str">
        <f t="shared" si="226"/>
        <v/>
      </c>
      <c r="AH582" s="28" t="str">
        <f t="shared" si="232"/>
        <v/>
      </c>
      <c r="AI582" t="str">
        <f t="shared" si="233"/>
        <v/>
      </c>
      <c r="AJ582" t="str">
        <f t="shared" si="234"/>
        <v/>
      </c>
      <c r="AK582" t="str">
        <f t="shared" si="235"/>
        <v/>
      </c>
      <c r="AL582" t="str">
        <f t="shared" si="236"/>
        <v/>
      </c>
      <c r="AM582" t="str">
        <f t="shared" si="237"/>
        <v/>
      </c>
      <c r="AN582" t="str">
        <f t="shared" si="238"/>
        <v/>
      </c>
      <c r="AO582" t="str">
        <f t="shared" si="239"/>
        <v/>
      </c>
      <c r="AP582" t="str">
        <f t="shared" si="240"/>
        <v/>
      </c>
      <c r="AQ582" t="str">
        <f t="shared" si="241"/>
        <v/>
      </c>
      <c r="AR582" t="str">
        <f t="shared" si="242"/>
        <v/>
      </c>
      <c r="AS582" t="str">
        <f t="shared" si="243"/>
        <v/>
      </c>
      <c r="AT582" t="str">
        <f t="shared" si="244"/>
        <v/>
      </c>
      <c r="AU582" s="25" t="str">
        <f t="shared" si="248"/>
        <v/>
      </c>
      <c r="BA582">
        <f>'REGISTER SK'!F585</f>
        <v>0</v>
      </c>
    </row>
    <row r="583" spans="1:53" x14ac:dyDescent="0.35">
      <c r="A583" s="18">
        <v>582</v>
      </c>
      <c r="B583" s="18"/>
      <c r="C583" s="18" t="str">
        <f>IF(G583="","",IF(G583="Umum",G583,VLOOKUP(F583,'Data Induk Pegawai'!B:AE,4,FALSE)))</f>
        <v/>
      </c>
      <c r="D583" s="19" t="str">
        <f>IF('REGISTER SK'!A586="","",IF('REGISTER SK'!B586=0,D582,'REGISTER SK'!B586))</f>
        <v/>
      </c>
      <c r="E583" s="19" t="str">
        <f t="shared" si="245"/>
        <v/>
      </c>
      <c r="F583" s="29"/>
      <c r="G583" s="29"/>
      <c r="H583" s="31" t="str">
        <f>IF(F583="","",VLOOKUP(F583,'Data Induk Pegawai'!B:U,2,FALSE))</f>
        <v/>
      </c>
      <c r="I583" s="19" t="str">
        <f>IF('REGISTER SK'!C586="","",'REGISTER SK'!C586)</f>
        <v/>
      </c>
      <c r="J583" s="125"/>
      <c r="K583" s="125"/>
      <c r="L583" s="26" t="str">
        <f>IF('REGISTER SK'!D586="","",'REGISTER SK'!D586)</f>
        <v/>
      </c>
      <c r="M583" s="26" t="str">
        <f>IF('REGISTER SK'!E586="","",'REGISTER SK'!E586)</f>
        <v/>
      </c>
      <c r="N583" s="31" t="str">
        <f>IF(G583="","",IF(OR(G583="GTT",G583="PTT"),"--",VLOOKUP(F583,'Data Induk Pegawai'!B:AE,4,FALSE)))</f>
        <v/>
      </c>
      <c r="O583" s="18" t="str">
        <f>IF(G583="","",VLOOKUP(F583,'Data Induk Pegawai'!B:AE,6,FALSE))</f>
        <v/>
      </c>
      <c r="P583" s="31" t="str">
        <f>IF(G583="","",VLOOKUP(F583,'Data Induk Pegawai'!B:AE,7,FALSE))</f>
        <v/>
      </c>
      <c r="Q583" s="30"/>
      <c r="R583" s="26" t="str">
        <f>IF(G583="","","Nomor "&amp;RIGHT(VLOOKUP(F583,'Data Induk Pegawai'!B:AE,12,FALSE),2)&amp;" Tahun "&amp;MID(VLOOKUP(F583,'Data Induk Pegawai'!B:AE,12,FALSE),5,4))</f>
        <v/>
      </c>
      <c r="S583" s="26" t="str">
        <f>IF(G583="","",VLOOKUP(F583,'Data Induk Pegawai'!B:AE,11,FALSE))</f>
        <v/>
      </c>
      <c r="T583" s="56"/>
      <c r="U583" s="18" t="str">
        <f t="shared" si="227"/>
        <v/>
      </c>
      <c r="V583" s="30"/>
      <c r="W583" s="18" t="str">
        <f t="shared" si="225"/>
        <v/>
      </c>
      <c r="Y583" t="str">
        <f t="shared" si="228"/>
        <v/>
      </c>
      <c r="Z583" t="str">
        <f t="shared" si="229"/>
        <v/>
      </c>
      <c r="AA583" t="str">
        <f t="shared" si="230"/>
        <v/>
      </c>
      <c r="AB583" t="str">
        <f>COUNTIFS(AC583:AC$596,AC583)&amp;AC583</f>
        <v>14</v>
      </c>
      <c r="AC583" t="str">
        <f t="shared" si="246"/>
        <v/>
      </c>
      <c r="AD583" t="str">
        <f>COUNTIFS(AC$2:AC583,AC583)&amp;AC583</f>
        <v>582</v>
      </c>
      <c r="AE583" t="str">
        <f t="shared" si="231"/>
        <v/>
      </c>
      <c r="AF583" t="str">
        <f t="shared" si="247"/>
        <v>..</v>
      </c>
      <c r="AG583" s="28" t="str">
        <f t="shared" si="226"/>
        <v/>
      </c>
      <c r="AH583" s="28" t="str">
        <f t="shared" si="232"/>
        <v/>
      </c>
      <c r="AI583" t="str">
        <f t="shared" si="233"/>
        <v/>
      </c>
      <c r="AJ583" t="str">
        <f t="shared" si="234"/>
        <v/>
      </c>
      <c r="AK583" t="str">
        <f t="shared" si="235"/>
        <v/>
      </c>
      <c r="AL583" t="str">
        <f t="shared" si="236"/>
        <v/>
      </c>
      <c r="AM583" t="str">
        <f t="shared" si="237"/>
        <v/>
      </c>
      <c r="AN583" t="str">
        <f t="shared" si="238"/>
        <v/>
      </c>
      <c r="AO583" t="str">
        <f t="shared" si="239"/>
        <v/>
      </c>
      <c r="AP583" t="str">
        <f t="shared" si="240"/>
        <v/>
      </c>
      <c r="AQ583" t="str">
        <f t="shared" si="241"/>
        <v/>
      </c>
      <c r="AR583" t="str">
        <f t="shared" si="242"/>
        <v/>
      </c>
      <c r="AS583" t="str">
        <f t="shared" si="243"/>
        <v/>
      </c>
      <c r="AT583" t="str">
        <f t="shared" si="244"/>
        <v/>
      </c>
      <c r="AU583" s="25" t="str">
        <f t="shared" si="248"/>
        <v/>
      </c>
      <c r="BA583">
        <f>'REGISTER SK'!F586</f>
        <v>0</v>
      </c>
    </row>
    <row r="584" spans="1:53" x14ac:dyDescent="0.35">
      <c r="A584" s="18">
        <v>583</v>
      </c>
      <c r="B584" s="18"/>
      <c r="C584" s="18" t="str">
        <f>IF(G584="","",IF(G584="Umum",G584,VLOOKUP(F584,'Data Induk Pegawai'!B:AE,4,FALSE)))</f>
        <v/>
      </c>
      <c r="D584" s="19" t="str">
        <f>IF('REGISTER SK'!A587="","",IF('REGISTER SK'!B587=0,D583,'REGISTER SK'!B587))</f>
        <v/>
      </c>
      <c r="E584" s="19" t="str">
        <f t="shared" si="245"/>
        <v/>
      </c>
      <c r="F584" s="29"/>
      <c r="G584" s="29"/>
      <c r="H584" s="31" t="str">
        <f>IF(F584="","",VLOOKUP(F584,'Data Induk Pegawai'!B:U,2,FALSE))</f>
        <v/>
      </c>
      <c r="I584" s="19" t="str">
        <f>IF('REGISTER SK'!C587="","",'REGISTER SK'!C587)</f>
        <v/>
      </c>
      <c r="J584" s="125"/>
      <c r="K584" s="125"/>
      <c r="L584" s="26" t="str">
        <f>IF('REGISTER SK'!D587="","",'REGISTER SK'!D587)</f>
        <v/>
      </c>
      <c r="M584" s="26" t="str">
        <f>IF('REGISTER SK'!E587="","",'REGISTER SK'!E587)</f>
        <v/>
      </c>
      <c r="N584" s="31" t="str">
        <f>IF(G584="","",IF(OR(G584="GTT",G584="PTT"),"--",VLOOKUP(F584,'Data Induk Pegawai'!B:AE,4,FALSE)))</f>
        <v/>
      </c>
      <c r="O584" s="18" t="str">
        <f>IF(G584="","",VLOOKUP(F584,'Data Induk Pegawai'!B:AE,6,FALSE))</f>
        <v/>
      </c>
      <c r="P584" s="31" t="str">
        <f>IF(G584="","",VLOOKUP(F584,'Data Induk Pegawai'!B:AE,7,FALSE))</f>
        <v/>
      </c>
      <c r="Q584" s="30"/>
      <c r="R584" s="26" t="str">
        <f>IF(G584="","","Nomor "&amp;RIGHT(VLOOKUP(F584,'Data Induk Pegawai'!B:AE,12,FALSE),2)&amp;" Tahun "&amp;MID(VLOOKUP(F584,'Data Induk Pegawai'!B:AE,12,FALSE),5,4))</f>
        <v/>
      </c>
      <c r="S584" s="26" t="str">
        <f>IF(G584="","",VLOOKUP(F584,'Data Induk Pegawai'!B:AE,11,FALSE))</f>
        <v/>
      </c>
      <c r="T584" s="56"/>
      <c r="U584" s="18" t="str">
        <f t="shared" si="227"/>
        <v/>
      </c>
      <c r="V584" s="30"/>
      <c r="W584" s="18" t="str">
        <f t="shared" si="225"/>
        <v/>
      </c>
      <c r="Y584" t="str">
        <f t="shared" si="228"/>
        <v/>
      </c>
      <c r="Z584" t="str">
        <f t="shared" si="229"/>
        <v/>
      </c>
      <c r="AA584" t="str">
        <f t="shared" si="230"/>
        <v/>
      </c>
      <c r="AB584" t="str">
        <f>COUNTIFS(AC584:AC$596,AC584)&amp;AC584</f>
        <v>13</v>
      </c>
      <c r="AC584" t="str">
        <f t="shared" si="246"/>
        <v/>
      </c>
      <c r="AD584" t="str">
        <f>COUNTIFS(AC$2:AC584,AC584)&amp;AC584</f>
        <v>583</v>
      </c>
      <c r="AE584" t="str">
        <f t="shared" si="231"/>
        <v/>
      </c>
      <c r="AF584" t="str">
        <f t="shared" si="247"/>
        <v>..</v>
      </c>
      <c r="AG584" s="28" t="str">
        <f t="shared" si="226"/>
        <v/>
      </c>
      <c r="AH584" s="28" t="str">
        <f t="shared" si="232"/>
        <v/>
      </c>
      <c r="AI584" t="str">
        <f t="shared" si="233"/>
        <v/>
      </c>
      <c r="AJ584" t="str">
        <f t="shared" si="234"/>
        <v/>
      </c>
      <c r="AK584" t="str">
        <f t="shared" si="235"/>
        <v/>
      </c>
      <c r="AL584" t="str">
        <f t="shared" si="236"/>
        <v/>
      </c>
      <c r="AM584" t="str">
        <f t="shared" si="237"/>
        <v/>
      </c>
      <c r="AN584" t="str">
        <f t="shared" si="238"/>
        <v/>
      </c>
      <c r="AO584" t="str">
        <f t="shared" si="239"/>
        <v/>
      </c>
      <c r="AP584" t="str">
        <f t="shared" si="240"/>
        <v/>
      </c>
      <c r="AQ584" t="str">
        <f t="shared" si="241"/>
        <v/>
      </c>
      <c r="AR584" t="str">
        <f t="shared" si="242"/>
        <v/>
      </c>
      <c r="AS584" t="str">
        <f t="shared" si="243"/>
        <v/>
      </c>
      <c r="AT584" t="str">
        <f t="shared" si="244"/>
        <v/>
      </c>
      <c r="AU584" s="25" t="str">
        <f t="shared" si="248"/>
        <v/>
      </c>
      <c r="BA584">
        <f>'REGISTER SK'!F587</f>
        <v>0</v>
      </c>
    </row>
    <row r="585" spans="1:53" x14ac:dyDescent="0.35">
      <c r="A585" s="18">
        <v>584</v>
      </c>
      <c r="B585" s="18"/>
      <c r="C585" s="18" t="str">
        <f>IF(G585="","",IF(G585="Umum",G585,VLOOKUP(F585,'Data Induk Pegawai'!B:AE,4,FALSE)))</f>
        <v/>
      </c>
      <c r="D585" s="19" t="str">
        <f>IF('REGISTER SK'!A588="","",IF('REGISTER SK'!B588=0,D584,'REGISTER SK'!B588))</f>
        <v/>
      </c>
      <c r="E585" s="19" t="str">
        <f t="shared" si="245"/>
        <v/>
      </c>
      <c r="F585" s="29"/>
      <c r="G585" s="29"/>
      <c r="H585" s="31" t="str">
        <f>IF(F585="","",VLOOKUP(F585,'Data Induk Pegawai'!B:U,2,FALSE))</f>
        <v/>
      </c>
      <c r="I585" s="19" t="str">
        <f>IF('REGISTER SK'!C588="","",'REGISTER SK'!C588)</f>
        <v/>
      </c>
      <c r="J585" s="125"/>
      <c r="K585" s="125"/>
      <c r="L585" s="26" t="str">
        <f>IF('REGISTER SK'!D588="","",'REGISTER SK'!D588)</f>
        <v/>
      </c>
      <c r="M585" s="26" t="str">
        <f>IF('REGISTER SK'!E588="","",'REGISTER SK'!E588)</f>
        <v/>
      </c>
      <c r="N585" s="31" t="str">
        <f>IF(G585="","",IF(OR(G585="GTT",G585="PTT"),"--",VLOOKUP(F585,'Data Induk Pegawai'!B:AE,4,FALSE)))</f>
        <v/>
      </c>
      <c r="O585" s="18" t="str">
        <f>IF(G585="","",VLOOKUP(F585,'Data Induk Pegawai'!B:AE,6,FALSE))</f>
        <v/>
      </c>
      <c r="P585" s="31" t="str">
        <f>IF(G585="","",VLOOKUP(F585,'Data Induk Pegawai'!B:AE,7,FALSE))</f>
        <v/>
      </c>
      <c r="Q585" s="30"/>
      <c r="R585" s="26" t="str">
        <f>IF(G585="","","Nomor "&amp;RIGHT(VLOOKUP(F585,'Data Induk Pegawai'!B:AE,12,FALSE),2)&amp;" Tahun "&amp;MID(VLOOKUP(F585,'Data Induk Pegawai'!B:AE,12,FALSE),5,4))</f>
        <v/>
      </c>
      <c r="S585" s="26" t="str">
        <f>IF(G585="","",VLOOKUP(F585,'Data Induk Pegawai'!B:AE,11,FALSE))</f>
        <v/>
      </c>
      <c r="T585" s="56"/>
      <c r="U585" s="18" t="str">
        <f t="shared" si="227"/>
        <v/>
      </c>
      <c r="V585" s="30"/>
      <c r="W585" s="18" t="str">
        <f t="shared" si="225"/>
        <v/>
      </c>
      <c r="Y585" t="str">
        <f t="shared" si="228"/>
        <v/>
      </c>
      <c r="Z585" t="str">
        <f t="shared" si="229"/>
        <v/>
      </c>
      <c r="AA585" t="str">
        <f t="shared" si="230"/>
        <v/>
      </c>
      <c r="AB585" t="str">
        <f>COUNTIFS(AC585:AC$596,AC585)&amp;AC585</f>
        <v>12</v>
      </c>
      <c r="AC585" t="str">
        <f t="shared" si="246"/>
        <v/>
      </c>
      <c r="AD585" t="str">
        <f>COUNTIFS(AC$2:AC585,AC585)&amp;AC585</f>
        <v>584</v>
      </c>
      <c r="AE585" t="str">
        <f t="shared" si="231"/>
        <v/>
      </c>
      <c r="AF585" t="str">
        <f t="shared" si="247"/>
        <v>..</v>
      </c>
      <c r="AG585" s="28" t="str">
        <f t="shared" si="226"/>
        <v/>
      </c>
      <c r="AH585" s="28" t="str">
        <f t="shared" si="232"/>
        <v/>
      </c>
      <c r="AI585" t="str">
        <f t="shared" si="233"/>
        <v/>
      </c>
      <c r="AJ585" t="str">
        <f t="shared" si="234"/>
        <v/>
      </c>
      <c r="AK585" t="str">
        <f t="shared" si="235"/>
        <v/>
      </c>
      <c r="AL585" t="str">
        <f t="shared" si="236"/>
        <v/>
      </c>
      <c r="AM585" t="str">
        <f t="shared" si="237"/>
        <v/>
      </c>
      <c r="AN585" t="str">
        <f t="shared" si="238"/>
        <v/>
      </c>
      <c r="AO585" t="str">
        <f t="shared" si="239"/>
        <v/>
      </c>
      <c r="AP585" t="str">
        <f t="shared" si="240"/>
        <v/>
      </c>
      <c r="AQ585" t="str">
        <f t="shared" si="241"/>
        <v/>
      </c>
      <c r="AR585" t="str">
        <f t="shared" si="242"/>
        <v/>
      </c>
      <c r="AS585" t="str">
        <f t="shared" si="243"/>
        <v/>
      </c>
      <c r="AT585" t="str">
        <f t="shared" si="244"/>
        <v/>
      </c>
      <c r="AU585" s="25" t="str">
        <f t="shared" si="248"/>
        <v/>
      </c>
      <c r="BA585">
        <f>'REGISTER SK'!F588</f>
        <v>0</v>
      </c>
    </row>
    <row r="586" spans="1:53" x14ac:dyDescent="0.35">
      <c r="A586" s="18">
        <v>585</v>
      </c>
      <c r="B586" s="18"/>
      <c r="C586" s="18" t="str">
        <f>IF(G586="","",IF(G586="Umum",G586,VLOOKUP(F586,'Data Induk Pegawai'!B:AE,4,FALSE)))</f>
        <v/>
      </c>
      <c r="D586" s="19" t="str">
        <f>IF('REGISTER SK'!A589="","",IF('REGISTER SK'!B589=0,D585,'REGISTER SK'!B589))</f>
        <v/>
      </c>
      <c r="E586" s="19" t="str">
        <f t="shared" si="245"/>
        <v/>
      </c>
      <c r="F586" s="29"/>
      <c r="G586" s="29"/>
      <c r="H586" s="31" t="str">
        <f>IF(F586="","",VLOOKUP(F586,'Data Induk Pegawai'!B:U,2,FALSE))</f>
        <v/>
      </c>
      <c r="I586" s="19" t="str">
        <f>IF('REGISTER SK'!C589="","",'REGISTER SK'!C589)</f>
        <v/>
      </c>
      <c r="J586" s="125"/>
      <c r="K586" s="125"/>
      <c r="L586" s="26" t="str">
        <f>IF('REGISTER SK'!D589="","",'REGISTER SK'!D589)</f>
        <v/>
      </c>
      <c r="M586" s="26" t="str">
        <f>IF('REGISTER SK'!E589="","",'REGISTER SK'!E589)</f>
        <v/>
      </c>
      <c r="N586" s="31" t="str">
        <f>IF(G586="","",IF(OR(G586="GTT",G586="PTT"),"--",VLOOKUP(F586,'Data Induk Pegawai'!B:AE,4,FALSE)))</f>
        <v/>
      </c>
      <c r="O586" s="18" t="str">
        <f>IF(G586="","",VLOOKUP(F586,'Data Induk Pegawai'!B:AE,6,FALSE))</f>
        <v/>
      </c>
      <c r="P586" s="31" t="str">
        <f>IF(G586="","",VLOOKUP(F586,'Data Induk Pegawai'!B:AE,7,FALSE))</f>
        <v/>
      </c>
      <c r="Q586" s="30"/>
      <c r="R586" s="26" t="str">
        <f>IF(G586="","","Nomor "&amp;RIGHT(VLOOKUP(F586,'Data Induk Pegawai'!B:AE,12,FALSE),2)&amp;" Tahun "&amp;MID(VLOOKUP(F586,'Data Induk Pegawai'!B:AE,12,FALSE),5,4))</f>
        <v/>
      </c>
      <c r="S586" s="26" t="str">
        <f>IF(G586="","",VLOOKUP(F586,'Data Induk Pegawai'!B:AE,11,FALSE))</f>
        <v/>
      </c>
      <c r="T586" s="56"/>
      <c r="U586" s="18" t="str">
        <f t="shared" si="227"/>
        <v/>
      </c>
      <c r="V586" s="30"/>
      <c r="W586" s="18" t="str">
        <f t="shared" si="225"/>
        <v/>
      </c>
      <c r="Y586" t="str">
        <f t="shared" si="228"/>
        <v/>
      </c>
      <c r="Z586" t="str">
        <f t="shared" si="229"/>
        <v/>
      </c>
      <c r="AA586" t="str">
        <f t="shared" si="230"/>
        <v/>
      </c>
      <c r="AB586" t="str">
        <f>COUNTIFS(AC586:AC$596,AC586)&amp;AC586</f>
        <v>11</v>
      </c>
      <c r="AC586" t="str">
        <f t="shared" si="246"/>
        <v/>
      </c>
      <c r="AD586" t="str">
        <f>COUNTIFS(AC$2:AC586,AC586)&amp;AC586</f>
        <v>585</v>
      </c>
      <c r="AE586" t="str">
        <f t="shared" si="231"/>
        <v/>
      </c>
      <c r="AF586" t="str">
        <f t="shared" si="247"/>
        <v>..</v>
      </c>
      <c r="AG586" s="28" t="str">
        <f t="shared" si="226"/>
        <v/>
      </c>
      <c r="AH586" s="28" t="str">
        <f t="shared" si="232"/>
        <v/>
      </c>
      <c r="AI586" t="str">
        <f t="shared" si="233"/>
        <v/>
      </c>
      <c r="AJ586" t="str">
        <f t="shared" si="234"/>
        <v/>
      </c>
      <c r="AK586" t="str">
        <f t="shared" si="235"/>
        <v/>
      </c>
      <c r="AL586" t="str">
        <f t="shared" si="236"/>
        <v/>
      </c>
      <c r="AM586" t="str">
        <f t="shared" si="237"/>
        <v/>
      </c>
      <c r="AN586" t="str">
        <f t="shared" si="238"/>
        <v/>
      </c>
      <c r="AO586" t="str">
        <f t="shared" si="239"/>
        <v/>
      </c>
      <c r="AP586" t="str">
        <f t="shared" si="240"/>
        <v/>
      </c>
      <c r="AQ586" t="str">
        <f t="shared" si="241"/>
        <v/>
      </c>
      <c r="AR586" t="str">
        <f t="shared" si="242"/>
        <v/>
      </c>
      <c r="AS586" t="str">
        <f t="shared" si="243"/>
        <v/>
      </c>
      <c r="AT586" t="str">
        <f t="shared" si="244"/>
        <v/>
      </c>
      <c r="AU586" s="25" t="str">
        <f t="shared" si="248"/>
        <v/>
      </c>
      <c r="BA586">
        <f>'REGISTER SK'!F589</f>
        <v>0</v>
      </c>
    </row>
    <row r="587" spans="1:53" x14ac:dyDescent="0.35">
      <c r="A587" s="18">
        <v>586</v>
      </c>
      <c r="B587" s="18"/>
      <c r="C587" s="18" t="str">
        <f>IF(G587="","",IF(G587="Umum",G587,VLOOKUP(F587,'Data Induk Pegawai'!B:AE,4,FALSE)))</f>
        <v/>
      </c>
      <c r="D587" s="19" t="str">
        <f>IF('REGISTER SK'!A590="","",IF('REGISTER SK'!B590=0,D586,'REGISTER SK'!B590))</f>
        <v/>
      </c>
      <c r="E587" s="19" t="str">
        <f t="shared" si="245"/>
        <v/>
      </c>
      <c r="F587" s="29"/>
      <c r="G587" s="29"/>
      <c r="H587" s="31" t="str">
        <f>IF(F587="","",VLOOKUP(F587,'Data Induk Pegawai'!B:U,2,FALSE))</f>
        <v/>
      </c>
      <c r="I587" s="19" t="str">
        <f>IF('REGISTER SK'!C590="","",'REGISTER SK'!C590)</f>
        <v/>
      </c>
      <c r="J587" s="125"/>
      <c r="K587" s="125"/>
      <c r="L587" s="26" t="str">
        <f>IF('REGISTER SK'!D590="","",'REGISTER SK'!D590)</f>
        <v/>
      </c>
      <c r="M587" s="26" t="str">
        <f>IF('REGISTER SK'!E590="","",'REGISTER SK'!E590)</f>
        <v/>
      </c>
      <c r="N587" s="31" t="str">
        <f>IF(G587="","",IF(OR(G587="GTT",G587="PTT"),"--",VLOOKUP(F587,'Data Induk Pegawai'!B:AE,4,FALSE)))</f>
        <v/>
      </c>
      <c r="O587" s="18" t="str">
        <f>IF(G587="","",VLOOKUP(F587,'Data Induk Pegawai'!B:AE,6,FALSE))</f>
        <v/>
      </c>
      <c r="P587" s="31" t="str">
        <f>IF(G587="","",VLOOKUP(F587,'Data Induk Pegawai'!B:AE,7,FALSE))</f>
        <v/>
      </c>
      <c r="Q587" s="30"/>
      <c r="R587" s="26" t="str">
        <f>IF(G587="","","Nomor "&amp;RIGHT(VLOOKUP(F587,'Data Induk Pegawai'!B:AE,12,FALSE),2)&amp;" Tahun "&amp;MID(VLOOKUP(F587,'Data Induk Pegawai'!B:AE,12,FALSE),5,4))</f>
        <v/>
      </c>
      <c r="S587" s="26" t="str">
        <f>IF(G587="","",VLOOKUP(F587,'Data Induk Pegawai'!B:AE,11,FALSE))</f>
        <v/>
      </c>
      <c r="T587" s="56"/>
      <c r="U587" s="18" t="str">
        <f t="shared" si="227"/>
        <v/>
      </c>
      <c r="V587" s="30"/>
      <c r="W587" s="18" t="str">
        <f t="shared" si="225"/>
        <v/>
      </c>
      <c r="Y587" t="str">
        <f t="shared" si="228"/>
        <v/>
      </c>
      <c r="Z587" t="str">
        <f t="shared" si="229"/>
        <v/>
      </c>
      <c r="AA587" t="str">
        <f t="shared" si="230"/>
        <v/>
      </c>
      <c r="AB587" t="str">
        <f>COUNTIFS(AC587:AC$596,AC587)&amp;AC587</f>
        <v>10</v>
      </c>
      <c r="AC587" t="str">
        <f t="shared" si="246"/>
        <v/>
      </c>
      <c r="AD587" t="str">
        <f>COUNTIFS(AC$2:AC587,AC587)&amp;AC587</f>
        <v>586</v>
      </c>
      <c r="AE587" t="str">
        <f t="shared" si="231"/>
        <v/>
      </c>
      <c r="AF587" t="str">
        <f t="shared" si="247"/>
        <v>..</v>
      </c>
      <c r="AG587" s="28" t="str">
        <f t="shared" si="226"/>
        <v/>
      </c>
      <c r="AH587" s="28" t="str">
        <f t="shared" si="232"/>
        <v/>
      </c>
      <c r="AI587" t="str">
        <f t="shared" si="233"/>
        <v/>
      </c>
      <c r="AJ587" t="str">
        <f t="shared" si="234"/>
        <v/>
      </c>
      <c r="AK587" t="str">
        <f t="shared" si="235"/>
        <v/>
      </c>
      <c r="AL587" t="str">
        <f t="shared" si="236"/>
        <v/>
      </c>
      <c r="AM587" t="str">
        <f t="shared" si="237"/>
        <v/>
      </c>
      <c r="AN587" t="str">
        <f t="shared" si="238"/>
        <v/>
      </c>
      <c r="AO587" t="str">
        <f t="shared" si="239"/>
        <v/>
      </c>
      <c r="AP587" t="str">
        <f t="shared" si="240"/>
        <v/>
      </c>
      <c r="AQ587" t="str">
        <f t="shared" si="241"/>
        <v/>
      </c>
      <c r="AR587" t="str">
        <f t="shared" si="242"/>
        <v/>
      </c>
      <c r="AS587" t="str">
        <f t="shared" si="243"/>
        <v/>
      </c>
      <c r="AT587" t="str">
        <f t="shared" si="244"/>
        <v/>
      </c>
      <c r="AU587" s="25" t="str">
        <f t="shared" si="248"/>
        <v/>
      </c>
      <c r="BA587">
        <f>'REGISTER SK'!F590</f>
        <v>0</v>
      </c>
    </row>
    <row r="588" spans="1:53" x14ac:dyDescent="0.35">
      <c r="A588" s="18">
        <v>587</v>
      </c>
      <c r="B588" s="18"/>
      <c r="C588" s="18" t="str">
        <f>IF(G588="","",IF(G588="Umum",G588,VLOOKUP(F588,'Data Induk Pegawai'!B:AE,4,FALSE)))</f>
        <v/>
      </c>
      <c r="D588" s="19" t="str">
        <f>IF('REGISTER SK'!A591="","",IF('REGISTER SK'!B591=0,D587,'REGISTER SK'!B591))</f>
        <v/>
      </c>
      <c r="E588" s="19" t="str">
        <f t="shared" si="245"/>
        <v/>
      </c>
      <c r="F588" s="29"/>
      <c r="G588" s="29"/>
      <c r="H588" s="31" t="str">
        <f>IF(F588="","",VLOOKUP(F588,'Data Induk Pegawai'!B:U,2,FALSE))</f>
        <v/>
      </c>
      <c r="I588" s="19" t="str">
        <f>IF('REGISTER SK'!C591="","",'REGISTER SK'!C591)</f>
        <v/>
      </c>
      <c r="J588" s="125"/>
      <c r="K588" s="125"/>
      <c r="L588" s="26" t="str">
        <f>IF('REGISTER SK'!D591="","",'REGISTER SK'!D591)</f>
        <v/>
      </c>
      <c r="M588" s="26" t="str">
        <f>IF('REGISTER SK'!E591="","",'REGISTER SK'!E591)</f>
        <v/>
      </c>
      <c r="N588" s="31" t="str">
        <f>IF(G588="","",IF(OR(G588="GTT",G588="PTT"),"--",VLOOKUP(F588,'Data Induk Pegawai'!B:AE,4,FALSE)))</f>
        <v/>
      </c>
      <c r="O588" s="18" t="str">
        <f>IF(G588="","",VLOOKUP(F588,'Data Induk Pegawai'!B:AE,6,FALSE))</f>
        <v/>
      </c>
      <c r="P588" s="31" t="str">
        <f>IF(G588="","",VLOOKUP(F588,'Data Induk Pegawai'!B:AE,7,FALSE))</f>
        <v/>
      </c>
      <c r="Q588" s="30"/>
      <c r="R588" s="26" t="str">
        <f>IF(G588="","","Nomor "&amp;RIGHT(VLOOKUP(F588,'Data Induk Pegawai'!B:AE,12,FALSE),2)&amp;" Tahun "&amp;MID(VLOOKUP(F588,'Data Induk Pegawai'!B:AE,12,FALSE),5,4))</f>
        <v/>
      </c>
      <c r="S588" s="26" t="str">
        <f>IF(G588="","",VLOOKUP(F588,'Data Induk Pegawai'!B:AE,11,FALSE))</f>
        <v/>
      </c>
      <c r="T588" s="56"/>
      <c r="U588" s="18" t="str">
        <f t="shared" si="227"/>
        <v/>
      </c>
      <c r="V588" s="30"/>
      <c r="W588" s="18" t="str">
        <f t="shared" si="225"/>
        <v/>
      </c>
      <c r="Y588" t="str">
        <f t="shared" si="228"/>
        <v/>
      </c>
      <c r="Z588" t="str">
        <f t="shared" si="229"/>
        <v/>
      </c>
      <c r="AA588" t="str">
        <f t="shared" si="230"/>
        <v/>
      </c>
      <c r="AB588" t="str">
        <f>COUNTIFS(AC588:AC$596,AC588)&amp;AC588</f>
        <v>9</v>
      </c>
      <c r="AC588" t="str">
        <f t="shared" si="246"/>
        <v/>
      </c>
      <c r="AD588" t="str">
        <f>COUNTIFS(AC$2:AC588,AC588)&amp;AC588</f>
        <v>587</v>
      </c>
      <c r="AE588" t="str">
        <f t="shared" si="231"/>
        <v/>
      </c>
      <c r="AF588" t="str">
        <f t="shared" si="247"/>
        <v>..</v>
      </c>
      <c r="AG588" s="28" t="str">
        <f t="shared" si="226"/>
        <v/>
      </c>
      <c r="AH588" s="28" t="str">
        <f t="shared" si="232"/>
        <v/>
      </c>
      <c r="AI588" t="str">
        <f t="shared" si="233"/>
        <v/>
      </c>
      <c r="AJ588" t="str">
        <f t="shared" si="234"/>
        <v/>
      </c>
      <c r="AK588" t="str">
        <f t="shared" si="235"/>
        <v/>
      </c>
      <c r="AL588" t="str">
        <f t="shared" si="236"/>
        <v/>
      </c>
      <c r="AM588" t="str">
        <f t="shared" si="237"/>
        <v/>
      </c>
      <c r="AN588" t="str">
        <f t="shared" si="238"/>
        <v/>
      </c>
      <c r="AO588" t="str">
        <f t="shared" si="239"/>
        <v/>
      </c>
      <c r="AP588" t="str">
        <f t="shared" si="240"/>
        <v/>
      </c>
      <c r="AQ588" t="str">
        <f t="shared" si="241"/>
        <v/>
      </c>
      <c r="AR588" t="str">
        <f t="shared" si="242"/>
        <v/>
      </c>
      <c r="AS588" t="str">
        <f t="shared" si="243"/>
        <v/>
      </c>
      <c r="AT588" t="str">
        <f t="shared" si="244"/>
        <v/>
      </c>
      <c r="AU588" s="25" t="str">
        <f t="shared" si="248"/>
        <v/>
      </c>
      <c r="BA588">
        <f>'REGISTER SK'!F591</f>
        <v>0</v>
      </c>
    </row>
    <row r="589" spans="1:53" x14ac:dyDescent="0.35">
      <c r="A589" s="18">
        <v>588</v>
      </c>
      <c r="B589" s="18"/>
      <c r="C589" s="18" t="str">
        <f>IF(G589="","",IF(G589="Umum",G589,VLOOKUP(F589,'Data Induk Pegawai'!B:AE,4,FALSE)))</f>
        <v/>
      </c>
      <c r="D589" s="19" t="str">
        <f>IF('REGISTER SK'!A592="","",IF('REGISTER SK'!B592=0,D588,'REGISTER SK'!B592))</f>
        <v/>
      </c>
      <c r="E589" s="19" t="str">
        <f t="shared" si="245"/>
        <v/>
      </c>
      <c r="F589" s="29"/>
      <c r="G589" s="29"/>
      <c r="H589" s="31" t="str">
        <f>IF(F589="","",VLOOKUP(F589,'Data Induk Pegawai'!B:U,2,FALSE))</f>
        <v/>
      </c>
      <c r="I589" s="19" t="str">
        <f>IF('REGISTER SK'!C592="","",'REGISTER SK'!C592)</f>
        <v/>
      </c>
      <c r="J589" s="125"/>
      <c r="K589" s="125"/>
      <c r="L589" s="26" t="str">
        <f>IF('REGISTER SK'!D592="","",'REGISTER SK'!D592)</f>
        <v/>
      </c>
      <c r="M589" s="26" t="str">
        <f>IF('REGISTER SK'!E592="","",'REGISTER SK'!E592)</f>
        <v/>
      </c>
      <c r="N589" s="31" t="str">
        <f>IF(G589="","",IF(OR(G589="GTT",G589="PTT"),"--",VLOOKUP(F589,'Data Induk Pegawai'!B:AE,4,FALSE)))</f>
        <v/>
      </c>
      <c r="O589" s="18" t="str">
        <f>IF(G589="","",VLOOKUP(F589,'Data Induk Pegawai'!B:AE,6,FALSE))</f>
        <v/>
      </c>
      <c r="P589" s="31" t="str">
        <f>IF(G589="","",VLOOKUP(F589,'Data Induk Pegawai'!B:AE,7,FALSE))</f>
        <v/>
      </c>
      <c r="Q589" s="30"/>
      <c r="R589" s="26" t="str">
        <f>IF(G589="","","Nomor "&amp;RIGHT(VLOOKUP(F589,'Data Induk Pegawai'!B:AE,12,FALSE),2)&amp;" Tahun "&amp;MID(VLOOKUP(F589,'Data Induk Pegawai'!B:AE,12,FALSE),5,4))</f>
        <v/>
      </c>
      <c r="S589" s="26" t="str">
        <f>IF(G589="","",VLOOKUP(F589,'Data Induk Pegawai'!B:AE,11,FALSE))</f>
        <v/>
      </c>
      <c r="T589" s="56"/>
      <c r="U589" s="18" t="str">
        <f t="shared" si="227"/>
        <v/>
      </c>
      <c r="V589" s="30"/>
      <c r="W589" s="18" t="str">
        <f t="shared" si="225"/>
        <v/>
      </c>
      <c r="Y589" t="str">
        <f t="shared" si="228"/>
        <v/>
      </c>
      <c r="Z589" t="str">
        <f t="shared" si="229"/>
        <v/>
      </c>
      <c r="AA589" t="str">
        <f t="shared" si="230"/>
        <v/>
      </c>
      <c r="AB589" t="str">
        <f>COUNTIFS(AC589:AC$596,AC589)&amp;AC589</f>
        <v>8</v>
      </c>
      <c r="AC589" t="str">
        <f t="shared" si="246"/>
        <v/>
      </c>
      <c r="AD589" t="str">
        <f>COUNTIFS(AC$2:AC589,AC589)&amp;AC589</f>
        <v>588</v>
      </c>
      <c r="AE589" t="str">
        <f t="shared" si="231"/>
        <v/>
      </c>
      <c r="AF589" t="str">
        <f t="shared" si="247"/>
        <v>..</v>
      </c>
      <c r="AG589" s="28" t="str">
        <f t="shared" si="226"/>
        <v/>
      </c>
      <c r="AH589" s="28" t="str">
        <f t="shared" si="232"/>
        <v/>
      </c>
      <c r="AI589" t="str">
        <f t="shared" si="233"/>
        <v/>
      </c>
      <c r="AJ589" t="str">
        <f t="shared" si="234"/>
        <v/>
      </c>
      <c r="AK589" t="str">
        <f t="shared" si="235"/>
        <v/>
      </c>
      <c r="AL589" t="str">
        <f t="shared" si="236"/>
        <v/>
      </c>
      <c r="AM589" t="str">
        <f t="shared" si="237"/>
        <v/>
      </c>
      <c r="AN589" t="str">
        <f t="shared" si="238"/>
        <v/>
      </c>
      <c r="AO589" t="str">
        <f t="shared" si="239"/>
        <v/>
      </c>
      <c r="AP589" t="str">
        <f t="shared" si="240"/>
        <v/>
      </c>
      <c r="AQ589" t="str">
        <f t="shared" si="241"/>
        <v/>
      </c>
      <c r="AR589" t="str">
        <f t="shared" si="242"/>
        <v/>
      </c>
      <c r="AS589" t="str">
        <f t="shared" si="243"/>
        <v/>
      </c>
      <c r="AT589" t="str">
        <f t="shared" si="244"/>
        <v/>
      </c>
      <c r="AU589" s="25" t="str">
        <f t="shared" si="248"/>
        <v/>
      </c>
      <c r="BA589">
        <f>'REGISTER SK'!F592</f>
        <v>0</v>
      </c>
    </row>
    <row r="590" spans="1:53" x14ac:dyDescent="0.35">
      <c r="A590" s="18">
        <v>589</v>
      </c>
      <c r="B590" s="18"/>
      <c r="C590" s="18" t="str">
        <f>IF(G590="","",IF(G590="Umum",G590,VLOOKUP(F590,'Data Induk Pegawai'!B:AE,4,FALSE)))</f>
        <v/>
      </c>
      <c r="D590" s="19" t="str">
        <f>IF('REGISTER SK'!A593="","",IF('REGISTER SK'!B593=0,D589,'REGISTER SK'!B593))</f>
        <v/>
      </c>
      <c r="E590" s="19" t="str">
        <f t="shared" si="245"/>
        <v/>
      </c>
      <c r="F590" s="29"/>
      <c r="G590" s="29"/>
      <c r="H590" s="31" t="str">
        <f>IF(F590="","",VLOOKUP(F590,'Data Induk Pegawai'!B:U,2,FALSE))</f>
        <v/>
      </c>
      <c r="I590" s="19" t="str">
        <f>IF('REGISTER SK'!C593="","",'REGISTER SK'!C593)</f>
        <v/>
      </c>
      <c r="J590" s="125"/>
      <c r="K590" s="125"/>
      <c r="L590" s="26" t="str">
        <f>IF('REGISTER SK'!D593="","",'REGISTER SK'!D593)</f>
        <v/>
      </c>
      <c r="M590" s="26" t="str">
        <f>IF('REGISTER SK'!E593="","",'REGISTER SK'!E593)</f>
        <v/>
      </c>
      <c r="N590" s="31" t="str">
        <f>IF(G590="","",IF(OR(G590="GTT",G590="PTT"),"--",VLOOKUP(F590,'Data Induk Pegawai'!B:AE,4,FALSE)))</f>
        <v/>
      </c>
      <c r="O590" s="18" t="str">
        <f>IF(G590="","",VLOOKUP(F590,'Data Induk Pegawai'!B:AE,6,FALSE))</f>
        <v/>
      </c>
      <c r="P590" s="31" t="str">
        <f>IF(G590="","",VLOOKUP(F590,'Data Induk Pegawai'!B:AE,7,FALSE))</f>
        <v/>
      </c>
      <c r="Q590" s="30"/>
      <c r="R590" s="26" t="str">
        <f>IF(G590="","","Nomor "&amp;RIGHT(VLOOKUP(F590,'Data Induk Pegawai'!B:AE,12,FALSE),2)&amp;" Tahun "&amp;MID(VLOOKUP(F590,'Data Induk Pegawai'!B:AE,12,FALSE),5,4))</f>
        <v/>
      </c>
      <c r="S590" s="26" t="str">
        <f>IF(G590="","",VLOOKUP(F590,'Data Induk Pegawai'!B:AE,11,FALSE))</f>
        <v/>
      </c>
      <c r="T590" s="56"/>
      <c r="U590" s="18" t="str">
        <f t="shared" si="227"/>
        <v/>
      </c>
      <c r="V590" s="30"/>
      <c r="W590" s="18" t="str">
        <f t="shared" si="225"/>
        <v/>
      </c>
      <c r="Y590" t="str">
        <f t="shared" si="228"/>
        <v/>
      </c>
      <c r="Z590" t="str">
        <f t="shared" si="229"/>
        <v/>
      </c>
      <c r="AA590" t="str">
        <f t="shared" si="230"/>
        <v/>
      </c>
      <c r="AB590" t="str">
        <f>COUNTIFS(AC590:AC$596,AC590)&amp;AC590</f>
        <v>7</v>
      </c>
      <c r="AC590" t="str">
        <f t="shared" si="246"/>
        <v/>
      </c>
      <c r="AD590" t="str">
        <f>COUNTIFS(AC$2:AC590,AC590)&amp;AC590</f>
        <v>589</v>
      </c>
      <c r="AE590" t="str">
        <f t="shared" si="231"/>
        <v/>
      </c>
      <c r="AF590" t="str">
        <f t="shared" si="247"/>
        <v>..</v>
      </c>
      <c r="AG590" s="28" t="str">
        <f t="shared" si="226"/>
        <v/>
      </c>
      <c r="AH590" s="28" t="str">
        <f t="shared" si="232"/>
        <v/>
      </c>
      <c r="AI590" t="str">
        <f t="shared" si="233"/>
        <v/>
      </c>
      <c r="AJ590" t="str">
        <f t="shared" si="234"/>
        <v/>
      </c>
      <c r="AK590" t="str">
        <f t="shared" si="235"/>
        <v/>
      </c>
      <c r="AL590" t="str">
        <f t="shared" si="236"/>
        <v/>
      </c>
      <c r="AM590" t="str">
        <f t="shared" si="237"/>
        <v/>
      </c>
      <c r="AN590" t="str">
        <f t="shared" si="238"/>
        <v/>
      </c>
      <c r="AO590" t="str">
        <f t="shared" si="239"/>
        <v/>
      </c>
      <c r="AP590" t="str">
        <f t="shared" si="240"/>
        <v/>
      </c>
      <c r="AQ590" t="str">
        <f t="shared" si="241"/>
        <v/>
      </c>
      <c r="AR590" t="str">
        <f t="shared" si="242"/>
        <v/>
      </c>
      <c r="AS590" t="str">
        <f t="shared" si="243"/>
        <v/>
      </c>
      <c r="AT590" t="str">
        <f t="shared" si="244"/>
        <v/>
      </c>
      <c r="AU590" s="25" t="str">
        <f t="shared" si="248"/>
        <v/>
      </c>
      <c r="BA590">
        <f>'REGISTER SK'!F593</f>
        <v>0</v>
      </c>
    </row>
    <row r="591" spans="1:53" x14ac:dyDescent="0.35">
      <c r="A591" s="18">
        <v>590</v>
      </c>
      <c r="B591" s="18"/>
      <c r="C591" s="18" t="str">
        <f>IF(G591="","",IF(G591="Umum",G591,VLOOKUP(F591,'Data Induk Pegawai'!B:AE,4,FALSE)))</f>
        <v/>
      </c>
      <c r="D591" s="19" t="str">
        <f>IF('REGISTER SK'!A594="","",IF('REGISTER SK'!B594=0,D590,'REGISTER SK'!B594))</f>
        <v/>
      </c>
      <c r="E591" s="19" t="str">
        <f t="shared" si="245"/>
        <v/>
      </c>
      <c r="F591" s="29"/>
      <c r="G591" s="29"/>
      <c r="H591" s="31" t="str">
        <f>IF(F591="","",VLOOKUP(F591,'Data Induk Pegawai'!B:U,2,FALSE))</f>
        <v/>
      </c>
      <c r="I591" s="19" t="str">
        <f>IF('REGISTER SK'!C594="","",'REGISTER SK'!C594)</f>
        <v/>
      </c>
      <c r="J591" s="125"/>
      <c r="K591" s="125"/>
      <c r="L591" s="26" t="str">
        <f>IF('REGISTER SK'!D594="","",'REGISTER SK'!D594)</f>
        <v/>
      </c>
      <c r="M591" s="26" t="str">
        <f>IF('REGISTER SK'!E594="","",'REGISTER SK'!E594)</f>
        <v/>
      </c>
      <c r="N591" s="31" t="str">
        <f>IF(G591="","",IF(OR(G591="GTT",G591="PTT"),"--",VLOOKUP(F591,'Data Induk Pegawai'!B:AE,4,FALSE)))</f>
        <v/>
      </c>
      <c r="O591" s="18" t="str">
        <f>IF(G591="","",VLOOKUP(F591,'Data Induk Pegawai'!B:AE,6,FALSE))</f>
        <v/>
      </c>
      <c r="P591" s="31" t="str">
        <f>IF(G591="","",VLOOKUP(F591,'Data Induk Pegawai'!B:AE,7,FALSE))</f>
        <v/>
      </c>
      <c r="Q591" s="30"/>
      <c r="R591" s="26" t="str">
        <f>IF(G591="","","Nomor "&amp;RIGHT(VLOOKUP(F591,'Data Induk Pegawai'!B:AE,12,FALSE),2)&amp;" Tahun "&amp;MID(VLOOKUP(F591,'Data Induk Pegawai'!B:AE,12,FALSE),5,4))</f>
        <v/>
      </c>
      <c r="S591" s="26" t="str">
        <f>IF(G591="","",VLOOKUP(F591,'Data Induk Pegawai'!B:AE,11,FALSE))</f>
        <v/>
      </c>
      <c r="T591" s="56"/>
      <c r="U591" s="18" t="str">
        <f t="shared" si="227"/>
        <v/>
      </c>
      <c r="V591" s="30"/>
      <c r="W591" s="18" t="str">
        <f t="shared" si="225"/>
        <v/>
      </c>
      <c r="Y591" t="str">
        <f t="shared" si="228"/>
        <v/>
      </c>
      <c r="Z591" t="str">
        <f t="shared" si="229"/>
        <v/>
      </c>
      <c r="AA591" t="str">
        <f t="shared" si="230"/>
        <v/>
      </c>
      <c r="AB591" t="str">
        <f>COUNTIFS(AC591:AC$596,AC591)&amp;AC591</f>
        <v>6</v>
      </c>
      <c r="AC591" t="str">
        <f t="shared" si="246"/>
        <v/>
      </c>
      <c r="AD591" t="str">
        <f>COUNTIFS(AC$2:AC591,AC591)&amp;AC591</f>
        <v>590</v>
      </c>
      <c r="AE591" t="str">
        <f t="shared" si="231"/>
        <v/>
      </c>
      <c r="AF591" t="str">
        <f t="shared" si="247"/>
        <v>..</v>
      </c>
      <c r="AG591" s="28" t="str">
        <f t="shared" si="226"/>
        <v/>
      </c>
      <c r="AH591" s="28" t="str">
        <f t="shared" si="232"/>
        <v/>
      </c>
      <c r="AI591" t="str">
        <f t="shared" si="233"/>
        <v/>
      </c>
      <c r="AJ591" t="str">
        <f t="shared" si="234"/>
        <v/>
      </c>
      <c r="AK591" t="str">
        <f t="shared" si="235"/>
        <v/>
      </c>
      <c r="AL591" t="str">
        <f t="shared" si="236"/>
        <v/>
      </c>
      <c r="AM591" t="str">
        <f t="shared" si="237"/>
        <v/>
      </c>
      <c r="AN591" t="str">
        <f t="shared" si="238"/>
        <v/>
      </c>
      <c r="AO591" t="str">
        <f t="shared" si="239"/>
        <v/>
      </c>
      <c r="AP591" t="str">
        <f t="shared" si="240"/>
        <v/>
      </c>
      <c r="AQ591" t="str">
        <f t="shared" si="241"/>
        <v/>
      </c>
      <c r="AR591" t="str">
        <f t="shared" si="242"/>
        <v/>
      </c>
      <c r="AS591" t="str">
        <f t="shared" si="243"/>
        <v/>
      </c>
      <c r="AT591" t="str">
        <f t="shared" si="244"/>
        <v/>
      </c>
      <c r="AU591" s="25" t="str">
        <f t="shared" si="248"/>
        <v/>
      </c>
      <c r="BA591">
        <f>'REGISTER SK'!F594</f>
        <v>0</v>
      </c>
    </row>
    <row r="592" spans="1:53" x14ac:dyDescent="0.35">
      <c r="A592" s="18">
        <v>591</v>
      </c>
      <c r="B592" s="18"/>
      <c r="C592" s="18" t="str">
        <f>IF(G592="","",IF(G592="Umum",G592,VLOOKUP(F592,'Data Induk Pegawai'!B:AE,4,FALSE)))</f>
        <v/>
      </c>
      <c r="D592" s="19" t="str">
        <f>IF('REGISTER SK'!A595="","",IF('REGISTER SK'!B595=0,D591,'REGISTER SK'!B595))</f>
        <v/>
      </c>
      <c r="E592" s="19" t="str">
        <f t="shared" si="245"/>
        <v/>
      </c>
      <c r="F592" s="29"/>
      <c r="G592" s="29"/>
      <c r="H592" s="31" t="str">
        <f>IF(F592="","",VLOOKUP(F592,'Data Induk Pegawai'!B:U,2,FALSE))</f>
        <v/>
      </c>
      <c r="I592" s="19" t="str">
        <f>IF('REGISTER SK'!C595="","",'REGISTER SK'!C595)</f>
        <v/>
      </c>
      <c r="J592" s="125"/>
      <c r="K592" s="125"/>
      <c r="L592" s="26" t="str">
        <f>IF('REGISTER SK'!D595="","",'REGISTER SK'!D595)</f>
        <v/>
      </c>
      <c r="M592" s="26" t="str">
        <f>IF('REGISTER SK'!E595="","",'REGISTER SK'!E595)</f>
        <v/>
      </c>
      <c r="N592" s="31" t="str">
        <f>IF(G592="","",IF(OR(G592="GTT",G592="PTT"),"--",VLOOKUP(F592,'Data Induk Pegawai'!B:AE,4,FALSE)))</f>
        <v/>
      </c>
      <c r="O592" s="18" t="str">
        <f>IF(G592="","",VLOOKUP(F592,'Data Induk Pegawai'!B:AE,6,FALSE))</f>
        <v/>
      </c>
      <c r="P592" s="31" t="str">
        <f>IF(G592="","",VLOOKUP(F592,'Data Induk Pegawai'!B:AE,7,FALSE))</f>
        <v/>
      </c>
      <c r="Q592" s="30"/>
      <c r="R592" s="26" t="str">
        <f>IF(G592="","","Nomor "&amp;RIGHT(VLOOKUP(F592,'Data Induk Pegawai'!B:AE,12,FALSE),2)&amp;" Tahun "&amp;MID(VLOOKUP(F592,'Data Induk Pegawai'!B:AE,12,FALSE),5,4))</f>
        <v/>
      </c>
      <c r="S592" s="26" t="str">
        <f>IF(G592="","",VLOOKUP(F592,'Data Induk Pegawai'!B:AE,11,FALSE))</f>
        <v/>
      </c>
      <c r="T592" s="56"/>
      <c r="U592" s="18" t="str">
        <f t="shared" si="227"/>
        <v/>
      </c>
      <c r="V592" s="30"/>
      <c r="W592" s="18" t="str">
        <f t="shared" si="225"/>
        <v/>
      </c>
      <c r="Y592" t="str">
        <f t="shared" si="228"/>
        <v/>
      </c>
      <c r="Z592" t="str">
        <f t="shared" si="229"/>
        <v/>
      </c>
      <c r="AA592" t="str">
        <f t="shared" si="230"/>
        <v/>
      </c>
      <c r="AB592" t="str">
        <f>COUNTIFS(AC592:AC$596,AC592)&amp;AC592</f>
        <v>5</v>
      </c>
      <c r="AC592" t="str">
        <f t="shared" si="246"/>
        <v/>
      </c>
      <c r="AD592" t="str">
        <f>COUNTIFS(AC$2:AC592,AC592)&amp;AC592</f>
        <v>591</v>
      </c>
      <c r="AE592" t="str">
        <f t="shared" si="231"/>
        <v/>
      </c>
      <c r="AF592" t="str">
        <f t="shared" si="247"/>
        <v>..</v>
      </c>
      <c r="AG592" s="28" t="str">
        <f t="shared" si="226"/>
        <v/>
      </c>
      <c r="AH592" s="28" t="str">
        <f t="shared" si="232"/>
        <v/>
      </c>
      <c r="AI592" t="str">
        <f t="shared" si="233"/>
        <v/>
      </c>
      <c r="AJ592" t="str">
        <f t="shared" si="234"/>
        <v/>
      </c>
      <c r="AK592" t="str">
        <f t="shared" si="235"/>
        <v/>
      </c>
      <c r="AL592" t="str">
        <f t="shared" si="236"/>
        <v/>
      </c>
      <c r="AM592" t="str">
        <f t="shared" si="237"/>
        <v/>
      </c>
      <c r="AN592" t="str">
        <f t="shared" si="238"/>
        <v/>
      </c>
      <c r="AO592" t="str">
        <f t="shared" si="239"/>
        <v/>
      </c>
      <c r="AP592" t="str">
        <f t="shared" si="240"/>
        <v/>
      </c>
      <c r="AQ592" t="str">
        <f t="shared" si="241"/>
        <v/>
      </c>
      <c r="AR592" t="str">
        <f t="shared" si="242"/>
        <v/>
      </c>
      <c r="AS592" t="str">
        <f t="shared" si="243"/>
        <v/>
      </c>
      <c r="AT592" t="str">
        <f t="shared" si="244"/>
        <v/>
      </c>
      <c r="AU592" s="25" t="str">
        <f t="shared" si="248"/>
        <v/>
      </c>
      <c r="BA592">
        <f>'REGISTER SK'!F595</f>
        <v>0</v>
      </c>
    </row>
    <row r="593" spans="1:53" x14ac:dyDescent="0.35">
      <c r="A593" s="18">
        <v>592</v>
      </c>
      <c r="B593" s="18"/>
      <c r="C593" s="18" t="str">
        <f>IF(G593="","",IF(G593="Umum",G593,VLOOKUP(F593,'Data Induk Pegawai'!B:AE,4,FALSE)))</f>
        <v/>
      </c>
      <c r="D593" s="19" t="str">
        <f>IF('REGISTER SK'!A596="","",IF('REGISTER SK'!B596=0,D592,'REGISTER SK'!B596))</f>
        <v/>
      </c>
      <c r="E593" s="19" t="str">
        <f t="shared" si="245"/>
        <v/>
      </c>
      <c r="F593" s="29"/>
      <c r="G593" s="29"/>
      <c r="H593" s="31" t="str">
        <f>IF(F593="","",VLOOKUP(F593,'Data Induk Pegawai'!B:U,2,FALSE))</f>
        <v/>
      </c>
      <c r="I593" s="19" t="str">
        <f>IF('REGISTER SK'!C596="","",'REGISTER SK'!C596)</f>
        <v/>
      </c>
      <c r="J593" s="125"/>
      <c r="K593" s="125"/>
      <c r="L593" s="26" t="str">
        <f>IF('REGISTER SK'!D596="","",'REGISTER SK'!D596)</f>
        <v/>
      </c>
      <c r="M593" s="26" t="str">
        <f>IF('REGISTER SK'!E596="","",'REGISTER SK'!E596)</f>
        <v/>
      </c>
      <c r="N593" s="31" t="str">
        <f>IF(G593="","",IF(OR(G593="GTT",G593="PTT"),"--",VLOOKUP(F593,'Data Induk Pegawai'!B:AE,4,FALSE)))</f>
        <v/>
      </c>
      <c r="O593" s="18" t="str">
        <f>IF(G593="","",VLOOKUP(F593,'Data Induk Pegawai'!B:AE,6,FALSE))</f>
        <v/>
      </c>
      <c r="P593" s="31" t="str">
        <f>IF(G593="","",VLOOKUP(F593,'Data Induk Pegawai'!B:AE,7,FALSE))</f>
        <v/>
      </c>
      <c r="Q593" s="30"/>
      <c r="R593" s="26" t="str">
        <f>IF(G593="","","Nomor "&amp;RIGHT(VLOOKUP(F593,'Data Induk Pegawai'!B:AE,12,FALSE),2)&amp;" Tahun "&amp;MID(VLOOKUP(F593,'Data Induk Pegawai'!B:AE,12,FALSE),5,4))</f>
        <v/>
      </c>
      <c r="S593" s="26" t="str">
        <f>IF(G593="","",VLOOKUP(F593,'Data Induk Pegawai'!B:AE,11,FALSE))</f>
        <v/>
      </c>
      <c r="T593" s="56"/>
      <c r="U593" s="18" t="str">
        <f t="shared" si="227"/>
        <v/>
      </c>
      <c r="V593" s="30"/>
      <c r="W593" s="18" t="str">
        <f t="shared" si="225"/>
        <v/>
      </c>
      <c r="Y593" t="str">
        <f t="shared" si="228"/>
        <v/>
      </c>
      <c r="Z593" t="str">
        <f t="shared" si="229"/>
        <v/>
      </c>
      <c r="AA593" t="str">
        <f t="shared" si="230"/>
        <v/>
      </c>
      <c r="AB593" t="str">
        <f>COUNTIFS(AC593:AC$596,AC593)&amp;AC593</f>
        <v>4</v>
      </c>
      <c r="AC593" t="str">
        <f t="shared" si="246"/>
        <v/>
      </c>
      <c r="AD593" t="str">
        <f>COUNTIFS(AC$2:AC593,AC593)&amp;AC593</f>
        <v>592</v>
      </c>
      <c r="AE593" t="str">
        <f t="shared" si="231"/>
        <v/>
      </c>
      <c r="AF593" t="str">
        <f t="shared" si="247"/>
        <v>..</v>
      </c>
      <c r="AG593" s="28" t="str">
        <f t="shared" si="226"/>
        <v/>
      </c>
      <c r="AH593" s="28" t="str">
        <f t="shared" si="232"/>
        <v/>
      </c>
      <c r="AI593" t="str">
        <f t="shared" si="233"/>
        <v/>
      </c>
      <c r="AJ593" t="str">
        <f t="shared" si="234"/>
        <v/>
      </c>
      <c r="AK593" t="str">
        <f t="shared" si="235"/>
        <v/>
      </c>
      <c r="AL593" t="str">
        <f t="shared" si="236"/>
        <v/>
      </c>
      <c r="AM593" t="str">
        <f t="shared" si="237"/>
        <v/>
      </c>
      <c r="AN593" t="str">
        <f t="shared" si="238"/>
        <v/>
      </c>
      <c r="AO593" t="str">
        <f t="shared" si="239"/>
        <v/>
      </c>
      <c r="AP593" t="str">
        <f t="shared" si="240"/>
        <v/>
      </c>
      <c r="AQ593" t="str">
        <f t="shared" si="241"/>
        <v/>
      </c>
      <c r="AR593" t="str">
        <f t="shared" si="242"/>
        <v/>
      </c>
      <c r="AS593" t="str">
        <f t="shared" si="243"/>
        <v/>
      </c>
      <c r="AT593" t="str">
        <f t="shared" si="244"/>
        <v/>
      </c>
      <c r="AU593" s="25" t="str">
        <f t="shared" si="248"/>
        <v/>
      </c>
      <c r="BA593">
        <f>'REGISTER SK'!F596</f>
        <v>0</v>
      </c>
    </row>
    <row r="594" spans="1:53" x14ac:dyDescent="0.35">
      <c r="A594" s="18">
        <v>593</v>
      </c>
      <c r="B594" s="18"/>
      <c r="C594" s="18" t="str">
        <f>IF(G594="","",IF(G594="Umum",G594,VLOOKUP(F594,'Data Induk Pegawai'!B:AE,4,FALSE)))</f>
        <v/>
      </c>
      <c r="D594" s="19" t="str">
        <f>IF('REGISTER SK'!A597="","",IF('REGISTER SK'!B597=0,D593,'REGISTER SK'!B597))</f>
        <v/>
      </c>
      <c r="E594" s="19" t="str">
        <f t="shared" si="245"/>
        <v/>
      </c>
      <c r="F594" s="29"/>
      <c r="G594" s="29"/>
      <c r="H594" s="31" t="str">
        <f>IF(F594="","",VLOOKUP(F594,'Data Induk Pegawai'!B:U,2,FALSE))</f>
        <v/>
      </c>
      <c r="I594" s="19" t="str">
        <f>IF('REGISTER SK'!C597="","",'REGISTER SK'!C597)</f>
        <v/>
      </c>
      <c r="J594" s="125"/>
      <c r="K594" s="125"/>
      <c r="L594" s="26" t="str">
        <f>IF('REGISTER SK'!D597="","",'REGISTER SK'!D597)</f>
        <v/>
      </c>
      <c r="M594" s="26" t="str">
        <f>IF('REGISTER SK'!E597="","",'REGISTER SK'!E597)</f>
        <v/>
      </c>
      <c r="N594" s="31" t="str">
        <f>IF(G594="","",IF(OR(G594="GTT",G594="PTT"),"--",VLOOKUP(F594,'Data Induk Pegawai'!B:AE,4,FALSE)))</f>
        <v/>
      </c>
      <c r="O594" s="18" t="str">
        <f>IF(G594="","",VLOOKUP(F594,'Data Induk Pegawai'!B:AE,6,FALSE))</f>
        <v/>
      </c>
      <c r="P594" s="31" t="str">
        <f>IF(G594="","",VLOOKUP(F594,'Data Induk Pegawai'!B:AE,7,FALSE))</f>
        <v/>
      </c>
      <c r="Q594" s="30"/>
      <c r="R594" s="26" t="str">
        <f>IF(G594="","","Nomor "&amp;RIGHT(VLOOKUP(F594,'Data Induk Pegawai'!B:AE,12,FALSE),2)&amp;" Tahun "&amp;MID(VLOOKUP(F594,'Data Induk Pegawai'!B:AE,12,FALSE),5,4))</f>
        <v/>
      </c>
      <c r="S594" s="26" t="str">
        <f>IF(G594="","",VLOOKUP(F594,'Data Induk Pegawai'!B:AE,11,FALSE))</f>
        <v/>
      </c>
      <c r="T594" s="56"/>
      <c r="U594" s="18" t="str">
        <f t="shared" si="227"/>
        <v/>
      </c>
      <c r="V594" s="30"/>
      <c r="W594" s="18" t="str">
        <f t="shared" si="225"/>
        <v/>
      </c>
      <c r="Y594" t="str">
        <f t="shared" si="228"/>
        <v/>
      </c>
      <c r="Z594" t="str">
        <f t="shared" si="229"/>
        <v/>
      </c>
      <c r="AA594" t="str">
        <f t="shared" si="230"/>
        <v/>
      </c>
      <c r="AB594" t="str">
        <f>COUNTIFS(AC594:AC$596,AC594)&amp;AC594</f>
        <v>3</v>
      </c>
      <c r="AC594" t="str">
        <f t="shared" si="246"/>
        <v/>
      </c>
      <c r="AD594" t="str">
        <f>COUNTIFS(AC$2:AC594,AC594)&amp;AC594</f>
        <v>593</v>
      </c>
      <c r="AE594" t="str">
        <f t="shared" si="231"/>
        <v/>
      </c>
      <c r="AF594" t="str">
        <f t="shared" si="247"/>
        <v>..</v>
      </c>
      <c r="AG594" s="28" t="str">
        <f t="shared" si="226"/>
        <v/>
      </c>
      <c r="AH594" s="28" t="str">
        <f t="shared" si="232"/>
        <v/>
      </c>
      <c r="AI594" t="str">
        <f t="shared" si="233"/>
        <v/>
      </c>
      <c r="AJ594" t="str">
        <f t="shared" si="234"/>
        <v/>
      </c>
      <c r="AK594" t="str">
        <f t="shared" si="235"/>
        <v/>
      </c>
      <c r="AL594" t="str">
        <f t="shared" si="236"/>
        <v/>
      </c>
      <c r="AM594" t="str">
        <f t="shared" si="237"/>
        <v/>
      </c>
      <c r="AN594" t="str">
        <f t="shared" si="238"/>
        <v/>
      </c>
      <c r="AO594" t="str">
        <f t="shared" si="239"/>
        <v/>
      </c>
      <c r="AP594" t="str">
        <f t="shared" si="240"/>
        <v/>
      </c>
      <c r="AQ594" t="str">
        <f t="shared" si="241"/>
        <v/>
      </c>
      <c r="AR594" t="str">
        <f t="shared" si="242"/>
        <v/>
      </c>
      <c r="AS594" t="str">
        <f t="shared" si="243"/>
        <v/>
      </c>
      <c r="AT594" t="str">
        <f t="shared" si="244"/>
        <v/>
      </c>
      <c r="AU594" s="25" t="str">
        <f t="shared" si="248"/>
        <v/>
      </c>
      <c r="BA594">
        <f>'REGISTER SK'!F597</f>
        <v>0</v>
      </c>
    </row>
    <row r="595" spans="1:53" x14ac:dyDescent="0.35">
      <c r="A595" s="18">
        <v>594</v>
      </c>
      <c r="B595" s="18"/>
      <c r="C595" s="18" t="str">
        <f>IF(G595="","",IF(G595="Umum",G595,VLOOKUP(F595,'Data Induk Pegawai'!B:AE,4,FALSE)))</f>
        <v/>
      </c>
      <c r="D595" s="19" t="str">
        <f>IF('REGISTER SK'!A598="","",IF('REGISTER SK'!B598=0,D594,'REGISTER SK'!B598))</f>
        <v/>
      </c>
      <c r="E595" s="19" t="str">
        <f t="shared" si="245"/>
        <v/>
      </c>
      <c r="F595" s="29"/>
      <c r="G595" s="29"/>
      <c r="H595" s="31" t="str">
        <f>IF(F595="","",VLOOKUP(F595,'Data Induk Pegawai'!B:U,2,FALSE))</f>
        <v/>
      </c>
      <c r="I595" s="19" t="str">
        <f>IF('REGISTER SK'!C598="","",'REGISTER SK'!C598)</f>
        <v/>
      </c>
      <c r="J595" s="125"/>
      <c r="K595" s="125"/>
      <c r="L595" s="26" t="str">
        <f>IF('REGISTER SK'!D598="","",'REGISTER SK'!D598)</f>
        <v/>
      </c>
      <c r="M595" s="26" t="str">
        <f>IF('REGISTER SK'!E598="","",'REGISTER SK'!E598)</f>
        <v/>
      </c>
      <c r="N595" s="31" t="str">
        <f>IF(G595="","",IF(OR(G595="GTT",G595="PTT"),"--",VLOOKUP(F595,'Data Induk Pegawai'!B:AE,4,FALSE)))</f>
        <v/>
      </c>
      <c r="O595" s="18" t="str">
        <f>IF(G595="","",VLOOKUP(F595,'Data Induk Pegawai'!B:AE,6,FALSE))</f>
        <v/>
      </c>
      <c r="P595" s="31" t="str">
        <f>IF(G595="","",VLOOKUP(F595,'Data Induk Pegawai'!B:AE,7,FALSE))</f>
        <v/>
      </c>
      <c r="Q595" s="30"/>
      <c r="R595" s="26" t="str">
        <f>IF(G595="","","Nomor "&amp;RIGHT(VLOOKUP(F595,'Data Induk Pegawai'!B:AE,12,FALSE),2)&amp;" Tahun "&amp;MID(VLOOKUP(F595,'Data Induk Pegawai'!B:AE,12,FALSE),5,4))</f>
        <v/>
      </c>
      <c r="S595" s="26" t="str">
        <f>IF(G595="","",VLOOKUP(F595,'Data Induk Pegawai'!B:AE,11,FALSE))</f>
        <v/>
      </c>
      <c r="T595" s="56"/>
      <c r="U595" s="18" t="str">
        <f t="shared" si="227"/>
        <v/>
      </c>
      <c r="V595" s="30"/>
      <c r="W595" s="18" t="str">
        <f>V595&amp;H595</f>
        <v/>
      </c>
      <c r="Y595" t="str">
        <f t="shared" si="228"/>
        <v/>
      </c>
      <c r="Z595" t="str">
        <f t="shared" si="229"/>
        <v/>
      </c>
      <c r="AA595" t="str">
        <f t="shared" si="230"/>
        <v/>
      </c>
      <c r="AB595" t="str">
        <f>COUNTIFS(AC595:AC$596,AC595)&amp;AC595</f>
        <v>2</v>
      </c>
      <c r="AC595" t="str">
        <f t="shared" si="246"/>
        <v/>
      </c>
      <c r="AD595" t="str">
        <f>COUNTIFS(AC$2:AC595,AC595)&amp;AC595</f>
        <v>594</v>
      </c>
      <c r="AE595" t="str">
        <f t="shared" si="231"/>
        <v/>
      </c>
      <c r="AF595" t="str">
        <f t="shared" si="247"/>
        <v>..</v>
      </c>
      <c r="AG595" s="28" t="str">
        <f t="shared" si="226"/>
        <v/>
      </c>
      <c r="AH595" s="28" t="str">
        <f t="shared" si="232"/>
        <v/>
      </c>
      <c r="AI595" t="str">
        <f t="shared" si="233"/>
        <v/>
      </c>
      <c r="AJ595" t="str">
        <f t="shared" si="234"/>
        <v/>
      </c>
      <c r="AK595" t="str">
        <f t="shared" si="235"/>
        <v/>
      </c>
      <c r="AL595" t="str">
        <f t="shared" si="236"/>
        <v/>
      </c>
      <c r="AM595" t="str">
        <f t="shared" si="237"/>
        <v/>
      </c>
      <c r="AN595" t="str">
        <f t="shared" si="238"/>
        <v/>
      </c>
      <c r="AO595" t="str">
        <f t="shared" si="239"/>
        <v/>
      </c>
      <c r="AP595" t="str">
        <f t="shared" si="240"/>
        <v/>
      </c>
      <c r="AQ595" t="str">
        <f t="shared" si="241"/>
        <v/>
      </c>
      <c r="AR595" t="str">
        <f t="shared" si="242"/>
        <v/>
      </c>
      <c r="AS595" t="str">
        <f t="shared" si="243"/>
        <v/>
      </c>
      <c r="AT595" t="str">
        <f t="shared" si="244"/>
        <v/>
      </c>
      <c r="AU595" s="25" t="str">
        <f t="shared" si="248"/>
        <v/>
      </c>
      <c r="BA595">
        <f>'REGISTER SK'!F598</f>
        <v>0</v>
      </c>
    </row>
    <row r="596" spans="1:53" x14ac:dyDescent="0.35">
      <c r="A596" s="18">
        <v>595</v>
      </c>
      <c r="B596" s="18"/>
      <c r="C596" s="18" t="str">
        <f>IF(G596="","",IF(G596="Umum",G596,VLOOKUP(F596,'Data Induk Pegawai'!B:AE,4,FALSE)))</f>
        <v/>
      </c>
      <c r="D596" s="19" t="str">
        <f>IF('REGISTER SK'!A599="","",IF('REGISTER SK'!B599=0,D595,'REGISTER SK'!B599))</f>
        <v/>
      </c>
      <c r="E596" s="19" t="str">
        <f t="shared" ref="E596" si="249">IF(D596="","",D596&amp;"/"&amp;D596+1)</f>
        <v/>
      </c>
      <c r="F596" s="29"/>
      <c r="G596" s="29"/>
      <c r="H596" s="31" t="str">
        <f>IF(F596="","",VLOOKUP(F596,'Data Induk Pegawai'!B:U,2,FALSE))</f>
        <v/>
      </c>
      <c r="I596" s="19" t="str">
        <f>IF('REGISTER SK'!C599="","",'REGISTER SK'!C599)</f>
        <v/>
      </c>
      <c r="J596" s="125"/>
      <c r="K596" s="125"/>
      <c r="L596" s="26" t="str">
        <f>IF('REGISTER SK'!D599="","",'REGISTER SK'!D599)</f>
        <v/>
      </c>
      <c r="M596" s="26" t="str">
        <f>IF('REGISTER SK'!E599="","",'REGISTER SK'!E599)</f>
        <v/>
      </c>
      <c r="N596" s="31" t="str">
        <f>IF(G596="","",IF(OR(G596="GTT",G596="PTT"),"--",VLOOKUP(F596,'Data Induk Pegawai'!B:AE,4,FALSE)))</f>
        <v/>
      </c>
      <c r="O596" s="18" t="str">
        <f>IF(G596="","",VLOOKUP(F596,'Data Induk Pegawai'!B:AE,6,FALSE))</f>
        <v/>
      </c>
      <c r="P596" s="31" t="str">
        <f>IF(G596="","",VLOOKUP(F596,'Data Induk Pegawai'!B:AE,7,FALSE))</f>
        <v/>
      </c>
      <c r="Q596" s="30"/>
      <c r="R596" s="26" t="str">
        <f>IF(G596="","","Nomor "&amp;RIGHT(VLOOKUP(F596,'Data Induk Pegawai'!B:AE,12,FALSE),2)&amp;" Tahun "&amp;MID(VLOOKUP(F596,'Data Induk Pegawai'!B:AE,12,FALSE),5,4))</f>
        <v/>
      </c>
      <c r="S596" s="26" t="str">
        <f>IF(G596="","",VLOOKUP(F596,'Data Induk Pegawai'!B:AE,11,FALSE))</f>
        <v/>
      </c>
      <c r="T596" s="56"/>
      <c r="U596" s="18" t="str">
        <f t="shared" si="227"/>
        <v/>
      </c>
      <c r="V596" s="30"/>
      <c r="W596" s="18" t="str">
        <f t="shared" si="225"/>
        <v/>
      </c>
      <c r="Y596" t="str">
        <f t="shared" si="228"/>
        <v/>
      </c>
      <c r="Z596" t="str">
        <f t="shared" si="229"/>
        <v/>
      </c>
      <c r="AA596" t="str">
        <f t="shared" si="230"/>
        <v/>
      </c>
      <c r="AB596" t="str">
        <f>COUNTIFS(AC$596:AC596,AC596)&amp;AC596</f>
        <v>1</v>
      </c>
      <c r="AC596" t="str">
        <f t="shared" si="246"/>
        <v/>
      </c>
      <c r="AD596" t="str">
        <f>COUNTIFS(AC$2:AC596,AC596)&amp;AC596</f>
        <v>595</v>
      </c>
      <c r="AE596" t="str">
        <f t="shared" si="231"/>
        <v/>
      </c>
      <c r="AF596" t="str">
        <f t="shared" si="247"/>
        <v>..</v>
      </c>
      <c r="AG596" s="28" t="str">
        <f t="shared" si="226"/>
        <v/>
      </c>
      <c r="AH596" s="28" t="str">
        <f t="shared" si="232"/>
        <v/>
      </c>
      <c r="AI596" t="str">
        <f t="shared" si="233"/>
        <v/>
      </c>
      <c r="AJ596" t="str">
        <f t="shared" si="234"/>
        <v/>
      </c>
      <c r="AK596" t="str">
        <f t="shared" si="235"/>
        <v/>
      </c>
      <c r="AL596" t="str">
        <f t="shared" si="236"/>
        <v/>
      </c>
      <c r="AM596" t="str">
        <f t="shared" si="237"/>
        <v/>
      </c>
      <c r="AN596" t="str">
        <f t="shared" si="238"/>
        <v/>
      </c>
      <c r="AO596" t="str">
        <f t="shared" si="239"/>
        <v/>
      </c>
      <c r="AP596" t="str">
        <f t="shared" si="240"/>
        <v/>
      </c>
      <c r="AQ596" t="str">
        <f t="shared" si="241"/>
        <v/>
      </c>
      <c r="AR596" t="str">
        <f t="shared" si="242"/>
        <v/>
      </c>
      <c r="AS596" t="str">
        <f t="shared" si="243"/>
        <v/>
      </c>
      <c r="AT596" t="str">
        <f t="shared" si="244"/>
        <v/>
      </c>
      <c r="AU596" s="25" t="str">
        <f t="shared" si="248"/>
        <v/>
      </c>
      <c r="BA596">
        <f>'REGISTER SK'!F599</f>
        <v>0</v>
      </c>
    </row>
  </sheetData>
  <autoFilter ref="A1:AP596" xr:uid="{00000000-0009-0000-0000-000001000000}"/>
  <phoneticPr fontId="8" type="noConversion"/>
  <conditionalFormatting sqref="A2:AB596">
    <cfRule type="expression" dxfId="30" priority="2">
      <formula>$G2="Umum"</formula>
    </cfRule>
  </conditionalFormatting>
  <conditionalFormatting sqref="B2:B9">
    <cfRule type="expression" dxfId="29" priority="118">
      <formula>$G2="Umum"</formula>
    </cfRule>
  </conditionalFormatting>
  <conditionalFormatting sqref="AU2:AU596">
    <cfRule type="expression" dxfId="28" priority="1">
      <formula>$G2="Umum"</formula>
    </cfRule>
  </conditionalFormatting>
  <dataValidations count="1">
    <dataValidation type="list" allowBlank="1" showInputMessage="1" showErrorMessage="1" sqref="G2:G596" xr:uid="{00000000-0002-0000-0100-000000000000}">
      <formula1>"Umum,PTT,GTT,PTY,GTY,OUT"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05"/>
  <sheetViews>
    <sheetView zoomScale="64" zoomScaleNormal="75" zoomScaleSheetLayoutView="85" workbookViewId="0">
      <pane xSplit="5" ySplit="5" topLeftCell="F6" activePane="bottomRight" state="frozen"/>
      <selection pane="topRight" activeCell="E1" sqref="E1"/>
      <selection pane="bottomLeft" activeCell="A7" sqref="A7"/>
      <selection pane="bottomRight"/>
    </sheetView>
  </sheetViews>
  <sheetFormatPr defaultRowHeight="14.5" outlineLevelCol="1" x14ac:dyDescent="0.35"/>
  <cols>
    <col min="1" max="1" width="8.7265625" hidden="1" customWidth="1" outlineLevel="1"/>
    <col min="2" max="2" width="5.7265625" customWidth="1" collapsed="1"/>
    <col min="3" max="3" width="33.08984375" customWidth="1"/>
    <col min="4" max="4" width="6.1796875" customWidth="1" outlineLevel="1"/>
    <col min="5" max="5" width="15.453125" bestFit="1" customWidth="1" outlineLevel="1"/>
    <col min="6" max="6" width="6" customWidth="1"/>
    <col min="7" max="7" width="28.26953125" customWidth="1" outlineLevel="1"/>
    <col min="8" max="8" width="41.26953125" customWidth="1" outlineLevel="1"/>
    <col min="9" max="9" width="20.7265625" customWidth="1" outlineLevel="1"/>
    <col min="10" max="10" width="6.453125" bestFit="1" customWidth="1"/>
    <col min="11" max="11" width="9.54296875" style="43" bestFit="1" customWidth="1"/>
    <col min="12" max="12" width="13.6328125" style="47" bestFit="1" customWidth="1"/>
    <col min="13" max="13" width="16.26953125" style="47" bestFit="1" customWidth="1"/>
    <col min="14" max="14" width="15.08984375" style="47" bestFit="1" customWidth="1"/>
    <col min="15" max="15" width="16.36328125" style="47" bestFit="1" customWidth="1"/>
    <col min="16" max="16" width="15.1796875" style="47" bestFit="1" customWidth="1"/>
    <col min="17" max="17" width="16.36328125" style="47" bestFit="1" customWidth="1"/>
    <col min="18" max="18" width="15.1796875" style="47" bestFit="1" customWidth="1"/>
    <col min="19" max="19" width="60.6328125" bestFit="1" customWidth="1"/>
    <col min="20" max="20" width="37.26953125" customWidth="1"/>
    <col min="21" max="21" width="23.7265625" style="25" bestFit="1" customWidth="1" outlineLevel="1"/>
    <col min="22" max="22" width="37.26953125" customWidth="1" outlineLevel="1"/>
    <col min="23" max="23" width="11.54296875" bestFit="1" customWidth="1" outlineLevel="1"/>
    <col min="24" max="24" width="17.26953125" bestFit="1" customWidth="1"/>
    <col min="25" max="25" width="17.26953125" customWidth="1"/>
    <col min="26" max="26" width="11.54296875" style="37" hidden="1" customWidth="1" outlineLevel="1"/>
    <col min="27" max="27" width="12.1796875" style="37" hidden="1" customWidth="1" outlineLevel="1"/>
    <col min="28" max="28" width="7.26953125" style="37" hidden="1" customWidth="1" outlineLevel="1"/>
    <col min="29" max="29" width="8.7265625" collapsed="1"/>
  </cols>
  <sheetData>
    <row r="1" spans="1:30" ht="15.5" x14ac:dyDescent="0.35">
      <c r="B1" s="7" t="s">
        <v>634</v>
      </c>
      <c r="E1" s="1"/>
      <c r="F1" s="1"/>
      <c r="G1" s="1"/>
      <c r="H1" s="1"/>
      <c r="I1" s="1"/>
      <c r="J1" s="1"/>
      <c r="K1" s="40"/>
      <c r="L1" s="48"/>
      <c r="M1" s="48"/>
      <c r="N1" s="48"/>
      <c r="O1" s="48"/>
      <c r="P1" s="48"/>
      <c r="Q1" s="48"/>
      <c r="R1" s="48"/>
      <c r="S1" s="3"/>
      <c r="T1" s="3"/>
      <c r="U1" s="40"/>
      <c r="V1" s="3"/>
      <c r="W1" s="3"/>
    </row>
    <row r="2" spans="1:30" ht="21" x14ac:dyDescent="0.5">
      <c r="B2" s="126" t="s">
        <v>636</v>
      </c>
      <c r="E2" s="1"/>
      <c r="F2" s="1"/>
      <c r="G2" s="1"/>
      <c r="H2" s="1"/>
      <c r="I2" s="1"/>
      <c r="J2" s="1"/>
      <c r="K2" s="40"/>
      <c r="L2" s="48"/>
      <c r="M2" s="48"/>
      <c r="N2" s="48"/>
      <c r="O2" s="48"/>
      <c r="P2" s="48"/>
      <c r="Q2" s="48"/>
      <c r="R2" s="48"/>
      <c r="S2" s="3"/>
      <c r="T2" s="3"/>
      <c r="U2" s="40"/>
      <c r="V2" s="3"/>
      <c r="W2" s="3"/>
    </row>
    <row r="3" spans="1:30" ht="21" x14ac:dyDescent="0.5">
      <c r="B3" s="126" t="s">
        <v>562</v>
      </c>
      <c r="C3" s="2"/>
      <c r="D3" s="2"/>
      <c r="E3" s="2"/>
      <c r="F3" s="2"/>
      <c r="G3" s="2"/>
      <c r="H3" s="2"/>
      <c r="I3" s="2"/>
      <c r="J3" s="2"/>
      <c r="L3" s="50"/>
      <c r="M3" s="50"/>
      <c r="N3" s="50"/>
      <c r="O3" s="50"/>
      <c r="P3" s="50"/>
      <c r="Q3" s="50"/>
      <c r="R3" s="50"/>
      <c r="S3" s="5"/>
      <c r="T3" s="5"/>
      <c r="U3" s="41"/>
      <c r="V3" s="5"/>
      <c r="W3" s="5"/>
    </row>
    <row r="4" spans="1:30" x14ac:dyDescent="0.35">
      <c r="L4" s="174" t="s">
        <v>522</v>
      </c>
      <c r="M4" s="174"/>
      <c r="N4" s="174"/>
      <c r="O4" s="175" t="s">
        <v>523</v>
      </c>
      <c r="P4" s="175"/>
      <c r="Q4" s="176" t="s">
        <v>567</v>
      </c>
      <c r="R4" s="176"/>
      <c r="S4" s="4"/>
      <c r="T4" s="4"/>
      <c r="V4" s="4"/>
      <c r="W4" s="4"/>
    </row>
    <row r="5" spans="1:30" s="22" customFormat="1" ht="15.5" x14ac:dyDescent="0.35">
      <c r="A5" s="23" t="s">
        <v>0</v>
      </c>
      <c r="B5" s="23" t="s">
        <v>0</v>
      </c>
      <c r="C5" s="23" t="s">
        <v>1</v>
      </c>
      <c r="D5" s="23" t="s">
        <v>130</v>
      </c>
      <c r="E5" s="23" t="s">
        <v>9</v>
      </c>
      <c r="F5" s="23" t="s">
        <v>483</v>
      </c>
      <c r="G5" s="23" t="s">
        <v>251</v>
      </c>
      <c r="H5" s="24" t="s">
        <v>258</v>
      </c>
      <c r="I5" s="23" t="s">
        <v>94</v>
      </c>
      <c r="J5" s="24" t="s">
        <v>95</v>
      </c>
      <c r="K5" s="23" t="s">
        <v>96</v>
      </c>
      <c r="L5" s="79" t="s">
        <v>97</v>
      </c>
      <c r="M5" s="79" t="s">
        <v>98</v>
      </c>
      <c r="N5" s="79" t="s">
        <v>99</v>
      </c>
      <c r="O5" s="100" t="s">
        <v>100</v>
      </c>
      <c r="P5" s="100" t="s">
        <v>101</v>
      </c>
      <c r="Q5" s="85" t="s">
        <v>557</v>
      </c>
      <c r="R5" s="85" t="s">
        <v>134</v>
      </c>
      <c r="S5" s="24" t="s">
        <v>506</v>
      </c>
      <c r="T5" s="24" t="s">
        <v>509</v>
      </c>
      <c r="U5" s="45" t="s">
        <v>513</v>
      </c>
      <c r="V5" s="85" t="s">
        <v>514</v>
      </c>
      <c r="W5" s="85" t="s">
        <v>516</v>
      </c>
      <c r="X5" s="85" t="s">
        <v>521</v>
      </c>
      <c r="Y5"/>
      <c r="Z5" s="38" t="s">
        <v>387</v>
      </c>
      <c r="AA5" s="38" t="s">
        <v>388</v>
      </c>
      <c r="AB5" s="38" t="s">
        <v>376</v>
      </c>
      <c r="AD5"/>
    </row>
    <row r="6" spans="1:30" ht="15.5" x14ac:dyDescent="0.35">
      <c r="A6" t="str">
        <f>AA6</f>
        <v>A1</v>
      </c>
      <c r="B6" s="9">
        <v>1</v>
      </c>
      <c r="C6" s="8" t="s">
        <v>570</v>
      </c>
      <c r="D6" s="13" t="s">
        <v>163</v>
      </c>
      <c r="E6" s="10" t="s">
        <v>583</v>
      </c>
      <c r="F6" s="10" t="s">
        <v>485</v>
      </c>
      <c r="G6" s="8" t="s">
        <v>597</v>
      </c>
      <c r="H6" s="8" t="s">
        <v>610</v>
      </c>
      <c r="I6" s="8" t="s">
        <v>475</v>
      </c>
      <c r="J6" s="10" t="s">
        <v>3</v>
      </c>
      <c r="K6" s="44" t="s">
        <v>70</v>
      </c>
      <c r="L6" s="158" t="e">
        <f>IF(C6="","",IF(M6="--","--",VLOOKUP(M6,'Draft SK'!AF:AI,3,FALSE)))</f>
        <v>#N/A</v>
      </c>
      <c r="M6" s="159" t="e">
        <f>IF(C6="","",IF(B6="","--",IFERROR(VLOOKUP("1GPTT"&amp;B6,'Draft SK'!AD:AF,3,FALSE),VLOOKUP("1UMUM"&amp;B6,'Draft SK'!AD:AF,3,FALSE))))</f>
        <v>#N/A</v>
      </c>
      <c r="N6" s="158" t="e">
        <f>IF(C6="","",IF(M6="--","--",VLOOKUP(M6,'Draft SK'!AF:AI,2,FALSE)))</f>
        <v>#N/A</v>
      </c>
      <c r="O6" s="160" t="str">
        <f>IF(C6="","",IFERROR(VLOOKUP("1GPTY"&amp;B6,'Draft SK'!AD:AF,3,FALSE),"--"))</f>
        <v>--</v>
      </c>
      <c r="P6" s="161" t="str">
        <f>IF(C6="","",IF(O6="--","--",VLOOKUP(O6,'Draft SK'!AF:AI,2,FALSE)))</f>
        <v>--</v>
      </c>
      <c r="Q6" s="162" t="str">
        <f>IF(C6="","",IFERROR(IFERROR(VLOOKUP("1GPTY"&amp;B6,'Draft SK'!AB:AG,5,FALSE),VLOOKUP("1GPTT"&amp;B6,'Draft SK'!AB:AG,5,FALSE)),"--"))</f>
        <v>--</v>
      </c>
      <c r="R6" s="162" t="str">
        <f>IF(C6="","",IF(Q6="--","--",VLOOKUP(Q6,'Draft SK'!AF:AI,2,FALSE)))</f>
        <v>--</v>
      </c>
      <c r="S6" s="11" t="s">
        <v>619</v>
      </c>
      <c r="T6" s="6" t="s">
        <v>629</v>
      </c>
      <c r="U6" s="42">
        <v>44013</v>
      </c>
      <c r="V6" s="99">
        <v>12345</v>
      </c>
      <c r="W6" s="83" t="str">
        <f>IF(C6="","",LEFT(G6,FIND("#",SUBSTITUTE(G6,",","#",1))-1))</f>
        <v>Pluto</v>
      </c>
      <c r="X6" s="163" t="str">
        <f>IF(C6="","",TRIM(MID(G6,FIND("#",SUBSTITUTE(G6,",","#",1))+1,255)))</f>
        <v>11 Januari 1970</v>
      </c>
      <c r="Z6" s="37" t="str">
        <f t="shared" ref="Z6:Z37" si="0">IF(K6="","",IF(OR(K6="Aktif",K6="Cuti"),"A","B"))</f>
        <v>A</v>
      </c>
      <c r="AA6" s="37" t="str">
        <f>Z6&amp;COUNTIFS(Z$6:Z6,Z6)</f>
        <v>A1</v>
      </c>
      <c r="AB6" s="37">
        <f>COUNTIFS(AA$6:AA6,AA6)</f>
        <v>1</v>
      </c>
    </row>
    <row r="7" spans="1:30" ht="15.5" x14ac:dyDescent="0.35">
      <c r="A7" t="str">
        <f t="shared" ref="A7:A70" si="1">AA7</f>
        <v>A2</v>
      </c>
      <c r="B7" s="9">
        <v>2</v>
      </c>
      <c r="C7" s="8" t="s">
        <v>571</v>
      </c>
      <c r="D7" s="13" t="s">
        <v>164</v>
      </c>
      <c r="E7" s="10" t="s">
        <v>584</v>
      </c>
      <c r="F7" s="10" t="s">
        <v>485</v>
      </c>
      <c r="G7" s="8" t="s">
        <v>598</v>
      </c>
      <c r="H7" s="8" t="s">
        <v>611</v>
      </c>
      <c r="I7" s="12" t="s">
        <v>614</v>
      </c>
      <c r="J7" s="10" t="s">
        <v>3</v>
      </c>
      <c r="K7" s="44" t="s">
        <v>70</v>
      </c>
      <c r="L7" s="158" t="e">
        <f>IF(C7="","",IF(M7="--",M7,VLOOKUP(M7,'Draft SK'!AF:AI,3,FALSE)))</f>
        <v>#N/A</v>
      </c>
      <c r="M7" s="159" t="e">
        <f>IF(C7="","",IF(B7="","--",IFERROR(VLOOKUP("1GPTT"&amp;B7,'Draft SK'!AD:AF,3,FALSE),VLOOKUP("1UMUM"&amp;B7,'Draft SK'!AD:AF,3,FALSE))))</f>
        <v>#N/A</v>
      </c>
      <c r="N7" s="158" t="e">
        <f>IF(C7="","",IF(M7="--","--",VLOOKUP(M7,'Draft SK'!AF:AI,2,FALSE)))</f>
        <v>#N/A</v>
      </c>
      <c r="O7" s="160" t="str">
        <f>IF(C7="","",IFERROR(VLOOKUP("1GPTY"&amp;B7,'Draft SK'!AD:AF,3,FALSE),"--"))</f>
        <v>--</v>
      </c>
      <c r="P7" s="161" t="str">
        <f>IF(C7="","",IF(O7="--","--",VLOOKUP(O7,'Draft SK'!AF:AI,2,FALSE)))</f>
        <v>--</v>
      </c>
      <c r="Q7" s="162" t="str">
        <f>IF(C7="","",IFERROR(IFERROR(VLOOKUP("1GPTY"&amp;B7,'Draft SK'!AB:AG,5,FALSE),VLOOKUP("1GPTT"&amp;B7,'Draft SK'!AB:AG,5,FALSE)),"--"))</f>
        <v>--</v>
      </c>
      <c r="R7" s="162" t="str">
        <f>IF(C7="","",IF(Q7="--","--",VLOOKUP(Q7,'Draft SK'!AF:AI,2,FALSE)))</f>
        <v>--</v>
      </c>
      <c r="S7" s="11" t="s">
        <v>620</v>
      </c>
      <c r="T7" s="6" t="s">
        <v>502</v>
      </c>
      <c r="U7" s="42">
        <v>44013</v>
      </c>
      <c r="V7" s="6">
        <v>23456</v>
      </c>
      <c r="W7" s="83" t="str">
        <f t="shared" ref="W7:W70" si="2">IF(C7="","",LEFT(G7,FIND("#",SUBSTITUTE(G7,",","#",1))-1))</f>
        <v>Malang</v>
      </c>
      <c r="X7" s="163" t="str">
        <f t="shared" ref="X7:X70" si="3">IF(C7="","",TRIM(MID(G7,FIND("#",SUBSTITUTE(G7,",","#",1))+1,255)))</f>
        <v>12 Februari 1972</v>
      </c>
      <c r="Z7" s="37" t="str">
        <f t="shared" si="0"/>
        <v>A</v>
      </c>
      <c r="AA7" s="37" t="str">
        <f>Z7&amp;COUNTIFS(Z$6:Z7,Z7)</f>
        <v>A2</v>
      </c>
      <c r="AB7" s="37">
        <f>COUNTIFS(AA$6:AA7,AA7)</f>
        <v>1</v>
      </c>
    </row>
    <row r="8" spans="1:30" ht="15.5" x14ac:dyDescent="0.35">
      <c r="A8" t="str">
        <f t="shared" si="1"/>
        <v>A3</v>
      </c>
      <c r="B8" s="9">
        <v>3</v>
      </c>
      <c r="C8" s="8" t="s">
        <v>572</v>
      </c>
      <c r="D8" s="13" t="s">
        <v>165</v>
      </c>
      <c r="E8" s="10" t="s">
        <v>586</v>
      </c>
      <c r="F8" s="10" t="s">
        <v>485</v>
      </c>
      <c r="G8" s="8" t="s">
        <v>599</v>
      </c>
      <c r="H8" s="8" t="s">
        <v>611</v>
      </c>
      <c r="I8" s="12" t="s">
        <v>615</v>
      </c>
      <c r="J8" s="10" t="s">
        <v>3</v>
      </c>
      <c r="K8" s="44" t="s">
        <v>70</v>
      </c>
      <c r="L8" s="158" t="e">
        <f>IF(C8="","",IF(M8="--",M8,VLOOKUP(M8,'Draft SK'!AF:AI,3,FALSE)))</f>
        <v>#N/A</v>
      </c>
      <c r="M8" s="159" t="e">
        <f>IF(C8="","",IF(B8="","--",IFERROR(VLOOKUP("1GPTT"&amp;B8,'Draft SK'!AD:AF,3,FALSE),VLOOKUP("1UMUM"&amp;B8,'Draft SK'!AD:AF,3,FALSE))))</f>
        <v>#N/A</v>
      </c>
      <c r="N8" s="158" t="e">
        <f>IF(C8="","",IF(M8="--","--",VLOOKUP(M8,'Draft SK'!AF:AI,2,FALSE)))</f>
        <v>#N/A</v>
      </c>
      <c r="O8" s="160" t="str">
        <f>IF(C8="","",IFERROR(VLOOKUP("1GPTY"&amp;B8,'Draft SK'!AD:AF,3,FALSE),"--"))</f>
        <v>--</v>
      </c>
      <c r="P8" s="161" t="str">
        <f>IF(C8="","",IF(O8="--","--",VLOOKUP(O8,'Draft SK'!AF:AI,2,FALSE)))</f>
        <v>--</v>
      </c>
      <c r="Q8" s="162" t="str">
        <f>IF(C8="","",IFERROR(IFERROR(VLOOKUP("1GPTY"&amp;B8,'Draft SK'!AB:AG,5,FALSE),VLOOKUP("1GPTT"&amp;B8,'Draft SK'!AB:AG,5,FALSE)),"--"))</f>
        <v>--</v>
      </c>
      <c r="R8" s="162" t="str">
        <f>IF(C8="","",IF(Q8="--","--",VLOOKUP(Q8,'Draft SK'!AF:AI,2,FALSE)))</f>
        <v>--</v>
      </c>
      <c r="S8" s="11" t="s">
        <v>621</v>
      </c>
      <c r="T8" s="6" t="s">
        <v>507</v>
      </c>
      <c r="U8" s="42">
        <v>44378</v>
      </c>
      <c r="V8" s="6">
        <v>34567</v>
      </c>
      <c r="W8" s="83" t="str">
        <f t="shared" si="2"/>
        <v>Semarang</v>
      </c>
      <c r="X8" s="163" t="str">
        <f t="shared" si="3"/>
        <v>30 Maret 1973</v>
      </c>
      <c r="Z8" s="37" t="str">
        <f t="shared" si="0"/>
        <v>A</v>
      </c>
      <c r="AA8" s="37" t="str">
        <f>Z8&amp;COUNTIFS(Z$6:Z8,Z8)</f>
        <v>A3</v>
      </c>
      <c r="AB8" s="37">
        <f>COUNTIFS(AA$6:AA8,AA8)</f>
        <v>1</v>
      </c>
    </row>
    <row r="9" spans="1:30" ht="15.5" x14ac:dyDescent="0.35">
      <c r="A9" t="str">
        <f t="shared" si="1"/>
        <v>A4</v>
      </c>
      <c r="B9" s="9">
        <v>4</v>
      </c>
      <c r="C9" s="8" t="s">
        <v>573</v>
      </c>
      <c r="D9" s="13" t="s">
        <v>166</v>
      </c>
      <c r="E9" s="10" t="s">
        <v>587</v>
      </c>
      <c r="F9" s="10" t="s">
        <v>486</v>
      </c>
      <c r="G9" s="8" t="s">
        <v>600</v>
      </c>
      <c r="H9" s="8" t="s">
        <v>612</v>
      </c>
      <c r="I9" s="12" t="s">
        <v>616</v>
      </c>
      <c r="J9" s="10" t="s">
        <v>3</v>
      </c>
      <c r="K9" s="44" t="s">
        <v>548</v>
      </c>
      <c r="L9" s="158" t="e">
        <f>IF(C9="","",IF(M9="--",M9,VLOOKUP(M9,'Draft SK'!AF:AI,3,FALSE)))</f>
        <v>#N/A</v>
      </c>
      <c r="M9" s="159" t="e">
        <f>IF(C9="","",IF(B9="","--",IFERROR(VLOOKUP("1GPTT"&amp;B9,'Draft SK'!AD:AF,3,FALSE),VLOOKUP("1UMUM"&amp;B9,'Draft SK'!AD:AF,3,FALSE))))</f>
        <v>#N/A</v>
      </c>
      <c r="N9" s="158" t="e">
        <f>IF(C9="","",IF(M9="--","--",VLOOKUP(M9,'Draft SK'!AF:AI,2,FALSE)))</f>
        <v>#N/A</v>
      </c>
      <c r="O9" s="160" t="str">
        <f>IF(C9="","",IFERROR(VLOOKUP("1GPTY"&amp;B9,'Draft SK'!AD:AF,3,FALSE),"--"))</f>
        <v>--</v>
      </c>
      <c r="P9" s="161" t="str">
        <f>IF(C9="","",IF(O9="--","--",VLOOKUP(O9,'Draft SK'!AF:AI,2,FALSE)))</f>
        <v>--</v>
      </c>
      <c r="Q9" s="162" t="str">
        <f>IF(C9="","",IFERROR(IFERROR(VLOOKUP("1GPTY"&amp;B9,'Draft SK'!AB:AG,5,FALSE),VLOOKUP("1GPTT"&amp;B9,'Draft SK'!AB:AG,5,FALSE)),"--"))</f>
        <v>--</v>
      </c>
      <c r="R9" s="162" t="str">
        <f>IF(C9="","",IF(Q9="--","--",VLOOKUP(Q9,'Draft SK'!AF:AI,2,FALSE)))</f>
        <v>--</v>
      </c>
      <c r="S9" s="11" t="s">
        <v>503</v>
      </c>
      <c r="T9" s="6" t="s">
        <v>501</v>
      </c>
      <c r="U9" s="42">
        <v>44378</v>
      </c>
      <c r="V9" s="6">
        <v>45678</v>
      </c>
      <c r="W9" s="83" t="str">
        <f t="shared" si="2"/>
        <v>Pemalang</v>
      </c>
      <c r="X9" s="163" t="str">
        <f t="shared" si="3"/>
        <v>10 Juni 1985</v>
      </c>
      <c r="Z9" s="37" t="str">
        <f t="shared" si="0"/>
        <v>A</v>
      </c>
      <c r="AA9" s="37" t="str">
        <f>Z9&amp;COUNTIFS(Z$6:Z9,Z9)</f>
        <v>A4</v>
      </c>
      <c r="AB9" s="37">
        <f>COUNTIFS(AA$6:AA9,AA9)</f>
        <v>1</v>
      </c>
    </row>
    <row r="10" spans="1:30" ht="15.5" x14ac:dyDescent="0.35">
      <c r="A10" t="str">
        <f t="shared" si="1"/>
        <v>A5</v>
      </c>
      <c r="B10" s="9">
        <v>5</v>
      </c>
      <c r="C10" s="8" t="s">
        <v>574</v>
      </c>
      <c r="D10" s="13" t="s">
        <v>168</v>
      </c>
      <c r="E10" s="10" t="s">
        <v>588</v>
      </c>
      <c r="F10" s="10" t="s">
        <v>486</v>
      </c>
      <c r="G10" s="8" t="s">
        <v>601</v>
      </c>
      <c r="H10" s="8" t="s">
        <v>613</v>
      </c>
      <c r="I10" s="12" t="s">
        <v>37</v>
      </c>
      <c r="J10" s="10" t="s">
        <v>8</v>
      </c>
      <c r="K10" s="44" t="s">
        <v>70</v>
      </c>
      <c r="L10" s="158" t="e">
        <f>IF(C10="","",IF(M10="--",M10,VLOOKUP(M10,'Draft SK'!AF:AI,3,FALSE)))</f>
        <v>#N/A</v>
      </c>
      <c r="M10" s="159" t="e">
        <f>IF(C10="","",IF(B10="","--",IFERROR(VLOOKUP("1GPTT"&amp;B10,'Draft SK'!AD:AF,3,FALSE),VLOOKUP("1UMUM"&amp;B10,'Draft SK'!AD:AF,3,FALSE))))</f>
        <v>#N/A</v>
      </c>
      <c r="N10" s="158" t="e">
        <f>IF(C10="","",IF(M10="--","--",VLOOKUP(M10,'Draft SK'!AF:AI,2,FALSE)))</f>
        <v>#N/A</v>
      </c>
      <c r="O10" s="160" t="str">
        <f>IF(C10="","",IFERROR(VLOOKUP("1GPTY"&amp;B10,'Draft SK'!AD:AF,3,FALSE),"--"))</f>
        <v>--</v>
      </c>
      <c r="P10" s="161" t="str">
        <f>IF(C10="","",IF(O10="--","--",VLOOKUP(O10,'Draft SK'!AF:AI,2,FALSE)))</f>
        <v>--</v>
      </c>
      <c r="Q10" s="162" t="str">
        <f>IF(C10="","",IFERROR(IFERROR(VLOOKUP("1GPTY"&amp;B10,'Draft SK'!AB:AG,5,FALSE),VLOOKUP("1GPTT"&amp;B10,'Draft SK'!AB:AG,5,FALSE)),"--"))</f>
        <v>--</v>
      </c>
      <c r="R10" s="162" t="str">
        <f>IF(C10="","",IF(Q10="--","--",VLOOKUP(Q10,'Draft SK'!AF:AI,2,FALSE)))</f>
        <v>--</v>
      </c>
      <c r="S10" s="11" t="s">
        <v>622</v>
      </c>
      <c r="T10" s="6" t="s">
        <v>508</v>
      </c>
      <c r="U10" s="42">
        <v>44378</v>
      </c>
      <c r="V10" s="6">
        <v>56789</v>
      </c>
      <c r="W10" s="83" t="str">
        <f t="shared" si="2"/>
        <v>Pemalang</v>
      </c>
      <c r="X10" s="163" t="str">
        <f t="shared" si="3"/>
        <v>15 Juli 1987</v>
      </c>
      <c r="Z10" s="37" t="str">
        <f t="shared" si="0"/>
        <v>A</v>
      </c>
      <c r="AA10" s="37" t="str">
        <f>Z10&amp;COUNTIFS(Z$6:Z10,Z10)</f>
        <v>A5</v>
      </c>
      <c r="AB10" s="37">
        <f>COUNTIFS(AA$6:AA10,AA10)</f>
        <v>1</v>
      </c>
    </row>
    <row r="11" spans="1:30" ht="15.5" x14ac:dyDescent="0.35">
      <c r="A11" t="str">
        <f t="shared" si="1"/>
        <v>B1</v>
      </c>
      <c r="B11" s="9">
        <v>6</v>
      </c>
      <c r="C11" s="8" t="s">
        <v>575</v>
      </c>
      <c r="D11" s="13" t="s">
        <v>169</v>
      </c>
      <c r="E11" s="10" t="s">
        <v>589</v>
      </c>
      <c r="F11" s="10" t="s">
        <v>485</v>
      </c>
      <c r="G11" s="8" t="s">
        <v>602</v>
      </c>
      <c r="H11" s="8" t="s">
        <v>613</v>
      </c>
      <c r="I11" s="12" t="s">
        <v>617</v>
      </c>
      <c r="J11" s="10" t="s">
        <v>8</v>
      </c>
      <c r="K11" s="44" t="s">
        <v>67</v>
      </c>
      <c r="L11" s="158" t="e">
        <f>IF(C11="","",IF(M11="--",M11,VLOOKUP(M11,'Draft SK'!AF:AI,3,FALSE)))</f>
        <v>#N/A</v>
      </c>
      <c r="M11" s="159" t="e">
        <f>IF(C11="","",IF(B11="","--",IFERROR(VLOOKUP("1GPTT"&amp;B11,'Draft SK'!AD:AF,3,FALSE),VLOOKUP("1UMUM"&amp;B11,'Draft SK'!AD:AF,3,FALSE))))</f>
        <v>#N/A</v>
      </c>
      <c r="N11" s="158" t="e">
        <f>IF(C11="","",IF(M11="--","--",VLOOKUP(M11,'Draft SK'!AF:AI,2,FALSE)))</f>
        <v>#N/A</v>
      </c>
      <c r="O11" s="160" t="str">
        <f>IF(C11="","",IFERROR(VLOOKUP("1GPTY"&amp;B11,'Draft SK'!AD:AF,3,FALSE),"--"))</f>
        <v>--</v>
      </c>
      <c r="P11" s="161" t="str">
        <f>IF(C11="","",IF(O11="--","--",VLOOKUP(O11,'Draft SK'!AF:AI,2,FALSE)))</f>
        <v>--</v>
      </c>
      <c r="Q11" s="162" t="str">
        <f>IF(C11="","",IFERROR(IFERROR(VLOOKUP("1GPTY"&amp;B11,'Draft SK'!AB:AG,5,FALSE),VLOOKUP("1GPTT"&amp;B11,'Draft SK'!AB:AG,5,FALSE)),"--"))</f>
        <v>--</v>
      </c>
      <c r="R11" s="162" t="str">
        <f>IF(C11="","",IF(Q11="--","--",VLOOKUP(Q11,'Draft SK'!AF:AI,2,FALSE)))</f>
        <v>--</v>
      </c>
      <c r="S11" s="11" t="s">
        <v>622</v>
      </c>
      <c r="T11" s="6" t="s">
        <v>525</v>
      </c>
      <c r="U11" s="42">
        <v>44743</v>
      </c>
      <c r="V11" s="6">
        <v>67890</v>
      </c>
      <c r="W11" s="83" t="str">
        <f t="shared" si="2"/>
        <v>Pemalang</v>
      </c>
      <c r="X11" s="163" t="str">
        <f t="shared" si="3"/>
        <v>10 Maret 1986</v>
      </c>
      <c r="Z11" s="37" t="str">
        <f t="shared" si="0"/>
        <v>B</v>
      </c>
      <c r="AA11" s="37" t="str">
        <f>Z11&amp;COUNTIFS(Z$6:Z11,Z11)</f>
        <v>B1</v>
      </c>
      <c r="AB11" s="37">
        <f>COUNTIFS(AA$6:AA11,AA11)</f>
        <v>1</v>
      </c>
    </row>
    <row r="12" spans="1:30" ht="15.5" x14ac:dyDescent="0.35">
      <c r="A12" t="str">
        <f t="shared" si="1"/>
        <v>A6</v>
      </c>
      <c r="B12" s="9">
        <v>7</v>
      </c>
      <c r="C12" s="8" t="s">
        <v>576</v>
      </c>
      <c r="D12" s="13" t="s">
        <v>170</v>
      </c>
      <c r="E12" s="10" t="s">
        <v>590</v>
      </c>
      <c r="F12" s="10" t="s">
        <v>485</v>
      </c>
      <c r="G12" s="8" t="s">
        <v>603</v>
      </c>
      <c r="H12" s="8" t="s">
        <v>612</v>
      </c>
      <c r="I12" s="12" t="s">
        <v>618</v>
      </c>
      <c r="J12" s="10" t="s">
        <v>4</v>
      </c>
      <c r="K12" s="44" t="s">
        <v>70</v>
      </c>
      <c r="L12" s="158" t="e">
        <f>IF(C12="","",IF(M12="--",M12,VLOOKUP(M12,'Draft SK'!AF:AI,3,FALSE)))</f>
        <v>#N/A</v>
      </c>
      <c r="M12" s="159" t="e">
        <f>IF(C12="","",IF(B12="","--",IFERROR(VLOOKUP("1GPTT"&amp;B12,'Draft SK'!AD:AF,3,FALSE),VLOOKUP("1UMUM"&amp;B12,'Draft SK'!AD:AF,3,FALSE))))</f>
        <v>#N/A</v>
      </c>
      <c r="N12" s="158" t="e">
        <f>IF(C12="","",IF(M12="--","--",VLOOKUP(M12,'Draft SK'!AF:AI,2,FALSE)))</f>
        <v>#N/A</v>
      </c>
      <c r="O12" s="160" t="str">
        <f>IF(C12="","",IFERROR(VLOOKUP("1GPTY"&amp;B12,'Draft SK'!AD:AF,3,FALSE),"--"))</f>
        <v>--</v>
      </c>
      <c r="P12" s="161" t="str">
        <f>IF(C12="","",IF(O12="--","--",VLOOKUP(O12,'Draft SK'!AF:AI,2,FALSE)))</f>
        <v>--</v>
      </c>
      <c r="Q12" s="162" t="str">
        <f>IF(C12="","",IFERROR(IFERROR(VLOOKUP("1GPTY"&amp;B12,'Draft SK'!AB:AG,5,FALSE),VLOOKUP("1GPTT"&amp;B12,'Draft SK'!AB:AG,5,FALSE)),"--"))</f>
        <v>--</v>
      </c>
      <c r="R12" s="162" t="str">
        <f>IF(C12="","",IF(Q12="--","--",VLOOKUP(Q12,'Draft SK'!AF:AI,2,FALSE)))</f>
        <v>--</v>
      </c>
      <c r="S12" s="11" t="s">
        <v>623</v>
      </c>
      <c r="T12" s="6" t="s">
        <v>630</v>
      </c>
      <c r="U12" s="42">
        <v>44743</v>
      </c>
      <c r="V12" s="6">
        <v>78901</v>
      </c>
      <c r="W12" s="83" t="str">
        <f t="shared" si="2"/>
        <v>Pemalang</v>
      </c>
      <c r="X12" s="163" t="str">
        <f t="shared" si="3"/>
        <v>20 Mei 1986</v>
      </c>
      <c r="Z12" s="37" t="str">
        <f t="shared" si="0"/>
        <v>A</v>
      </c>
      <c r="AA12" s="37" t="str">
        <f>Z12&amp;COUNTIFS(Z$6:Z12,Z12)</f>
        <v>A6</v>
      </c>
      <c r="AB12" s="37">
        <f>COUNTIFS(AA$6:AA12,AA12)</f>
        <v>1</v>
      </c>
    </row>
    <row r="13" spans="1:30" ht="15.5" x14ac:dyDescent="0.35">
      <c r="A13" t="str">
        <f t="shared" si="1"/>
        <v>A7</v>
      </c>
      <c r="B13" s="9">
        <v>8</v>
      </c>
      <c r="C13" s="8" t="s">
        <v>577</v>
      </c>
      <c r="D13" s="13" t="s">
        <v>171</v>
      </c>
      <c r="E13" s="10" t="s">
        <v>591</v>
      </c>
      <c r="F13" s="10" t="s">
        <v>486</v>
      </c>
      <c r="G13" s="8" t="s">
        <v>604</v>
      </c>
      <c r="H13" s="8" t="s">
        <v>263</v>
      </c>
      <c r="I13" s="12" t="s">
        <v>617</v>
      </c>
      <c r="J13" s="10" t="s">
        <v>7</v>
      </c>
      <c r="K13" s="44" t="s">
        <v>70</v>
      </c>
      <c r="L13" s="158" t="e">
        <f>IF(C13="","",IF(M13="--",M13,VLOOKUP(M13,'Draft SK'!AF:AI,3,FALSE)))</f>
        <v>#N/A</v>
      </c>
      <c r="M13" s="159" t="e">
        <f>IF(C13="","",IF(B13="","--",IFERROR(VLOOKUP("1GPTT"&amp;B13,'Draft SK'!AD:AF,3,FALSE),VLOOKUP("1UMUM"&amp;B13,'Draft SK'!AD:AF,3,FALSE))))</f>
        <v>#N/A</v>
      </c>
      <c r="N13" s="158" t="e">
        <f>IF(C13="","",IF(M13="--","--",VLOOKUP(M13,'Draft SK'!AF:AI,2,FALSE)))</f>
        <v>#N/A</v>
      </c>
      <c r="O13" s="160" t="str">
        <f>IF(C13="","",IFERROR(VLOOKUP("1GPTY"&amp;B13,'Draft SK'!AD:AF,3,FALSE),"--"))</f>
        <v>--</v>
      </c>
      <c r="P13" s="161" t="str">
        <f>IF(C13="","",IF(O13="--","--",VLOOKUP(O13,'Draft SK'!AF:AI,2,FALSE)))</f>
        <v>--</v>
      </c>
      <c r="Q13" s="162" t="str">
        <f>IF(C13="","",IFERROR(IFERROR(VLOOKUP("1GPTY"&amp;B13,'Draft SK'!AB:AG,5,FALSE),VLOOKUP("1GPTT"&amp;B13,'Draft SK'!AB:AG,5,FALSE)),"--"))</f>
        <v>--</v>
      </c>
      <c r="R13" s="162" t="str">
        <f>IF(C13="","",IF(Q13="--","--",VLOOKUP(Q13,'Draft SK'!AF:AI,2,FALSE)))</f>
        <v>--</v>
      </c>
      <c r="S13" s="11" t="s">
        <v>625</v>
      </c>
      <c r="T13" s="6" t="s">
        <v>631</v>
      </c>
      <c r="U13" s="42">
        <v>44743</v>
      </c>
      <c r="V13" s="6">
        <v>89012</v>
      </c>
      <c r="W13" s="83" t="str">
        <f t="shared" si="2"/>
        <v>Pemalang</v>
      </c>
      <c r="X13" s="163" t="str">
        <f t="shared" si="3"/>
        <v>30 September 1986</v>
      </c>
      <c r="Z13" s="37" t="str">
        <f t="shared" si="0"/>
        <v>A</v>
      </c>
      <c r="AA13" s="37" t="str">
        <f>Z13&amp;COUNTIFS(Z$6:Z13,Z13)</f>
        <v>A7</v>
      </c>
      <c r="AB13" s="37">
        <f>COUNTIFS(AA$6:AA13,AA13)</f>
        <v>1</v>
      </c>
    </row>
    <row r="14" spans="1:30" ht="15.5" x14ac:dyDescent="0.35">
      <c r="A14" t="str">
        <f t="shared" si="1"/>
        <v>A8</v>
      </c>
      <c r="B14" s="9">
        <v>9</v>
      </c>
      <c r="C14" s="8" t="s">
        <v>578</v>
      </c>
      <c r="D14" s="13" t="s">
        <v>172</v>
      </c>
      <c r="E14" s="10" t="s">
        <v>592</v>
      </c>
      <c r="F14" s="10" t="s">
        <v>485</v>
      </c>
      <c r="G14" s="8" t="s">
        <v>605</v>
      </c>
      <c r="H14" s="8" t="s">
        <v>612</v>
      </c>
      <c r="I14" s="12" t="s">
        <v>618</v>
      </c>
      <c r="J14" s="10" t="s">
        <v>4</v>
      </c>
      <c r="K14" s="44" t="s">
        <v>70</v>
      </c>
      <c r="L14" s="158" t="e">
        <f>IF(C14="","",IF(M14="--",M14,VLOOKUP(M14,'Draft SK'!AF:AI,3,FALSE)))</f>
        <v>#N/A</v>
      </c>
      <c r="M14" s="159" t="e">
        <f>IF(C14="","",IF(B14="","--",IFERROR(VLOOKUP("1GPTT"&amp;B14,'Draft SK'!AD:AF,3,FALSE),VLOOKUP("1UMUM"&amp;B14,'Draft SK'!AD:AF,3,FALSE))))</f>
        <v>#N/A</v>
      </c>
      <c r="N14" s="158" t="e">
        <f>IF(C14="","",IF(M14="--","--",VLOOKUP(M14,'Draft SK'!AF:AI,2,FALSE)))</f>
        <v>#N/A</v>
      </c>
      <c r="O14" s="160" t="str">
        <f>IF(C14="","",IFERROR(VLOOKUP("1GPTY"&amp;B14,'Draft SK'!AD:AF,3,FALSE),"--"))</f>
        <v>--</v>
      </c>
      <c r="P14" s="161" t="str">
        <f>IF(C14="","",IF(O14="--","--",VLOOKUP(O14,'Draft SK'!AF:AI,2,FALSE)))</f>
        <v>--</v>
      </c>
      <c r="Q14" s="162" t="str">
        <f>IF(C14="","",IFERROR(IFERROR(VLOOKUP("1GPTY"&amp;B14,'Draft SK'!AB:AG,5,FALSE),VLOOKUP("1GPTT"&amp;B14,'Draft SK'!AB:AG,5,FALSE)),"--"))</f>
        <v>--</v>
      </c>
      <c r="R14" s="162" t="str">
        <f>IF(C14="","",IF(Q14="--","--",VLOOKUP(Q14,'Draft SK'!AF:AI,2,FALSE)))</f>
        <v>--</v>
      </c>
      <c r="S14" s="11" t="s">
        <v>510</v>
      </c>
      <c r="T14" s="6" t="s">
        <v>630</v>
      </c>
      <c r="U14" s="42">
        <v>45108</v>
      </c>
      <c r="V14" s="6">
        <v>90123</v>
      </c>
      <c r="W14" s="83" t="str">
        <f t="shared" si="2"/>
        <v>Pemalang</v>
      </c>
      <c r="X14" s="163" t="str">
        <f t="shared" si="3"/>
        <v>4 November 1990</v>
      </c>
      <c r="Z14" s="37" t="str">
        <f t="shared" si="0"/>
        <v>A</v>
      </c>
      <c r="AA14" s="37" t="str">
        <f>Z14&amp;COUNTIFS(Z$6:Z14,Z14)</f>
        <v>A8</v>
      </c>
      <c r="AB14" s="37">
        <f>COUNTIFS(AA$6:AA14,AA14)</f>
        <v>1</v>
      </c>
    </row>
    <row r="15" spans="1:30" ht="15.5" x14ac:dyDescent="0.35">
      <c r="A15" t="str">
        <f t="shared" si="1"/>
        <v>B2</v>
      </c>
      <c r="B15" s="9">
        <v>10</v>
      </c>
      <c r="C15" s="8" t="s">
        <v>579</v>
      </c>
      <c r="D15" s="13" t="s">
        <v>173</v>
      </c>
      <c r="E15" s="10" t="s">
        <v>593</v>
      </c>
      <c r="F15" s="10" t="s">
        <v>486</v>
      </c>
      <c r="G15" s="8" t="s">
        <v>606</v>
      </c>
      <c r="H15" s="8" t="s">
        <v>613</v>
      </c>
      <c r="I15" s="12" t="s">
        <v>617</v>
      </c>
      <c r="J15" s="10" t="s">
        <v>7</v>
      </c>
      <c r="K15" s="44" t="s">
        <v>67</v>
      </c>
      <c r="L15" s="158" t="e">
        <f>IF(C15="","",IF(M15="--",M15,VLOOKUP(M15,'Draft SK'!AF:AI,3,FALSE)))</f>
        <v>#N/A</v>
      </c>
      <c r="M15" s="159" t="e">
        <f>IF(C15="","",IF(B15="","--",IFERROR(VLOOKUP("1GPTT"&amp;B15,'Draft SK'!AD:AF,3,FALSE),VLOOKUP("1UMUM"&amp;B15,'Draft SK'!AD:AF,3,FALSE))))</f>
        <v>#N/A</v>
      </c>
      <c r="N15" s="158" t="e">
        <f>IF(C15="","",IF(M15="--","--",VLOOKUP(M15,'Draft SK'!AF:AI,2,FALSE)))</f>
        <v>#N/A</v>
      </c>
      <c r="O15" s="160" t="str">
        <f>IF(C15="","",IFERROR(VLOOKUP("1GPTY"&amp;B15,'Draft SK'!AD:AF,3,FALSE),"--"))</f>
        <v>--</v>
      </c>
      <c r="P15" s="161" t="str">
        <f>IF(C15="","",IF(O15="--","--",VLOOKUP(O15,'Draft SK'!AF:AI,2,FALSE)))</f>
        <v>--</v>
      </c>
      <c r="Q15" s="162" t="str">
        <f>IF(C15="","",IFERROR(IFERROR(VLOOKUP("1GPTY"&amp;B15,'Draft SK'!AB:AG,5,FALSE),VLOOKUP("1GPTT"&amp;B15,'Draft SK'!AB:AG,5,FALSE)),"--"))</f>
        <v>--</v>
      </c>
      <c r="R15" s="162" t="str">
        <f>IF(C15="","",IF(Q15="--","--",VLOOKUP(Q15,'Draft SK'!AF:AI,2,FALSE)))</f>
        <v>--</v>
      </c>
      <c r="S15" s="11" t="s">
        <v>624</v>
      </c>
      <c r="T15" s="6" t="s">
        <v>525</v>
      </c>
      <c r="U15" s="42">
        <v>45108</v>
      </c>
      <c r="V15" s="99" t="s">
        <v>633</v>
      </c>
      <c r="W15" s="83" t="str">
        <f t="shared" si="2"/>
        <v>Pemalang</v>
      </c>
      <c r="X15" s="163" t="str">
        <f t="shared" si="3"/>
        <v>17 Agustus 1991</v>
      </c>
      <c r="Z15" s="37" t="str">
        <f t="shared" si="0"/>
        <v>B</v>
      </c>
      <c r="AA15" s="37" t="str">
        <f>Z15&amp;COUNTIFS(Z$6:Z15,Z15)</f>
        <v>B2</v>
      </c>
      <c r="AB15" s="37">
        <f>COUNTIFS(AA$6:AA15,AA15)</f>
        <v>1</v>
      </c>
    </row>
    <row r="16" spans="1:30" ht="15.5" x14ac:dyDescent="0.35">
      <c r="A16" t="str">
        <f t="shared" si="1"/>
        <v>A9</v>
      </c>
      <c r="B16" s="9">
        <v>11</v>
      </c>
      <c r="C16" s="8" t="s">
        <v>580</v>
      </c>
      <c r="D16" s="13" t="s">
        <v>174</v>
      </c>
      <c r="E16" s="10" t="s">
        <v>594</v>
      </c>
      <c r="F16" s="13" t="s">
        <v>485</v>
      </c>
      <c r="G16" s="8" t="s">
        <v>607</v>
      </c>
      <c r="H16" s="8" t="s">
        <v>263</v>
      </c>
      <c r="I16" s="12" t="s">
        <v>617</v>
      </c>
      <c r="J16" s="10" t="s">
        <v>7</v>
      </c>
      <c r="K16" s="44" t="s">
        <v>70</v>
      </c>
      <c r="L16" s="158" t="e">
        <f>IF(C16="","",IF(M16="--",M16,VLOOKUP(M16,'Draft SK'!AF:AI,3,FALSE)))</f>
        <v>#N/A</v>
      </c>
      <c r="M16" s="159" t="e">
        <f>IF(C16="","",IF(B16="","--",IFERROR(VLOOKUP("1GPTT"&amp;B16,'Draft SK'!AD:AF,3,FALSE),VLOOKUP("1UMUM"&amp;B16,'Draft SK'!AD:AF,3,FALSE))))</f>
        <v>#N/A</v>
      </c>
      <c r="N16" s="158" t="e">
        <f>IF(C16="","",IF(M16="--","--",VLOOKUP(M16,'Draft SK'!AF:AI,2,FALSE)))</f>
        <v>#N/A</v>
      </c>
      <c r="O16" s="160" t="str">
        <f>IF(C16="","",IFERROR(VLOOKUP("1GPTY"&amp;B16,'Draft SK'!AD:AF,3,FALSE),"--"))</f>
        <v>--</v>
      </c>
      <c r="P16" s="161" t="str">
        <f>IF(C16="","",IF(O16="--","--",VLOOKUP(O16,'Draft SK'!AF:AI,2,FALSE)))</f>
        <v>--</v>
      </c>
      <c r="Q16" s="162" t="str">
        <f>IF(C16="","",IFERROR(IFERROR(VLOOKUP("1GPTY"&amp;B16,'Draft SK'!AB:AG,5,FALSE),VLOOKUP("1GPTT"&amp;B16,'Draft SK'!AB:AG,5,FALSE)),"--"))</f>
        <v>--</v>
      </c>
      <c r="R16" s="162" t="str">
        <f>IF(C16="","",IF(Q16="--","--",VLOOKUP(Q16,'Draft SK'!AF:AI,2,FALSE)))</f>
        <v>--</v>
      </c>
      <c r="S16" s="11" t="s">
        <v>626</v>
      </c>
      <c r="T16" s="6" t="s">
        <v>632</v>
      </c>
      <c r="U16" s="42">
        <v>45108</v>
      </c>
      <c r="V16" s="6">
        <v>11223</v>
      </c>
      <c r="W16" s="83" t="str">
        <f t="shared" si="2"/>
        <v>Pemalang</v>
      </c>
      <c r="X16" s="163" t="str">
        <f t="shared" si="3"/>
        <v>18 Juni 1992</v>
      </c>
      <c r="Z16" s="37" t="str">
        <f t="shared" si="0"/>
        <v>A</v>
      </c>
      <c r="AA16" s="37" t="str">
        <f>Z16&amp;COUNTIFS(Z$6:Z16,Z16)</f>
        <v>A9</v>
      </c>
      <c r="AB16" s="37">
        <f>COUNTIFS(AA$6:AA16,AA16)</f>
        <v>1</v>
      </c>
    </row>
    <row r="17" spans="1:28" ht="15.5" x14ac:dyDescent="0.35">
      <c r="A17" t="str">
        <f t="shared" si="1"/>
        <v>A10</v>
      </c>
      <c r="B17" s="9">
        <v>12</v>
      </c>
      <c r="C17" s="8" t="s">
        <v>581</v>
      </c>
      <c r="D17" s="13" t="s">
        <v>175</v>
      </c>
      <c r="E17" s="10" t="s">
        <v>595</v>
      </c>
      <c r="F17" s="10" t="s">
        <v>485</v>
      </c>
      <c r="G17" s="8" t="s">
        <v>608</v>
      </c>
      <c r="H17" s="8" t="s">
        <v>612</v>
      </c>
      <c r="I17" s="12" t="s">
        <v>618</v>
      </c>
      <c r="J17" s="10" t="s">
        <v>4</v>
      </c>
      <c r="K17" s="44" t="s">
        <v>70</v>
      </c>
      <c r="L17" s="158" t="e">
        <f>IF(C17="","",IF(M17="--",M17,VLOOKUP(M17,'Draft SK'!AF:AI,3,FALSE)))</f>
        <v>#N/A</v>
      </c>
      <c r="M17" s="159" t="e">
        <f>IF(C17="","",IF(B17="","--",IFERROR(VLOOKUP("1GPTT"&amp;B17,'Draft SK'!AD:AF,3,FALSE),VLOOKUP("1UMUM"&amp;B17,'Draft SK'!AD:AF,3,FALSE))))</f>
        <v>#N/A</v>
      </c>
      <c r="N17" s="158" t="e">
        <f>IF(C17="","",IF(M17="--","--",VLOOKUP(M17,'Draft SK'!AF:AI,2,FALSE)))</f>
        <v>#N/A</v>
      </c>
      <c r="O17" s="160" t="str">
        <f>IF(C17="","",IFERROR(VLOOKUP("1GPTY"&amp;B17,'Draft SK'!AD:AF,3,FALSE),"--"))</f>
        <v>--</v>
      </c>
      <c r="P17" s="161" t="str">
        <f>IF(C17="","",IF(O17="--","--",VLOOKUP(O17,'Draft SK'!AF:AI,2,FALSE)))</f>
        <v>--</v>
      </c>
      <c r="Q17" s="162" t="str">
        <f>IF(C17="","",IFERROR(IFERROR(VLOOKUP("1GPTY"&amp;B17,'Draft SK'!AB:AG,5,FALSE),VLOOKUP("1GPTT"&amp;B17,'Draft SK'!AB:AG,5,FALSE)),"--"))</f>
        <v>--</v>
      </c>
      <c r="R17" s="162" t="str">
        <f>IF(C17="","",IF(Q17="--","--",VLOOKUP(Q17,'Draft SK'!AF:AI,2,FALSE)))</f>
        <v>--</v>
      </c>
      <c r="S17" s="11" t="s">
        <v>627</v>
      </c>
      <c r="T17" s="6" t="s">
        <v>630</v>
      </c>
      <c r="U17" s="42">
        <v>45108</v>
      </c>
      <c r="V17" s="6">
        <v>12233</v>
      </c>
      <c r="W17" s="83" t="str">
        <f t="shared" si="2"/>
        <v>Pemalang</v>
      </c>
      <c r="X17" s="163" t="str">
        <f t="shared" si="3"/>
        <v>21 Oktober 1994</v>
      </c>
      <c r="Z17" s="37" t="str">
        <f t="shared" si="0"/>
        <v>A</v>
      </c>
      <c r="AA17" s="37" t="str">
        <f>Z17&amp;COUNTIFS(Z$6:Z17,Z17)</f>
        <v>A10</v>
      </c>
      <c r="AB17" s="37">
        <f>COUNTIFS(AA$6:AA17,AA17)</f>
        <v>1</v>
      </c>
    </row>
    <row r="18" spans="1:28" ht="15.5" x14ac:dyDescent="0.35">
      <c r="A18" t="str">
        <f t="shared" si="1"/>
        <v>A11</v>
      </c>
      <c r="B18" s="9">
        <v>13</v>
      </c>
      <c r="C18" s="8" t="s">
        <v>582</v>
      </c>
      <c r="D18" s="13" t="s">
        <v>176</v>
      </c>
      <c r="E18" s="10" t="s">
        <v>596</v>
      </c>
      <c r="F18" s="10" t="s">
        <v>485</v>
      </c>
      <c r="G18" s="8" t="s">
        <v>609</v>
      </c>
      <c r="H18" s="8" t="s">
        <v>612</v>
      </c>
      <c r="I18" s="12" t="s">
        <v>618</v>
      </c>
      <c r="J18" s="10" t="s">
        <v>4</v>
      </c>
      <c r="K18" s="44" t="s">
        <v>70</v>
      </c>
      <c r="L18" s="158" t="e">
        <f>IF(C18="","",IF(M18="--",M18,VLOOKUP(M18,'Draft SK'!AF:AI,3,FALSE)))</f>
        <v>#N/A</v>
      </c>
      <c r="M18" s="159" t="e">
        <f>IF(C18="","",IF(B18="","--",IFERROR(VLOOKUP("1GPTT"&amp;B18,'Draft SK'!AD:AF,3,FALSE),VLOOKUP("1UMUM"&amp;B18,'Draft SK'!AD:AF,3,FALSE))))</f>
        <v>#N/A</v>
      </c>
      <c r="N18" s="158" t="e">
        <f>IF(C18="","",IF(M18="--","--",VLOOKUP(M18,'Draft SK'!AF:AI,2,FALSE)))</f>
        <v>#N/A</v>
      </c>
      <c r="O18" s="160" t="str">
        <f>IF(C18="","",IFERROR(VLOOKUP("1GPTY"&amp;B18,'Draft SK'!AD:AF,3,FALSE),"--"))</f>
        <v>--</v>
      </c>
      <c r="P18" s="161" t="str">
        <f>IF(C18="","",IF(O18="--","--",VLOOKUP(O18,'Draft SK'!AF:AI,2,FALSE)))</f>
        <v>--</v>
      </c>
      <c r="Q18" s="162" t="str">
        <f>IF(C18="","",IFERROR(IFERROR(VLOOKUP("1GPTY"&amp;B18,'Draft SK'!AB:AG,5,FALSE),VLOOKUP("1GPTT"&amp;B18,'Draft SK'!AB:AG,5,FALSE)),"--"))</f>
        <v>--</v>
      </c>
      <c r="R18" s="162" t="str">
        <f>IF(C18="","",IF(Q18="--","--",VLOOKUP(Q18,'Draft SK'!AF:AI,2,FALSE)))</f>
        <v>--</v>
      </c>
      <c r="S18" s="11" t="s">
        <v>628</v>
      </c>
      <c r="T18" s="6" t="s">
        <v>630</v>
      </c>
      <c r="U18" s="42">
        <v>45474</v>
      </c>
      <c r="V18" s="6">
        <v>12334</v>
      </c>
      <c r="W18" s="83" t="str">
        <f t="shared" si="2"/>
        <v>Pemalang</v>
      </c>
      <c r="X18" s="163" t="str">
        <f t="shared" si="3"/>
        <v>22 Desember 1995</v>
      </c>
      <c r="Z18" s="37" t="str">
        <f t="shared" si="0"/>
        <v>A</v>
      </c>
      <c r="AA18" s="37" t="str">
        <f>Z18&amp;COUNTIFS(Z$6:Z18,Z18)</f>
        <v>A11</v>
      </c>
      <c r="AB18" s="37">
        <f>COUNTIFS(AA$6:AA18,AA18)</f>
        <v>1</v>
      </c>
    </row>
    <row r="19" spans="1:28" ht="15.5" x14ac:dyDescent="0.35">
      <c r="A19" t="str">
        <f t="shared" si="1"/>
        <v>1</v>
      </c>
      <c r="B19" s="9">
        <v>14</v>
      </c>
      <c r="C19" s="8"/>
      <c r="D19" s="10"/>
      <c r="E19" s="10"/>
      <c r="F19" s="10"/>
      <c r="G19" s="8"/>
      <c r="H19" s="8"/>
      <c r="I19" s="12"/>
      <c r="J19" s="10"/>
      <c r="K19" s="44"/>
      <c r="L19" s="158" t="str">
        <f>IF(C19="","",IF(M19="--",M19,VLOOKUP(M19,'Draft SK'!AF:AI,3,FALSE)))</f>
        <v/>
      </c>
      <c r="M19" s="159" t="str">
        <f>IF(C19="","",IF(B19="","--",IFERROR(VLOOKUP("1GPTT"&amp;B19,'Draft SK'!AD:AF,3,FALSE),VLOOKUP("1UMUM"&amp;B19,'Draft SK'!AD:AF,3,FALSE))))</f>
        <v/>
      </c>
      <c r="N19" s="158" t="str">
        <f>IF(C19="","",IF(M19="--","--",VLOOKUP(M19,'Draft SK'!AF:AI,2,FALSE)))</f>
        <v/>
      </c>
      <c r="O19" s="160" t="str">
        <f>IF(C19="","",IFERROR(VLOOKUP("1GPTY"&amp;B19,'Draft SK'!AD:AF,3,FALSE),"--"))</f>
        <v/>
      </c>
      <c r="P19" s="161" t="str">
        <f>IF(C19="","",IF(O19="--","--",VLOOKUP(O19,'Draft SK'!AF:AI,2,FALSE)))</f>
        <v/>
      </c>
      <c r="Q19" s="162" t="str">
        <f>IF(C19="","",IFERROR(IFERROR(VLOOKUP("1GPTY"&amp;B19,'Draft SK'!AB:AG,5,FALSE),VLOOKUP("1GPTT"&amp;B19,'Draft SK'!AB:AG,5,FALSE)),"--"))</f>
        <v/>
      </c>
      <c r="R19" s="162" t="str">
        <f>IF(C19="","",IF(Q19="--","--",VLOOKUP(Q19,'Draft SK'!AF:AI,2,FALSE)))</f>
        <v/>
      </c>
      <c r="S19" s="11"/>
      <c r="T19" s="12"/>
      <c r="U19" s="42"/>
      <c r="V19" s="6"/>
      <c r="W19" s="83" t="str">
        <f t="shared" si="2"/>
        <v/>
      </c>
      <c r="X19" s="163" t="str">
        <f t="shared" si="3"/>
        <v/>
      </c>
      <c r="Z19" s="37" t="str">
        <f t="shared" si="0"/>
        <v/>
      </c>
      <c r="AA19" s="37" t="str">
        <f>Z19&amp;COUNTIFS(Z$6:Z19,Z19)</f>
        <v>1</v>
      </c>
      <c r="AB19" s="37">
        <f>COUNTIFS(AA$6:AA19,AA19)</f>
        <v>1</v>
      </c>
    </row>
    <row r="20" spans="1:28" ht="15.5" x14ac:dyDescent="0.35">
      <c r="A20" t="str">
        <f t="shared" si="1"/>
        <v>2</v>
      </c>
      <c r="B20" s="9">
        <v>15</v>
      </c>
      <c r="C20" s="8"/>
      <c r="D20" s="10"/>
      <c r="E20" s="10"/>
      <c r="F20" s="10"/>
      <c r="G20" s="8"/>
      <c r="H20" s="8"/>
      <c r="I20" s="12"/>
      <c r="J20" s="10"/>
      <c r="K20" s="44"/>
      <c r="L20" s="158" t="str">
        <f>IF(C20="","",IF(M20="--",M20,VLOOKUP(M20,'Draft SK'!AF:AI,3,FALSE)))</f>
        <v/>
      </c>
      <c r="M20" s="159" t="str">
        <f>IF(C20="","",IF(B20="","--",IFERROR(VLOOKUP("1GPTT"&amp;B20,'Draft SK'!AD:AF,3,FALSE),VLOOKUP("1UMUM"&amp;B20,'Draft SK'!AD:AF,3,FALSE))))</f>
        <v/>
      </c>
      <c r="N20" s="158" t="str">
        <f>IF(C20="","",IF(M20="--","--",VLOOKUP(M20,'Draft SK'!AF:AI,2,FALSE)))</f>
        <v/>
      </c>
      <c r="O20" s="160" t="str">
        <f>IF(C20="","",IFERROR(VLOOKUP("1GPTY"&amp;B20,'Draft SK'!AD:AF,3,FALSE),"--"))</f>
        <v/>
      </c>
      <c r="P20" s="161" t="str">
        <f>IF(C20="","",IF(O20="--","--",VLOOKUP(O20,'Draft SK'!AF:AI,2,FALSE)))</f>
        <v/>
      </c>
      <c r="Q20" s="162" t="str">
        <f>IF(C20="","",IFERROR(IFERROR(VLOOKUP("1GPTY"&amp;B20,'Draft SK'!AB:AG,5,FALSE),VLOOKUP("1GPTT"&amp;B20,'Draft SK'!AB:AG,5,FALSE)),"--"))</f>
        <v/>
      </c>
      <c r="R20" s="162" t="str">
        <f>IF(C20="","",IF(Q20="--","--",VLOOKUP(Q20,'Draft SK'!AF:AI,2,FALSE)))</f>
        <v/>
      </c>
      <c r="S20" s="11"/>
      <c r="T20" s="12"/>
      <c r="U20" s="42"/>
      <c r="V20" s="6"/>
      <c r="W20" s="83" t="str">
        <f t="shared" si="2"/>
        <v/>
      </c>
      <c r="X20" s="163" t="str">
        <f t="shared" si="3"/>
        <v/>
      </c>
      <c r="Z20" s="37" t="str">
        <f t="shared" si="0"/>
        <v/>
      </c>
      <c r="AA20" s="37" t="str">
        <f>Z20&amp;COUNTIFS(Z$6:Z20,Z20)</f>
        <v>2</v>
      </c>
      <c r="AB20" s="37">
        <f>COUNTIFS(AA$6:AA20,AA20)</f>
        <v>1</v>
      </c>
    </row>
    <row r="21" spans="1:28" ht="15.5" x14ac:dyDescent="0.35">
      <c r="A21" t="str">
        <f t="shared" si="1"/>
        <v>3</v>
      </c>
      <c r="B21" s="9">
        <v>16</v>
      </c>
      <c r="C21" s="8"/>
      <c r="D21" s="10"/>
      <c r="E21" s="10"/>
      <c r="F21" s="10"/>
      <c r="G21" s="8"/>
      <c r="H21" s="8"/>
      <c r="I21" s="12"/>
      <c r="J21" s="10"/>
      <c r="K21" s="44"/>
      <c r="L21" s="158" t="str">
        <f>IF(C21="","",IF(M21="--",M21,VLOOKUP(M21,'Draft SK'!AF:AI,3,FALSE)))</f>
        <v/>
      </c>
      <c r="M21" s="159" t="str">
        <f>IF(C21="","",IF(B21="","--",IFERROR(VLOOKUP("1GPTT"&amp;B21,'Draft SK'!AD:AF,3,FALSE),VLOOKUP("1UMUM"&amp;B21,'Draft SK'!AD:AF,3,FALSE))))</f>
        <v/>
      </c>
      <c r="N21" s="158" t="str">
        <f>IF(C21="","",IF(M21="--","--",VLOOKUP(M21,'Draft SK'!AF:AI,2,FALSE)))</f>
        <v/>
      </c>
      <c r="O21" s="160" t="str">
        <f>IF(C21="","",IFERROR(VLOOKUP("1GPTY"&amp;B21,'Draft SK'!AD:AF,3,FALSE),"--"))</f>
        <v/>
      </c>
      <c r="P21" s="161" t="str">
        <f>IF(C21="","",IF(O21="--","--",VLOOKUP(O21,'Draft SK'!AF:AI,2,FALSE)))</f>
        <v/>
      </c>
      <c r="Q21" s="162" t="str">
        <f>IF(C21="","",IFERROR(IFERROR(VLOOKUP("1GPTY"&amp;B21,'Draft SK'!AB:AG,5,FALSE),VLOOKUP("1GPTT"&amp;B21,'Draft SK'!AB:AG,5,FALSE)),"--"))</f>
        <v/>
      </c>
      <c r="R21" s="162" t="str">
        <f>IF(C21="","",IF(Q21="--","--",VLOOKUP(Q21,'Draft SK'!AF:AI,2,FALSE)))</f>
        <v/>
      </c>
      <c r="S21" s="11"/>
      <c r="T21" s="12"/>
      <c r="U21" s="42"/>
      <c r="V21" s="6"/>
      <c r="W21" s="83" t="str">
        <f t="shared" si="2"/>
        <v/>
      </c>
      <c r="X21" s="163" t="str">
        <f t="shared" si="3"/>
        <v/>
      </c>
      <c r="Z21" s="37" t="str">
        <f t="shared" si="0"/>
        <v/>
      </c>
      <c r="AA21" s="37" t="str">
        <f>Z21&amp;COUNTIFS(Z$6:Z21,Z21)</f>
        <v>3</v>
      </c>
      <c r="AB21" s="37">
        <f>COUNTIFS(AA$6:AA21,AA21)</f>
        <v>1</v>
      </c>
    </row>
    <row r="22" spans="1:28" ht="15.5" x14ac:dyDescent="0.35">
      <c r="A22" t="str">
        <f t="shared" si="1"/>
        <v>4</v>
      </c>
      <c r="B22" s="9">
        <v>17</v>
      </c>
      <c r="C22" s="8"/>
      <c r="D22" s="10"/>
      <c r="E22" s="10"/>
      <c r="F22" s="10"/>
      <c r="G22" s="8"/>
      <c r="H22" s="8"/>
      <c r="I22" s="12"/>
      <c r="J22" s="10"/>
      <c r="K22" s="44"/>
      <c r="L22" s="158" t="str">
        <f>IF(C22="","",IF(M22="--",M22,VLOOKUP(M22,'Draft SK'!AF:AI,3,FALSE)))</f>
        <v/>
      </c>
      <c r="M22" s="159" t="str">
        <f>IF(C22="","",IF(B22="","--",IFERROR(VLOOKUP("1GPTT"&amp;B22,'Draft SK'!AD:AF,3,FALSE),VLOOKUP("1UMUM"&amp;B22,'Draft SK'!AD:AF,3,FALSE))))</f>
        <v/>
      </c>
      <c r="N22" s="158" t="str">
        <f>IF(C22="","",IF(M22="--","--",VLOOKUP(M22,'Draft SK'!AF:AI,2,FALSE)))</f>
        <v/>
      </c>
      <c r="O22" s="160" t="str">
        <f>IF(C22="","",IFERROR(VLOOKUP("1GPTY"&amp;B22,'Draft SK'!AD:AF,3,FALSE),"--"))</f>
        <v/>
      </c>
      <c r="P22" s="161" t="str">
        <f>IF(C22="","",IF(O22="--","--",VLOOKUP(O22,'Draft SK'!AF:AI,2,FALSE)))</f>
        <v/>
      </c>
      <c r="Q22" s="162" t="str">
        <f>IF(C22="","",IFERROR(IFERROR(VLOOKUP("1GPTY"&amp;B22,'Draft SK'!AB:AG,5,FALSE),VLOOKUP("1GPTT"&amp;B22,'Draft SK'!AB:AG,5,FALSE)),"--"))</f>
        <v/>
      </c>
      <c r="R22" s="162" t="str">
        <f>IF(C22="","",IF(Q22="--","--",VLOOKUP(Q22,'Draft SK'!AF:AI,2,FALSE)))</f>
        <v/>
      </c>
      <c r="S22" s="11"/>
      <c r="T22" s="12"/>
      <c r="U22" s="42"/>
      <c r="V22" s="6"/>
      <c r="W22" s="83" t="str">
        <f t="shared" si="2"/>
        <v/>
      </c>
      <c r="X22" s="163" t="str">
        <f t="shared" si="3"/>
        <v/>
      </c>
      <c r="Z22" s="37" t="str">
        <f t="shared" si="0"/>
        <v/>
      </c>
      <c r="AA22" s="37" t="str">
        <f>Z22&amp;COUNTIFS(Z$6:Z22,Z22)</f>
        <v>4</v>
      </c>
      <c r="AB22" s="37">
        <f>COUNTIFS(AA$6:AA22,AA22)</f>
        <v>1</v>
      </c>
    </row>
    <row r="23" spans="1:28" ht="15.5" x14ac:dyDescent="0.35">
      <c r="A23" t="str">
        <f t="shared" si="1"/>
        <v>5</v>
      </c>
      <c r="B23" s="9">
        <v>18</v>
      </c>
      <c r="C23" s="8"/>
      <c r="D23" s="10"/>
      <c r="E23" s="10"/>
      <c r="F23" s="10"/>
      <c r="G23" s="8"/>
      <c r="H23" s="8"/>
      <c r="I23" s="12"/>
      <c r="J23" s="10"/>
      <c r="K23" s="44"/>
      <c r="L23" s="158" t="str">
        <f>IF(C23="","",IF(M23="--",M23,VLOOKUP(M23,'Draft SK'!AF:AI,3,FALSE)))</f>
        <v/>
      </c>
      <c r="M23" s="159" t="str">
        <f>IF(C23="","",IF(B23="","--",IFERROR(VLOOKUP("1GPTT"&amp;B23,'Draft SK'!AD:AF,3,FALSE),VLOOKUP("1UMUM"&amp;B23,'Draft SK'!AD:AF,3,FALSE))))</f>
        <v/>
      </c>
      <c r="N23" s="158" t="str">
        <f>IF(C23="","",IF(M23="--","--",VLOOKUP(M23,'Draft SK'!AF:AI,2,FALSE)))</f>
        <v/>
      </c>
      <c r="O23" s="160" t="str">
        <f>IF(C23="","",IFERROR(VLOOKUP("1GPTY"&amp;B23,'Draft SK'!AD:AF,3,FALSE),"--"))</f>
        <v/>
      </c>
      <c r="P23" s="161" t="str">
        <f>IF(C23="","",IF(O23="--","--",VLOOKUP(O23,'Draft SK'!AF:AI,2,FALSE)))</f>
        <v/>
      </c>
      <c r="Q23" s="162" t="str">
        <f>IF(C23="","",IFERROR(IFERROR(VLOOKUP("1GPTY"&amp;B23,'Draft SK'!AB:AG,5,FALSE),VLOOKUP("1GPTT"&amp;B23,'Draft SK'!AB:AG,5,FALSE)),"--"))</f>
        <v/>
      </c>
      <c r="R23" s="162" t="str">
        <f>IF(C23="","",IF(Q23="--","--",VLOOKUP(Q23,'Draft SK'!AF:AI,2,FALSE)))</f>
        <v/>
      </c>
      <c r="S23" s="11"/>
      <c r="T23" s="12"/>
      <c r="U23" s="42"/>
      <c r="V23" s="6"/>
      <c r="W23" s="83" t="str">
        <f t="shared" si="2"/>
        <v/>
      </c>
      <c r="X23" s="163" t="str">
        <f t="shared" si="3"/>
        <v/>
      </c>
      <c r="Z23" s="37" t="str">
        <f t="shared" si="0"/>
        <v/>
      </c>
      <c r="AA23" s="37" t="str">
        <f>Z23&amp;COUNTIFS(Z$6:Z23,Z23)</f>
        <v>5</v>
      </c>
      <c r="AB23" s="37">
        <f>COUNTIFS(AA$6:AA23,AA23)</f>
        <v>1</v>
      </c>
    </row>
    <row r="24" spans="1:28" ht="15.5" x14ac:dyDescent="0.35">
      <c r="A24" t="str">
        <f t="shared" si="1"/>
        <v>6</v>
      </c>
      <c r="B24" s="9">
        <v>19</v>
      </c>
      <c r="C24" s="8"/>
      <c r="D24" s="10"/>
      <c r="E24" s="10"/>
      <c r="F24" s="10"/>
      <c r="G24" s="8"/>
      <c r="H24" s="8"/>
      <c r="I24" s="12"/>
      <c r="J24" s="10"/>
      <c r="K24" s="44"/>
      <c r="L24" s="158" t="str">
        <f>IF(C24="","",IF(M24="--",M24,VLOOKUP(M24,'Draft SK'!AF:AI,3,FALSE)))</f>
        <v/>
      </c>
      <c r="M24" s="159" t="str">
        <f>IF(C24="","",IF(B24="","--",IFERROR(VLOOKUP("1GPTT"&amp;B24,'Draft SK'!AD:AF,3,FALSE),VLOOKUP("1UMUM"&amp;B24,'Draft SK'!AD:AF,3,FALSE))))</f>
        <v/>
      </c>
      <c r="N24" s="158" t="str">
        <f>IF(C24="","",IF(M24="--","--",VLOOKUP(M24,'Draft SK'!AF:AI,2,FALSE)))</f>
        <v/>
      </c>
      <c r="O24" s="160" t="str">
        <f>IF(C24="","",IFERROR(VLOOKUP("1GPTY"&amp;B24,'Draft SK'!AD:AF,3,FALSE),"--"))</f>
        <v/>
      </c>
      <c r="P24" s="161" t="str">
        <f>IF(C24="","",IF(O24="--","--",VLOOKUP(O24,'Draft SK'!AF:AI,2,FALSE)))</f>
        <v/>
      </c>
      <c r="Q24" s="162" t="str">
        <f>IF(C24="","",IFERROR(IFERROR(VLOOKUP("1GPTY"&amp;B24,'Draft SK'!AB:AG,5,FALSE),VLOOKUP("1GPTT"&amp;B24,'Draft SK'!AB:AG,5,FALSE)),"--"))</f>
        <v/>
      </c>
      <c r="R24" s="162" t="str">
        <f>IF(C24="","",IF(Q24="--","--",VLOOKUP(Q24,'Draft SK'!AF:AI,2,FALSE)))</f>
        <v/>
      </c>
      <c r="S24" s="11"/>
      <c r="T24" s="12"/>
      <c r="U24" s="42"/>
      <c r="V24" s="6"/>
      <c r="W24" s="83" t="str">
        <f t="shared" si="2"/>
        <v/>
      </c>
      <c r="X24" s="163" t="str">
        <f t="shared" si="3"/>
        <v/>
      </c>
      <c r="Z24" s="37" t="str">
        <f t="shared" si="0"/>
        <v/>
      </c>
      <c r="AA24" s="37" t="str">
        <f>Z24&amp;COUNTIFS(Z$6:Z24,Z24)</f>
        <v>6</v>
      </c>
      <c r="AB24" s="37">
        <f>COUNTIFS(AA$6:AA24,AA24)</f>
        <v>1</v>
      </c>
    </row>
    <row r="25" spans="1:28" ht="15.5" x14ac:dyDescent="0.35">
      <c r="A25" t="str">
        <f t="shared" si="1"/>
        <v>7</v>
      </c>
      <c r="B25" s="9">
        <v>20</v>
      </c>
      <c r="C25" s="8"/>
      <c r="D25" s="10"/>
      <c r="E25" s="10"/>
      <c r="F25" s="10"/>
      <c r="G25" s="8"/>
      <c r="H25" s="8"/>
      <c r="I25" s="12"/>
      <c r="J25" s="10"/>
      <c r="K25" s="44"/>
      <c r="L25" s="158" t="str">
        <f>IF(C25="","",IF(M25="--",M25,VLOOKUP(M25,'Draft SK'!AF:AI,3,FALSE)))</f>
        <v/>
      </c>
      <c r="M25" s="159" t="str">
        <f>IF(C25="","",IF(B25="","--",IFERROR(VLOOKUP("1GPTT"&amp;B25,'Draft SK'!AD:AF,3,FALSE),VLOOKUP("1UMUM"&amp;B25,'Draft SK'!AD:AF,3,FALSE))))</f>
        <v/>
      </c>
      <c r="N25" s="158" t="str">
        <f>IF(C25="","",IF(M25="--","--",VLOOKUP(M25,'Draft SK'!AF:AI,2,FALSE)))</f>
        <v/>
      </c>
      <c r="O25" s="160" t="str">
        <f>IF(C25="","",IFERROR(VLOOKUP("1GPTY"&amp;B25,'Draft SK'!AD:AF,3,FALSE),"--"))</f>
        <v/>
      </c>
      <c r="P25" s="161" t="str">
        <f>IF(C25="","",IF(O25="--","--",VLOOKUP(O25,'Draft SK'!AF:AI,2,FALSE)))</f>
        <v/>
      </c>
      <c r="Q25" s="162" t="str">
        <f>IF(C25="","",IFERROR(IFERROR(VLOOKUP("1GPTY"&amp;B25,'Draft SK'!AB:AG,5,FALSE),VLOOKUP("1GPTT"&amp;B25,'Draft SK'!AB:AG,5,FALSE)),"--"))</f>
        <v/>
      </c>
      <c r="R25" s="162" t="str">
        <f>IF(C25="","",IF(Q25="--","--",VLOOKUP(Q25,'Draft SK'!AF:AI,2,FALSE)))</f>
        <v/>
      </c>
      <c r="S25" s="11"/>
      <c r="T25" s="12"/>
      <c r="U25" s="42"/>
      <c r="V25" s="6"/>
      <c r="W25" s="83" t="str">
        <f t="shared" si="2"/>
        <v/>
      </c>
      <c r="X25" s="163" t="str">
        <f t="shared" si="3"/>
        <v/>
      </c>
      <c r="Z25" s="37" t="str">
        <f t="shared" si="0"/>
        <v/>
      </c>
      <c r="AA25" s="37" t="str">
        <f>Z25&amp;COUNTIFS(Z$6:Z25,Z25)</f>
        <v>7</v>
      </c>
      <c r="AB25" s="37">
        <f>COUNTIFS(AA$6:AA25,AA25)</f>
        <v>1</v>
      </c>
    </row>
    <row r="26" spans="1:28" ht="15.5" x14ac:dyDescent="0.35">
      <c r="A26" t="str">
        <f t="shared" si="1"/>
        <v>8</v>
      </c>
      <c r="B26" s="9">
        <v>21</v>
      </c>
      <c r="C26" s="8"/>
      <c r="D26" s="10"/>
      <c r="E26" s="10"/>
      <c r="F26" s="10"/>
      <c r="G26" s="8"/>
      <c r="H26" s="8"/>
      <c r="I26" s="8"/>
      <c r="J26" s="10"/>
      <c r="K26" s="44"/>
      <c r="L26" s="158" t="str">
        <f>IF(C26="","",IF(M26="--",M26,VLOOKUP(M26,'Draft SK'!AF:AI,3,FALSE)))</f>
        <v/>
      </c>
      <c r="M26" s="159" t="str">
        <f>IF(C26="","",IF(B26="","--",IFERROR(VLOOKUP("1GPTT"&amp;B26,'Draft SK'!AD:AF,3,FALSE),VLOOKUP("1UMUM"&amp;B26,'Draft SK'!AD:AF,3,FALSE))))</f>
        <v/>
      </c>
      <c r="N26" s="158" t="str">
        <f>IF(C26="","",IF(M26="--","--",VLOOKUP(M26,'Draft SK'!AF:AI,2,FALSE)))</f>
        <v/>
      </c>
      <c r="O26" s="160" t="str">
        <f>IF(C26="","",IFERROR(VLOOKUP("1GPTY"&amp;B26,'Draft SK'!AD:AF,3,FALSE),"--"))</f>
        <v/>
      </c>
      <c r="P26" s="161" t="str">
        <f>IF(C26="","",IF(O26="--","--",VLOOKUP(O26,'Draft SK'!AF:AI,2,FALSE)))</f>
        <v/>
      </c>
      <c r="Q26" s="162" t="str">
        <f>IF(C26="","",IFERROR(IFERROR(VLOOKUP("1GPTY"&amp;B26,'Draft SK'!AB:AG,5,FALSE),VLOOKUP("1GPTT"&amp;B26,'Draft SK'!AB:AG,5,FALSE)),"--"))</f>
        <v/>
      </c>
      <c r="R26" s="162" t="str">
        <f>IF(C26="","",IF(Q26="--","--",VLOOKUP(Q26,'Draft SK'!AF:AI,2,FALSE)))</f>
        <v/>
      </c>
      <c r="S26" s="11"/>
      <c r="T26" s="12"/>
      <c r="U26" s="42"/>
      <c r="V26" s="6"/>
      <c r="W26" s="83" t="str">
        <f t="shared" si="2"/>
        <v/>
      </c>
      <c r="X26" s="163" t="str">
        <f t="shared" si="3"/>
        <v/>
      </c>
      <c r="Z26" s="37" t="str">
        <f t="shared" si="0"/>
        <v/>
      </c>
      <c r="AA26" s="37" t="str">
        <f>Z26&amp;COUNTIFS(Z$6:Z26,Z26)</f>
        <v>8</v>
      </c>
      <c r="AB26" s="37">
        <f>COUNTIFS(AA$6:AA26,AA26)</f>
        <v>1</v>
      </c>
    </row>
    <row r="27" spans="1:28" ht="15.5" x14ac:dyDescent="0.35">
      <c r="A27" t="str">
        <f t="shared" si="1"/>
        <v>9</v>
      </c>
      <c r="B27" s="9">
        <v>22</v>
      </c>
      <c r="C27" s="8"/>
      <c r="D27" s="10"/>
      <c r="E27" s="10"/>
      <c r="F27" s="10"/>
      <c r="G27" s="8"/>
      <c r="H27" s="8"/>
      <c r="I27" s="12"/>
      <c r="J27" s="10"/>
      <c r="K27" s="44"/>
      <c r="L27" s="158" t="str">
        <f>IF(C27="","",IF(M27="--",M27,VLOOKUP(M27,'Draft SK'!AF:AI,3,FALSE)))</f>
        <v/>
      </c>
      <c r="M27" s="159" t="str">
        <f>IF(C27="","",IF(B27="","--",IFERROR(VLOOKUP("1GPTT"&amp;B27,'Draft SK'!AD:AF,3,FALSE),VLOOKUP("1UMUM"&amp;B27,'Draft SK'!AD:AF,3,FALSE))))</f>
        <v/>
      </c>
      <c r="N27" s="158" t="str">
        <f>IF(C27="","",IF(M27="--","--",VLOOKUP(M27,'Draft SK'!AF:AI,2,FALSE)))</f>
        <v/>
      </c>
      <c r="O27" s="160" t="str">
        <f>IF(C27="","",IFERROR(VLOOKUP("1GPTY"&amp;B27,'Draft SK'!AD:AF,3,FALSE),"--"))</f>
        <v/>
      </c>
      <c r="P27" s="161" t="str">
        <f>IF(C27="","",IF(O27="--","--",VLOOKUP(O27,'Draft SK'!AF:AI,2,FALSE)))</f>
        <v/>
      </c>
      <c r="Q27" s="162" t="str">
        <f>IF(C27="","",IFERROR(IFERROR(VLOOKUP("1GPTY"&amp;B27,'Draft SK'!AB:AG,5,FALSE),VLOOKUP("1GPTT"&amp;B27,'Draft SK'!AB:AG,5,FALSE)),"--"))</f>
        <v/>
      </c>
      <c r="R27" s="162" t="str">
        <f>IF(C27="","",IF(Q27="--","--",VLOOKUP(Q27,'Draft SK'!AF:AI,2,FALSE)))</f>
        <v/>
      </c>
      <c r="S27" s="11"/>
      <c r="T27" s="12"/>
      <c r="U27" s="42"/>
      <c r="V27" s="6"/>
      <c r="W27" s="83" t="str">
        <f t="shared" si="2"/>
        <v/>
      </c>
      <c r="X27" s="163" t="str">
        <f t="shared" si="3"/>
        <v/>
      </c>
      <c r="Z27" s="37" t="str">
        <f t="shared" si="0"/>
        <v/>
      </c>
      <c r="AA27" s="37" t="str">
        <f>Z27&amp;COUNTIFS(Z$6:Z27,Z27)</f>
        <v>9</v>
      </c>
      <c r="AB27" s="37">
        <f>COUNTIFS(AA$6:AA27,AA27)</f>
        <v>1</v>
      </c>
    </row>
    <row r="28" spans="1:28" ht="15.5" x14ac:dyDescent="0.35">
      <c r="A28" t="str">
        <f t="shared" si="1"/>
        <v>10</v>
      </c>
      <c r="B28" s="9">
        <v>23</v>
      </c>
      <c r="C28" s="8"/>
      <c r="D28" s="10"/>
      <c r="E28" s="10"/>
      <c r="F28" s="10"/>
      <c r="G28" s="8"/>
      <c r="H28" s="8"/>
      <c r="I28" s="12"/>
      <c r="J28" s="10"/>
      <c r="K28" s="44"/>
      <c r="L28" s="158" t="str">
        <f>IF(C28="","",IF(M28="--",M28,VLOOKUP(M28,'Draft SK'!AF:AI,3,FALSE)))</f>
        <v/>
      </c>
      <c r="M28" s="159" t="str">
        <f>IF(C28="","",IF(B28="","--",IFERROR(VLOOKUP("1GPTT"&amp;B28,'Draft SK'!AD:AF,3,FALSE),VLOOKUP("1UMUM"&amp;B28,'Draft SK'!AD:AF,3,FALSE))))</f>
        <v/>
      </c>
      <c r="N28" s="158" t="str">
        <f>IF(C28="","",IF(M28="--","--",VLOOKUP(M28,'Draft SK'!AF:AI,2,FALSE)))</f>
        <v/>
      </c>
      <c r="O28" s="160" t="str">
        <f>IF(C28="","",IFERROR(VLOOKUP("1GPTY"&amp;B28,'Draft SK'!AD:AF,3,FALSE),"--"))</f>
        <v/>
      </c>
      <c r="P28" s="161" t="str">
        <f>IF(C28="","",IF(O28="--","--",VLOOKUP(O28,'Draft SK'!AF:AI,2,FALSE)))</f>
        <v/>
      </c>
      <c r="Q28" s="162" t="str">
        <f>IF(C28="","",IFERROR(IFERROR(VLOOKUP("1GPTY"&amp;B28,'Draft SK'!AB:AG,5,FALSE),VLOOKUP("1GPTT"&amp;B28,'Draft SK'!AB:AG,5,FALSE)),"--"))</f>
        <v/>
      </c>
      <c r="R28" s="162" t="str">
        <f>IF(C28="","",IF(Q28="--","--",VLOOKUP(Q28,'Draft SK'!AF:AI,2,FALSE)))</f>
        <v/>
      </c>
      <c r="S28" s="11"/>
      <c r="T28" s="12"/>
      <c r="U28" s="42"/>
      <c r="V28" s="6"/>
      <c r="W28" s="83" t="str">
        <f t="shared" si="2"/>
        <v/>
      </c>
      <c r="X28" s="163" t="str">
        <f t="shared" si="3"/>
        <v/>
      </c>
      <c r="Z28" s="37" t="str">
        <f t="shared" si="0"/>
        <v/>
      </c>
      <c r="AA28" s="37" t="str">
        <f>Z28&amp;COUNTIFS(Z$6:Z28,Z28)</f>
        <v>10</v>
      </c>
      <c r="AB28" s="37">
        <f>COUNTIFS(AA$6:AA28,AA28)</f>
        <v>1</v>
      </c>
    </row>
    <row r="29" spans="1:28" ht="15.5" x14ac:dyDescent="0.35">
      <c r="A29" t="str">
        <f t="shared" si="1"/>
        <v>11</v>
      </c>
      <c r="B29" s="9">
        <v>24</v>
      </c>
      <c r="C29" s="8"/>
      <c r="D29" s="10"/>
      <c r="E29" s="10"/>
      <c r="F29" s="10"/>
      <c r="G29" s="8"/>
      <c r="H29" s="8"/>
      <c r="I29" s="8"/>
      <c r="J29" s="10"/>
      <c r="K29" s="44"/>
      <c r="L29" s="158" t="str">
        <f>IF(C29="","",IF(M29="--",M29,VLOOKUP(M29,'Draft SK'!AF:AI,3,FALSE)))</f>
        <v/>
      </c>
      <c r="M29" s="159" t="str">
        <f>IF(C29="","",IF(B29="","--",IFERROR(VLOOKUP("1GPTT"&amp;B29,'Draft SK'!AD:AF,3,FALSE),VLOOKUP("1UMUM"&amp;B29,'Draft SK'!AD:AF,3,FALSE))))</f>
        <v/>
      </c>
      <c r="N29" s="158" t="str">
        <f>IF(C29="","",IF(M29="--","--",VLOOKUP(M29,'Draft SK'!AF:AI,2,FALSE)))</f>
        <v/>
      </c>
      <c r="O29" s="160" t="str">
        <f>IF(C29="","",IFERROR(VLOOKUP("1GPTY"&amp;B29,'Draft SK'!AD:AF,3,FALSE),"--"))</f>
        <v/>
      </c>
      <c r="P29" s="161" t="str">
        <f>IF(C29="","",IF(O29="--","--",VLOOKUP(O29,'Draft SK'!AF:AI,2,FALSE)))</f>
        <v/>
      </c>
      <c r="Q29" s="162" t="str">
        <f>IF(C29="","",IFERROR(IFERROR(VLOOKUP("1GPTY"&amp;B29,'Draft SK'!AB:AG,5,FALSE),VLOOKUP("1GPTT"&amp;B29,'Draft SK'!AB:AG,5,FALSE)),"--"))</f>
        <v/>
      </c>
      <c r="R29" s="162" t="str">
        <f>IF(C29="","",IF(Q29="--","--",VLOOKUP(Q29,'Draft SK'!AF:AI,2,FALSE)))</f>
        <v/>
      </c>
      <c r="S29" s="15"/>
      <c r="T29" s="12"/>
      <c r="U29" s="42"/>
      <c r="V29" s="6"/>
      <c r="W29" s="83" t="str">
        <f t="shared" si="2"/>
        <v/>
      </c>
      <c r="X29" s="163" t="str">
        <f t="shared" si="3"/>
        <v/>
      </c>
      <c r="Z29" s="37" t="str">
        <f t="shared" si="0"/>
        <v/>
      </c>
      <c r="AA29" s="37" t="str">
        <f>Z29&amp;COUNTIFS(Z$6:Z29,Z29)</f>
        <v>11</v>
      </c>
      <c r="AB29" s="37">
        <f>COUNTIFS(AA$6:AA29,AA29)</f>
        <v>1</v>
      </c>
    </row>
    <row r="30" spans="1:28" ht="15.5" x14ac:dyDescent="0.35">
      <c r="A30" t="str">
        <f t="shared" si="1"/>
        <v>12</v>
      </c>
      <c r="B30" s="9">
        <v>25</v>
      </c>
      <c r="C30" s="8"/>
      <c r="D30" s="10"/>
      <c r="E30" s="10"/>
      <c r="F30" s="10"/>
      <c r="G30" s="8"/>
      <c r="H30" s="8"/>
      <c r="I30" s="12"/>
      <c r="J30" s="10"/>
      <c r="K30" s="44"/>
      <c r="L30" s="158" t="str">
        <f>IF(C30="","",IF(M30="--",M30,VLOOKUP(M30,'Draft SK'!AF:AI,3,FALSE)))</f>
        <v/>
      </c>
      <c r="M30" s="159" t="str">
        <f>IF(C30="","",IF(B30="","--",IFERROR(VLOOKUP("1GPTT"&amp;B30,'Draft SK'!AD:AF,3,FALSE),VLOOKUP("1UMUM"&amp;B30,'Draft SK'!AD:AF,3,FALSE))))</f>
        <v/>
      </c>
      <c r="N30" s="158" t="str">
        <f>IF(C30="","",IF(M30="--","--",VLOOKUP(M30,'Draft SK'!AF:AI,2,FALSE)))</f>
        <v/>
      </c>
      <c r="O30" s="160" t="str">
        <f>IF(C30="","",IFERROR(VLOOKUP("1GPTY"&amp;B30,'Draft SK'!AD:AF,3,FALSE),"--"))</f>
        <v/>
      </c>
      <c r="P30" s="161" t="str">
        <f>IF(C30="","",IF(O30="--","--",VLOOKUP(O30,'Draft SK'!AF:AI,2,FALSE)))</f>
        <v/>
      </c>
      <c r="Q30" s="162" t="str">
        <f>IF(C30="","",IFERROR(IFERROR(VLOOKUP("1GPTY"&amp;B30,'Draft SK'!AB:AG,5,FALSE),VLOOKUP("1GPTT"&amp;B30,'Draft SK'!AB:AG,5,FALSE)),"--"))</f>
        <v/>
      </c>
      <c r="R30" s="162" t="str">
        <f>IF(C30="","",IF(Q30="--","--",VLOOKUP(Q30,'Draft SK'!AF:AI,2,FALSE)))</f>
        <v/>
      </c>
      <c r="S30" s="11"/>
      <c r="T30" s="12"/>
      <c r="U30" s="42"/>
      <c r="V30" s="6"/>
      <c r="W30" s="83" t="str">
        <f t="shared" si="2"/>
        <v/>
      </c>
      <c r="X30" s="163" t="str">
        <f t="shared" si="3"/>
        <v/>
      </c>
      <c r="Z30" s="37" t="str">
        <f t="shared" si="0"/>
        <v/>
      </c>
      <c r="AA30" s="37" t="str">
        <f>Z30&amp;COUNTIFS(Z$6:Z30,Z30)</f>
        <v>12</v>
      </c>
      <c r="AB30" s="37">
        <f>COUNTIFS(AA$6:AA30,AA30)</f>
        <v>1</v>
      </c>
    </row>
    <row r="31" spans="1:28" ht="15.5" x14ac:dyDescent="0.35">
      <c r="A31" t="str">
        <f t="shared" si="1"/>
        <v>13</v>
      </c>
      <c r="B31" s="9">
        <v>26</v>
      </c>
      <c r="C31" s="8"/>
      <c r="D31" s="10"/>
      <c r="E31" s="10"/>
      <c r="F31" s="10"/>
      <c r="G31" s="8"/>
      <c r="H31" s="8"/>
      <c r="I31" s="12"/>
      <c r="J31" s="10"/>
      <c r="K31" s="44"/>
      <c r="L31" s="158" t="str">
        <f>IF(C31="","",IF(M31="--",M31,VLOOKUP(M31,'Draft SK'!AF:AI,3,FALSE)))</f>
        <v/>
      </c>
      <c r="M31" s="159" t="str">
        <f>IF(C31="","",IF(B31="","--",IFERROR(VLOOKUP("1GPTT"&amp;B31,'Draft SK'!AD:AF,3,FALSE),VLOOKUP("1UMUM"&amp;B31,'Draft SK'!AD:AF,3,FALSE))))</f>
        <v/>
      </c>
      <c r="N31" s="158" t="str">
        <f>IF(C31="","",IF(M31="--","--",VLOOKUP(M31,'Draft SK'!AF:AI,2,FALSE)))</f>
        <v/>
      </c>
      <c r="O31" s="160" t="str">
        <f>IF(C31="","",IFERROR(VLOOKUP("1GPTY"&amp;B31,'Draft SK'!AD:AF,3,FALSE),"--"))</f>
        <v/>
      </c>
      <c r="P31" s="161" t="str">
        <f>IF(C31="","",IF(O31="--","--",VLOOKUP(O31,'Draft SK'!AF:AI,2,FALSE)))</f>
        <v/>
      </c>
      <c r="Q31" s="162" t="str">
        <f>IF(C31="","",IFERROR(IFERROR(VLOOKUP("1GPTY"&amp;B31,'Draft SK'!AB:AG,5,FALSE),VLOOKUP("1GPTT"&amp;B31,'Draft SK'!AB:AG,5,FALSE)),"--"))</f>
        <v/>
      </c>
      <c r="R31" s="162" t="str">
        <f>IF(C31="","",IF(Q31="--","--",VLOOKUP(Q31,'Draft SK'!AF:AI,2,FALSE)))</f>
        <v/>
      </c>
      <c r="S31" s="11"/>
      <c r="T31" s="12"/>
      <c r="U31" s="42"/>
      <c r="V31" s="6"/>
      <c r="W31" s="83" t="str">
        <f t="shared" si="2"/>
        <v/>
      </c>
      <c r="X31" s="163" t="str">
        <f t="shared" si="3"/>
        <v/>
      </c>
      <c r="Z31" s="37" t="str">
        <f t="shared" si="0"/>
        <v/>
      </c>
      <c r="AA31" s="37" t="str">
        <f>Z31&amp;COUNTIFS(Z$6:Z31,Z31)</f>
        <v>13</v>
      </c>
      <c r="AB31" s="37">
        <f>COUNTIFS(AA$6:AA31,AA31)</f>
        <v>1</v>
      </c>
    </row>
    <row r="32" spans="1:28" ht="15.5" x14ac:dyDescent="0.35">
      <c r="A32" t="str">
        <f t="shared" si="1"/>
        <v>14</v>
      </c>
      <c r="B32" s="9">
        <v>27</v>
      </c>
      <c r="C32" s="8"/>
      <c r="D32" s="10"/>
      <c r="E32" s="10"/>
      <c r="F32" s="10"/>
      <c r="G32" s="8"/>
      <c r="H32" s="8"/>
      <c r="I32" s="12"/>
      <c r="J32" s="10"/>
      <c r="K32" s="44"/>
      <c r="L32" s="158" t="str">
        <f>IF(C32="","",IF(M32="--",M32,VLOOKUP(M32,'Draft SK'!AF:AI,3,FALSE)))</f>
        <v/>
      </c>
      <c r="M32" s="159" t="str">
        <f>IF(C32="","",IF(B32="","--",IFERROR(VLOOKUP("1GPTT"&amp;B32,'Draft SK'!AD:AF,3,FALSE),VLOOKUP("1UMUM"&amp;B32,'Draft SK'!AD:AF,3,FALSE))))</f>
        <v/>
      </c>
      <c r="N32" s="158" t="str">
        <f>IF(C32="","",IF(M32="--","--",VLOOKUP(M32,'Draft SK'!AF:AI,2,FALSE)))</f>
        <v/>
      </c>
      <c r="O32" s="160" t="str">
        <f>IF(C32="","",IFERROR(VLOOKUP("1GPTY"&amp;B32,'Draft SK'!AD:AF,3,FALSE),"--"))</f>
        <v/>
      </c>
      <c r="P32" s="161" t="str">
        <f>IF(C32="","",IF(O32="--","--",VLOOKUP(O32,'Draft SK'!AF:AI,2,FALSE)))</f>
        <v/>
      </c>
      <c r="Q32" s="162" t="str">
        <f>IF(C32="","",IFERROR(IFERROR(VLOOKUP("1GPTY"&amp;B32,'Draft SK'!AB:AG,5,FALSE),VLOOKUP("1GPTT"&amp;B32,'Draft SK'!AB:AG,5,FALSE)),"--"))</f>
        <v/>
      </c>
      <c r="R32" s="162" t="str">
        <f>IF(C32="","",IF(Q32="--","--",VLOOKUP(Q32,'Draft SK'!AF:AI,2,FALSE)))</f>
        <v/>
      </c>
      <c r="S32" s="11"/>
      <c r="T32" s="12"/>
      <c r="U32" s="42"/>
      <c r="V32" s="6"/>
      <c r="W32" s="83" t="str">
        <f t="shared" si="2"/>
        <v/>
      </c>
      <c r="X32" s="163" t="str">
        <f t="shared" si="3"/>
        <v/>
      </c>
      <c r="Z32" s="37" t="str">
        <f t="shared" si="0"/>
        <v/>
      </c>
      <c r="AA32" s="37" t="str">
        <f>Z32&amp;COUNTIFS(Z$6:Z32,Z32)</f>
        <v>14</v>
      </c>
      <c r="AB32" s="37">
        <f>COUNTIFS(AA$6:AA32,AA32)</f>
        <v>1</v>
      </c>
    </row>
    <row r="33" spans="1:28" ht="15.5" x14ac:dyDescent="0.35">
      <c r="A33" t="str">
        <f t="shared" si="1"/>
        <v>15</v>
      </c>
      <c r="B33" s="9">
        <v>28</v>
      </c>
      <c r="C33" s="8"/>
      <c r="D33" s="10"/>
      <c r="E33" s="10"/>
      <c r="F33" s="10"/>
      <c r="G33" s="8"/>
      <c r="H33" s="8"/>
      <c r="I33" s="12"/>
      <c r="J33" s="10"/>
      <c r="K33" s="44"/>
      <c r="L33" s="158" t="str">
        <f>IF(C33="","",IF(M33="--",M33,VLOOKUP(M33,'Draft SK'!AF:AI,3,FALSE)))</f>
        <v/>
      </c>
      <c r="M33" s="159" t="str">
        <f>IF(C33="","",IF(B33="","--",IFERROR(VLOOKUP("1GPTT"&amp;B33,'Draft SK'!AD:AF,3,FALSE),VLOOKUP("1UMUM"&amp;B33,'Draft SK'!AD:AF,3,FALSE))))</f>
        <v/>
      </c>
      <c r="N33" s="158" t="str">
        <f>IF(C33="","",IF(M33="--","--",VLOOKUP(M33,'Draft SK'!AF:AI,2,FALSE)))</f>
        <v/>
      </c>
      <c r="O33" s="160" t="str">
        <f>IF(C33="","",IFERROR(VLOOKUP("1GPTY"&amp;B33,'Draft SK'!AD:AF,3,FALSE),"--"))</f>
        <v/>
      </c>
      <c r="P33" s="161" t="str">
        <f>IF(C33="","",IF(O33="--","--",VLOOKUP(O33,'Draft SK'!AF:AI,2,FALSE)))</f>
        <v/>
      </c>
      <c r="Q33" s="162" t="str">
        <f>IF(C33="","",IFERROR(IFERROR(VLOOKUP("1GPTY"&amp;B33,'Draft SK'!AB:AG,5,FALSE),VLOOKUP("1GPTT"&amp;B33,'Draft SK'!AB:AG,5,FALSE)),"--"))</f>
        <v/>
      </c>
      <c r="R33" s="162" t="str">
        <f>IF(C33="","",IF(Q33="--","--",VLOOKUP(Q33,'Draft SK'!AF:AI,2,FALSE)))</f>
        <v/>
      </c>
      <c r="S33" s="11"/>
      <c r="T33" s="12"/>
      <c r="U33" s="42"/>
      <c r="V33" s="99"/>
      <c r="W33" s="83" t="str">
        <f t="shared" si="2"/>
        <v/>
      </c>
      <c r="X33" s="163" t="str">
        <f t="shared" si="3"/>
        <v/>
      </c>
      <c r="Z33" s="37" t="str">
        <f t="shared" si="0"/>
        <v/>
      </c>
      <c r="AA33" s="37" t="str">
        <f>Z33&amp;COUNTIFS(Z$6:Z33,Z33)</f>
        <v>15</v>
      </c>
      <c r="AB33" s="37">
        <f>COUNTIFS(AA$6:AA33,AA33)</f>
        <v>1</v>
      </c>
    </row>
    <row r="34" spans="1:28" ht="15.5" x14ac:dyDescent="0.35">
      <c r="A34" t="str">
        <f t="shared" si="1"/>
        <v>16</v>
      </c>
      <c r="B34" s="9">
        <v>29</v>
      </c>
      <c r="C34" s="8"/>
      <c r="D34" s="10"/>
      <c r="E34" s="10"/>
      <c r="F34" s="10"/>
      <c r="G34" s="8"/>
      <c r="H34" s="8"/>
      <c r="I34" s="12"/>
      <c r="J34" s="10"/>
      <c r="K34" s="44"/>
      <c r="L34" s="158" t="str">
        <f>IF(C34="","",IF(M34="--",M34,VLOOKUP(M34,'Draft SK'!AF:AI,3,FALSE)))</f>
        <v/>
      </c>
      <c r="M34" s="159" t="str">
        <f>IF(C34="","",IF(B34="","--",IFERROR(VLOOKUP("1GPTT"&amp;B34,'Draft SK'!AD:AF,3,FALSE),VLOOKUP("1UMUM"&amp;B34,'Draft SK'!AD:AF,3,FALSE))))</f>
        <v/>
      </c>
      <c r="N34" s="158" t="str">
        <f>IF(C34="","",IF(M34="--","--",VLOOKUP(M34,'Draft SK'!AF:AI,2,FALSE)))</f>
        <v/>
      </c>
      <c r="O34" s="160" t="str">
        <f>IF(C34="","",IFERROR(VLOOKUP("1GPTY"&amp;B34,'Draft SK'!AD:AF,3,FALSE),"--"))</f>
        <v/>
      </c>
      <c r="P34" s="161" t="str">
        <f>IF(C34="","",IF(O34="--","--",VLOOKUP(O34,'Draft SK'!AF:AI,2,FALSE)))</f>
        <v/>
      </c>
      <c r="Q34" s="162" t="str">
        <f>IF(C34="","",IFERROR(IFERROR(VLOOKUP("1GPTY"&amp;B34,'Draft SK'!AB:AG,5,FALSE),VLOOKUP("1GPTT"&amp;B34,'Draft SK'!AB:AG,5,FALSE)),"--"))</f>
        <v/>
      </c>
      <c r="R34" s="162" t="str">
        <f>IF(C34="","",IF(Q34="--","--",VLOOKUP(Q34,'Draft SK'!AF:AI,2,FALSE)))</f>
        <v/>
      </c>
      <c r="S34" s="11"/>
      <c r="T34" s="12"/>
      <c r="U34" s="42"/>
      <c r="V34" s="6"/>
      <c r="W34" s="83" t="str">
        <f t="shared" si="2"/>
        <v/>
      </c>
      <c r="X34" s="163" t="str">
        <f t="shared" si="3"/>
        <v/>
      </c>
      <c r="Z34" s="37" t="str">
        <f t="shared" si="0"/>
        <v/>
      </c>
      <c r="AA34" s="37" t="str">
        <f>Z34&amp;COUNTIFS(Z$6:Z34,Z34)</f>
        <v>16</v>
      </c>
      <c r="AB34" s="37">
        <f>COUNTIFS(AA$6:AA34,AA34)</f>
        <v>1</v>
      </c>
    </row>
    <row r="35" spans="1:28" ht="15.5" x14ac:dyDescent="0.35">
      <c r="A35" t="str">
        <f t="shared" si="1"/>
        <v>17</v>
      </c>
      <c r="B35" s="9">
        <v>30</v>
      </c>
      <c r="C35" s="8"/>
      <c r="D35" s="10"/>
      <c r="E35" s="10"/>
      <c r="F35" s="10"/>
      <c r="G35" s="8"/>
      <c r="H35" s="8"/>
      <c r="I35" s="12"/>
      <c r="J35" s="10"/>
      <c r="K35" s="44"/>
      <c r="L35" s="158" t="str">
        <f>IF(C35="","",IF(M35="--",M35,VLOOKUP(M35,'Draft SK'!AF:AI,3,FALSE)))</f>
        <v/>
      </c>
      <c r="M35" s="159" t="str">
        <f>IF(C35="","",IF(B35="","--",IFERROR(VLOOKUP("1GPTT"&amp;B35,'Draft SK'!AD:AF,3,FALSE),VLOOKUP("1UMUM"&amp;B35,'Draft SK'!AD:AF,3,FALSE))))</f>
        <v/>
      </c>
      <c r="N35" s="158" t="str">
        <f>IF(C35="","",IF(M35="--","--",VLOOKUP(M35,'Draft SK'!AF:AI,2,FALSE)))</f>
        <v/>
      </c>
      <c r="O35" s="160" t="str">
        <f>IF(C35="","",IFERROR(VLOOKUP("1GPTY"&amp;B35,'Draft SK'!AD:AF,3,FALSE),"--"))</f>
        <v/>
      </c>
      <c r="P35" s="161" t="str">
        <f>IF(C35="","",IF(O35="--","--",VLOOKUP(O35,'Draft SK'!AF:AI,2,FALSE)))</f>
        <v/>
      </c>
      <c r="Q35" s="162" t="str">
        <f>IF(C35="","",IFERROR(IFERROR(VLOOKUP("1GPTY"&amp;B35,'Draft SK'!AB:AG,5,FALSE),VLOOKUP("1GPTT"&amp;B35,'Draft SK'!AB:AG,5,FALSE)),"--"))</f>
        <v/>
      </c>
      <c r="R35" s="162" t="str">
        <f>IF(C35="","",IF(Q35="--","--",VLOOKUP(Q35,'Draft SK'!AF:AI,2,FALSE)))</f>
        <v/>
      </c>
      <c r="S35" s="11"/>
      <c r="T35" s="12"/>
      <c r="U35" s="42"/>
      <c r="V35" s="6"/>
      <c r="W35" s="83" t="str">
        <f t="shared" si="2"/>
        <v/>
      </c>
      <c r="X35" s="163" t="str">
        <f t="shared" si="3"/>
        <v/>
      </c>
      <c r="Z35" s="37" t="str">
        <f t="shared" si="0"/>
        <v/>
      </c>
      <c r="AA35" s="37" t="str">
        <f>Z35&amp;COUNTIFS(Z$6:Z35,Z35)</f>
        <v>17</v>
      </c>
      <c r="AB35" s="37">
        <f>COUNTIFS(AA$6:AA35,AA35)</f>
        <v>1</v>
      </c>
    </row>
    <row r="36" spans="1:28" ht="15.5" x14ac:dyDescent="0.35">
      <c r="A36" t="str">
        <f t="shared" si="1"/>
        <v>18</v>
      </c>
      <c r="B36" s="9">
        <v>31</v>
      </c>
      <c r="C36" s="8"/>
      <c r="D36" s="10"/>
      <c r="E36" s="10"/>
      <c r="F36" s="10"/>
      <c r="G36" s="8"/>
      <c r="H36" s="8"/>
      <c r="I36" s="12"/>
      <c r="J36" s="10"/>
      <c r="K36" s="44"/>
      <c r="L36" s="158" t="str">
        <f>IF(C36="","",IF(M36="--",M36,VLOOKUP(M36,'Draft SK'!AF:AI,3,FALSE)))</f>
        <v/>
      </c>
      <c r="M36" s="159" t="str">
        <f>IF(C36="","",IF(B36="","--",IFERROR(VLOOKUP("1GPTT"&amp;B36,'Draft SK'!AD:AF,3,FALSE),VLOOKUP("1UMUM"&amp;B36,'Draft SK'!AD:AF,3,FALSE))))</f>
        <v/>
      </c>
      <c r="N36" s="158" t="str">
        <f>IF(C36="","",IF(M36="--","--",VLOOKUP(M36,'Draft SK'!AF:AI,2,FALSE)))</f>
        <v/>
      </c>
      <c r="O36" s="160" t="str">
        <f>IF(C36="","",IFERROR(VLOOKUP("1GPTY"&amp;B36,'Draft SK'!AD:AF,3,FALSE),"--"))</f>
        <v/>
      </c>
      <c r="P36" s="161" t="str">
        <f>IF(C36="","",IF(O36="--","--",VLOOKUP(O36,'Draft SK'!AF:AI,2,FALSE)))</f>
        <v/>
      </c>
      <c r="Q36" s="162" t="str">
        <f>IF(C36="","",IFERROR(IFERROR(VLOOKUP("1GPTY"&amp;B36,'Draft SK'!AB:AG,5,FALSE),VLOOKUP("1GPTT"&amp;B36,'Draft SK'!AB:AG,5,FALSE)),"--"))</f>
        <v/>
      </c>
      <c r="R36" s="162" t="str">
        <f>IF(C36="","",IF(Q36="--","--",VLOOKUP(Q36,'Draft SK'!AF:AI,2,FALSE)))</f>
        <v/>
      </c>
      <c r="S36" s="11"/>
      <c r="T36" s="12"/>
      <c r="U36" s="42"/>
      <c r="V36" s="6"/>
      <c r="W36" s="83" t="str">
        <f t="shared" si="2"/>
        <v/>
      </c>
      <c r="X36" s="163" t="str">
        <f t="shared" si="3"/>
        <v/>
      </c>
      <c r="Z36" s="37" t="str">
        <f t="shared" si="0"/>
        <v/>
      </c>
      <c r="AA36" s="37" t="str">
        <f>Z36&amp;COUNTIFS(Z$6:Z36,Z36)</f>
        <v>18</v>
      </c>
      <c r="AB36" s="37">
        <f>COUNTIFS(AA$6:AA36,AA36)</f>
        <v>1</v>
      </c>
    </row>
    <row r="37" spans="1:28" ht="15.5" x14ac:dyDescent="0.35">
      <c r="A37" t="str">
        <f t="shared" si="1"/>
        <v>19</v>
      </c>
      <c r="B37" s="9">
        <v>32</v>
      </c>
      <c r="C37" s="8"/>
      <c r="D37" s="10"/>
      <c r="E37" s="10"/>
      <c r="F37" s="10"/>
      <c r="G37" s="8"/>
      <c r="H37" s="8"/>
      <c r="I37" s="12"/>
      <c r="J37" s="10"/>
      <c r="K37" s="44"/>
      <c r="L37" s="158" t="str">
        <f>IF(C37="","",IF(M37="--",M37,VLOOKUP(M37,'Draft SK'!AF:AI,3,FALSE)))</f>
        <v/>
      </c>
      <c r="M37" s="159" t="str">
        <f>IF(C37="","",IF(B37="","--",IFERROR(VLOOKUP("1GPTT"&amp;B37,'Draft SK'!AD:AF,3,FALSE),VLOOKUP("1UMUM"&amp;B37,'Draft SK'!AD:AF,3,FALSE))))</f>
        <v/>
      </c>
      <c r="N37" s="158" t="str">
        <f>IF(C37="","",IF(M37="--","--",VLOOKUP(M37,'Draft SK'!AF:AI,2,FALSE)))</f>
        <v/>
      </c>
      <c r="O37" s="160" t="str">
        <f>IF(C37="","",IFERROR(VLOOKUP("1GPTY"&amp;B37,'Draft SK'!AD:AF,3,FALSE),"--"))</f>
        <v/>
      </c>
      <c r="P37" s="161" t="str">
        <f>IF(C37="","",IF(O37="--","--",VLOOKUP(O37,'Draft SK'!AF:AI,2,FALSE)))</f>
        <v/>
      </c>
      <c r="Q37" s="162" t="str">
        <f>IF(C37="","",IFERROR(IFERROR(VLOOKUP("1GPTY"&amp;B37,'Draft SK'!AB:AG,5,FALSE),VLOOKUP("1GPTT"&amp;B37,'Draft SK'!AB:AG,5,FALSE)),"--"))</f>
        <v/>
      </c>
      <c r="R37" s="162" t="str">
        <f>IF(C37="","",IF(Q37="--","--",VLOOKUP(Q37,'Draft SK'!AF:AI,2,FALSE)))</f>
        <v/>
      </c>
      <c r="S37" s="11"/>
      <c r="T37" s="12"/>
      <c r="U37" s="42"/>
      <c r="V37" s="6"/>
      <c r="W37" s="83" t="str">
        <f t="shared" si="2"/>
        <v/>
      </c>
      <c r="X37" s="163" t="str">
        <f t="shared" si="3"/>
        <v/>
      </c>
      <c r="Z37" s="37" t="str">
        <f t="shared" si="0"/>
        <v/>
      </c>
      <c r="AA37" s="37" t="str">
        <f>Z37&amp;COUNTIFS(Z$6:Z37,Z37)</f>
        <v>19</v>
      </c>
      <c r="AB37" s="37">
        <f>COUNTIFS(AA$6:AA37,AA37)</f>
        <v>1</v>
      </c>
    </row>
    <row r="38" spans="1:28" ht="15.5" x14ac:dyDescent="0.35">
      <c r="A38" t="str">
        <f t="shared" si="1"/>
        <v>20</v>
      </c>
      <c r="B38" s="9">
        <v>33</v>
      </c>
      <c r="C38" s="8"/>
      <c r="D38" s="10"/>
      <c r="E38" s="10"/>
      <c r="F38" s="10"/>
      <c r="G38" s="8"/>
      <c r="H38" s="8"/>
      <c r="I38" s="12"/>
      <c r="J38" s="10"/>
      <c r="K38" s="44"/>
      <c r="L38" s="158" t="str">
        <f>IF(C38="","",IF(M38="--",M38,VLOOKUP(M38,'Draft SK'!AF:AI,3,FALSE)))</f>
        <v/>
      </c>
      <c r="M38" s="159" t="str">
        <f>IF(C38="","",IF(B38="","--",IFERROR(VLOOKUP("1GPTT"&amp;B38,'Draft SK'!AD:AF,3,FALSE),VLOOKUP("1UMUM"&amp;B38,'Draft SK'!AD:AF,3,FALSE))))</f>
        <v/>
      </c>
      <c r="N38" s="158" t="str">
        <f>IF(C38="","",IF(M38="--","--",VLOOKUP(M38,'Draft SK'!AF:AI,2,FALSE)))</f>
        <v/>
      </c>
      <c r="O38" s="160" t="str">
        <f>IF(C38="","",IFERROR(VLOOKUP("1GPTY"&amp;B38,'Draft SK'!AD:AF,3,FALSE),"--"))</f>
        <v/>
      </c>
      <c r="P38" s="161" t="str">
        <f>IF(C38="","",IF(O38="--","--",VLOOKUP(O38,'Draft SK'!AF:AI,2,FALSE)))</f>
        <v/>
      </c>
      <c r="Q38" s="162" t="str">
        <f>IF(C38="","",IFERROR(IFERROR(VLOOKUP("1GPTY"&amp;B38,'Draft SK'!AB:AG,5,FALSE),VLOOKUP("1GPTT"&amp;B38,'Draft SK'!AB:AG,5,FALSE)),"--"))</f>
        <v/>
      </c>
      <c r="R38" s="162" t="str">
        <f>IF(C38="","",IF(Q38="--","--",VLOOKUP(Q38,'Draft SK'!AF:AI,2,FALSE)))</f>
        <v/>
      </c>
      <c r="S38" s="11"/>
      <c r="T38" s="12"/>
      <c r="U38" s="42"/>
      <c r="V38" s="6"/>
      <c r="W38" s="83" t="str">
        <f t="shared" si="2"/>
        <v/>
      </c>
      <c r="X38" s="163" t="str">
        <f t="shared" si="3"/>
        <v/>
      </c>
      <c r="Z38" s="37" t="str">
        <f t="shared" ref="Z38:Z69" si="4">IF(K38="","",IF(OR(K38="Aktif",K38="Cuti"),"A","B"))</f>
        <v/>
      </c>
      <c r="AA38" s="37" t="str">
        <f>Z38&amp;COUNTIFS(Z$6:Z38,Z38)</f>
        <v>20</v>
      </c>
      <c r="AB38" s="37">
        <f>COUNTIFS(AA$6:AA38,AA38)</f>
        <v>1</v>
      </c>
    </row>
    <row r="39" spans="1:28" ht="15.5" x14ac:dyDescent="0.35">
      <c r="A39" t="str">
        <f t="shared" si="1"/>
        <v>21</v>
      </c>
      <c r="B39" s="9">
        <v>34</v>
      </c>
      <c r="C39" s="8"/>
      <c r="D39" s="10"/>
      <c r="E39" s="10"/>
      <c r="F39" s="10"/>
      <c r="G39" s="8"/>
      <c r="H39" s="8"/>
      <c r="I39" s="12"/>
      <c r="J39" s="10"/>
      <c r="K39" s="44"/>
      <c r="L39" s="158" t="str">
        <f>IF(C39="","",IF(M39="--",M39,VLOOKUP(M39,'Draft SK'!AF:AI,3,FALSE)))</f>
        <v/>
      </c>
      <c r="M39" s="159" t="str">
        <f>IF(C39="","",IF(B39="","--",IFERROR(VLOOKUP("1GPTT"&amp;B39,'Draft SK'!AD:AF,3,FALSE),VLOOKUP("1UMUM"&amp;B39,'Draft SK'!AD:AF,3,FALSE))))</f>
        <v/>
      </c>
      <c r="N39" s="158" t="str">
        <f>IF(C39="","",IF(M39="--","--",VLOOKUP(M39,'Draft SK'!AF:AI,2,FALSE)))</f>
        <v/>
      </c>
      <c r="O39" s="160" t="str">
        <f>IF(C39="","",IFERROR(VLOOKUP("1GPTY"&amp;B39,'Draft SK'!AD:AF,3,FALSE),"--"))</f>
        <v/>
      </c>
      <c r="P39" s="161" t="str">
        <f>IF(C39="","",IF(O39="--","--",VLOOKUP(O39,'Draft SK'!AF:AI,2,FALSE)))</f>
        <v/>
      </c>
      <c r="Q39" s="162" t="str">
        <f>IF(C39="","",IFERROR(IFERROR(VLOOKUP("1GPTY"&amp;B39,'Draft SK'!AB:AG,5,FALSE),VLOOKUP("1GPTT"&amp;B39,'Draft SK'!AB:AG,5,FALSE)),"--"))</f>
        <v/>
      </c>
      <c r="R39" s="162" t="str">
        <f>IF(C39="","",IF(Q39="--","--",VLOOKUP(Q39,'Draft SK'!AF:AI,2,FALSE)))</f>
        <v/>
      </c>
      <c r="S39" s="11"/>
      <c r="T39" s="12"/>
      <c r="U39" s="42"/>
      <c r="V39" s="6"/>
      <c r="W39" s="83" t="str">
        <f t="shared" si="2"/>
        <v/>
      </c>
      <c r="X39" s="163" t="str">
        <f t="shared" si="3"/>
        <v/>
      </c>
      <c r="Z39" s="37" t="str">
        <f t="shared" si="4"/>
        <v/>
      </c>
      <c r="AA39" s="37" t="str">
        <f>Z39&amp;COUNTIFS(Z$6:Z39,Z39)</f>
        <v>21</v>
      </c>
      <c r="AB39" s="37">
        <f>COUNTIFS(AA$6:AA39,AA39)</f>
        <v>1</v>
      </c>
    </row>
    <row r="40" spans="1:28" ht="15.5" x14ac:dyDescent="0.35">
      <c r="A40" t="str">
        <f t="shared" si="1"/>
        <v>22</v>
      </c>
      <c r="B40" s="9">
        <v>35</v>
      </c>
      <c r="C40" s="8"/>
      <c r="D40" s="10"/>
      <c r="E40" s="10"/>
      <c r="F40" s="10"/>
      <c r="G40" s="8"/>
      <c r="H40" s="8"/>
      <c r="I40" s="12"/>
      <c r="J40" s="10"/>
      <c r="K40" s="44"/>
      <c r="L40" s="158" t="str">
        <f>IF(C40="","",IF(M40="--",M40,VLOOKUP(M40,'Draft SK'!AF:AI,3,FALSE)))</f>
        <v/>
      </c>
      <c r="M40" s="159" t="str">
        <f>IF(C40="","",IF(B40="","--",IFERROR(VLOOKUP("1GPTT"&amp;B40,'Draft SK'!AD:AF,3,FALSE),VLOOKUP("1UMUM"&amp;B40,'Draft SK'!AD:AF,3,FALSE))))</f>
        <v/>
      </c>
      <c r="N40" s="158" t="str">
        <f>IF(C40="","",IF(M40="--","--",VLOOKUP(M40,'Draft SK'!AF:AI,2,FALSE)))</f>
        <v/>
      </c>
      <c r="O40" s="160" t="str">
        <f>IF(C40="","",IFERROR(VLOOKUP("1GPTY"&amp;B40,'Draft SK'!AD:AF,3,FALSE),"--"))</f>
        <v/>
      </c>
      <c r="P40" s="161" t="str">
        <f>IF(C40="","",IF(O40="--","--",VLOOKUP(O40,'Draft SK'!AF:AI,2,FALSE)))</f>
        <v/>
      </c>
      <c r="Q40" s="162" t="str">
        <f>IF(C40="","",IFERROR(IFERROR(VLOOKUP("1GPTY"&amp;B40,'Draft SK'!AB:AG,5,FALSE),VLOOKUP("1GPTT"&amp;B40,'Draft SK'!AB:AG,5,FALSE)),"--"))</f>
        <v/>
      </c>
      <c r="R40" s="162" t="str">
        <f>IF(C40="","",IF(Q40="--","--",VLOOKUP(Q40,'Draft SK'!AF:AI,2,FALSE)))</f>
        <v/>
      </c>
      <c r="S40" s="11"/>
      <c r="T40" s="12"/>
      <c r="U40" s="42"/>
      <c r="V40" s="6"/>
      <c r="W40" s="83" t="str">
        <f t="shared" si="2"/>
        <v/>
      </c>
      <c r="X40" s="163" t="str">
        <f t="shared" si="3"/>
        <v/>
      </c>
      <c r="Z40" s="37" t="str">
        <f t="shared" si="4"/>
        <v/>
      </c>
      <c r="AA40" s="37" t="str">
        <f>Z40&amp;COUNTIFS(Z$6:Z40,Z40)</f>
        <v>22</v>
      </c>
      <c r="AB40" s="37">
        <f>COUNTIFS(AA$6:AA40,AA40)</f>
        <v>1</v>
      </c>
    </row>
    <row r="41" spans="1:28" ht="15.5" x14ac:dyDescent="0.35">
      <c r="A41" t="str">
        <f t="shared" si="1"/>
        <v>23</v>
      </c>
      <c r="B41" s="9">
        <v>36</v>
      </c>
      <c r="C41" s="8"/>
      <c r="D41" s="10"/>
      <c r="E41" s="10"/>
      <c r="F41" s="10"/>
      <c r="G41" s="8"/>
      <c r="H41" s="8"/>
      <c r="I41" s="12"/>
      <c r="J41" s="10"/>
      <c r="K41" s="44"/>
      <c r="L41" s="158" t="str">
        <f>IF(C41="","",IF(M41="--",M41,VLOOKUP(M41,'Draft SK'!AF:AI,3,FALSE)))</f>
        <v/>
      </c>
      <c r="M41" s="159" t="str">
        <f>IF(C41="","",IF(B41="","--",IFERROR(VLOOKUP("1GPTT"&amp;B41,'Draft SK'!AD:AF,3,FALSE),VLOOKUP("1UMUM"&amp;B41,'Draft SK'!AD:AF,3,FALSE))))</f>
        <v/>
      </c>
      <c r="N41" s="158" t="str">
        <f>IF(C41="","",IF(M41="--","--",VLOOKUP(M41,'Draft SK'!AF:AI,2,FALSE)))</f>
        <v/>
      </c>
      <c r="O41" s="160" t="str">
        <f>IF(C41="","",IFERROR(VLOOKUP("1GPTY"&amp;B41,'Draft SK'!AD:AF,3,FALSE),"--"))</f>
        <v/>
      </c>
      <c r="P41" s="161" t="str">
        <f>IF(C41="","",IF(O41="--","--",VLOOKUP(O41,'Draft SK'!AF:AI,2,FALSE)))</f>
        <v/>
      </c>
      <c r="Q41" s="162" t="str">
        <f>IF(C41="","",IFERROR(IFERROR(VLOOKUP("1GPTY"&amp;B41,'Draft SK'!AB:AG,5,FALSE),VLOOKUP("1GPTT"&amp;B41,'Draft SK'!AB:AG,5,FALSE)),"--"))</f>
        <v/>
      </c>
      <c r="R41" s="162" t="str">
        <f>IF(C41="","",IF(Q41="--","--",VLOOKUP(Q41,'Draft SK'!AF:AI,2,FALSE)))</f>
        <v/>
      </c>
      <c r="S41" s="11"/>
      <c r="T41" s="12"/>
      <c r="U41" s="42"/>
      <c r="V41" s="99"/>
      <c r="W41" s="83" t="str">
        <f t="shared" si="2"/>
        <v/>
      </c>
      <c r="X41" s="163" t="str">
        <f t="shared" si="3"/>
        <v/>
      </c>
      <c r="Z41" s="37" t="str">
        <f t="shared" si="4"/>
        <v/>
      </c>
      <c r="AA41" s="37" t="str">
        <f>Z41&amp;COUNTIFS(Z$6:Z41,Z41)</f>
        <v>23</v>
      </c>
      <c r="AB41" s="37">
        <f>COUNTIFS(AA$6:AA41,AA41)</f>
        <v>1</v>
      </c>
    </row>
    <row r="42" spans="1:28" ht="15.5" x14ac:dyDescent="0.35">
      <c r="A42" t="str">
        <f t="shared" si="1"/>
        <v>24</v>
      </c>
      <c r="B42" s="9">
        <v>37</v>
      </c>
      <c r="C42" s="8"/>
      <c r="D42" s="10"/>
      <c r="E42" s="10"/>
      <c r="F42" s="10"/>
      <c r="G42" s="8"/>
      <c r="H42" s="8"/>
      <c r="I42" s="12"/>
      <c r="J42" s="10"/>
      <c r="K42" s="44"/>
      <c r="L42" s="158" t="str">
        <f>IF(C42="","",IF(M42="--",M42,VLOOKUP(M42,'Draft SK'!AF:AI,3,FALSE)))</f>
        <v/>
      </c>
      <c r="M42" s="159" t="str">
        <f>IF(C42="","",IF(B42="","--",IFERROR(VLOOKUP("1GPTT"&amp;B42,'Draft SK'!AD:AF,3,FALSE),VLOOKUP("1UMUM"&amp;B42,'Draft SK'!AD:AF,3,FALSE))))</f>
        <v/>
      </c>
      <c r="N42" s="158" t="str">
        <f>IF(C42="","",IF(M42="--","--",VLOOKUP(M42,'Draft SK'!AF:AI,2,FALSE)))</f>
        <v/>
      </c>
      <c r="O42" s="160" t="str">
        <f>IF(C42="","",IFERROR(VLOOKUP("1GPTY"&amp;B42,'Draft SK'!AD:AF,3,FALSE),"--"))</f>
        <v/>
      </c>
      <c r="P42" s="161" t="str">
        <f>IF(C42="","",IF(O42="--","--",VLOOKUP(O42,'Draft SK'!AF:AI,2,FALSE)))</f>
        <v/>
      </c>
      <c r="Q42" s="162" t="str">
        <f>IF(C42="","",IFERROR(IFERROR(VLOOKUP("1GPTY"&amp;B42,'Draft SK'!AB:AG,5,FALSE),VLOOKUP("1GPTT"&amp;B42,'Draft SK'!AB:AG,5,FALSE)),"--"))</f>
        <v/>
      </c>
      <c r="R42" s="162" t="str">
        <f>IF(C42="","",IF(Q42="--","--",VLOOKUP(Q42,'Draft SK'!AF:AI,2,FALSE)))</f>
        <v/>
      </c>
      <c r="S42" s="11"/>
      <c r="T42" s="12"/>
      <c r="U42" s="42"/>
      <c r="V42" s="6"/>
      <c r="W42" s="83" t="str">
        <f t="shared" si="2"/>
        <v/>
      </c>
      <c r="X42" s="163" t="str">
        <f t="shared" si="3"/>
        <v/>
      </c>
      <c r="Z42" s="37" t="str">
        <f t="shared" si="4"/>
        <v/>
      </c>
      <c r="AA42" s="37" t="str">
        <f>Z42&amp;COUNTIFS(Z$6:Z42,Z42)</f>
        <v>24</v>
      </c>
      <c r="AB42" s="37">
        <f>COUNTIFS(AA$6:AA42,AA42)</f>
        <v>1</v>
      </c>
    </row>
    <row r="43" spans="1:28" ht="15.5" x14ac:dyDescent="0.35">
      <c r="A43" t="str">
        <f t="shared" si="1"/>
        <v>25</v>
      </c>
      <c r="B43" s="9">
        <v>38</v>
      </c>
      <c r="C43" s="8"/>
      <c r="D43" s="10"/>
      <c r="E43" s="10"/>
      <c r="F43" s="10"/>
      <c r="G43" s="8"/>
      <c r="H43" s="8"/>
      <c r="I43" s="8"/>
      <c r="J43" s="10"/>
      <c r="K43" s="44"/>
      <c r="L43" s="158" t="str">
        <f>IF(C43="","",IF(M43="--",M43,VLOOKUP(M43,'Draft SK'!AF:AI,3,FALSE)))</f>
        <v/>
      </c>
      <c r="M43" s="159" t="str">
        <f>IF(C43="","",IF(B43="","--",IFERROR(VLOOKUP("1GPTT"&amp;B43,'Draft SK'!AD:AF,3,FALSE),VLOOKUP("1UMUM"&amp;B43,'Draft SK'!AD:AF,3,FALSE))))</f>
        <v/>
      </c>
      <c r="N43" s="158" t="str">
        <f>IF(C43="","",IF(M43="--","--",VLOOKUP(M43,'Draft SK'!AF:AI,2,FALSE)))</f>
        <v/>
      </c>
      <c r="O43" s="160" t="str">
        <f>IF(C43="","",IFERROR(VLOOKUP("1GPTY"&amp;B43,'Draft SK'!AD:AF,3,FALSE),"--"))</f>
        <v/>
      </c>
      <c r="P43" s="161" t="str">
        <f>IF(C43="","",IF(O43="--","--",VLOOKUP(O43,'Draft SK'!AF:AI,2,FALSE)))</f>
        <v/>
      </c>
      <c r="Q43" s="162" t="str">
        <f>IF(C43="","",IFERROR(IFERROR(VLOOKUP("1GPTY"&amp;B43,'Draft SK'!AB:AG,5,FALSE),VLOOKUP("1GPTT"&amp;B43,'Draft SK'!AB:AG,5,FALSE)),"--"))</f>
        <v/>
      </c>
      <c r="R43" s="162" t="str">
        <f>IF(C43="","",IF(Q43="--","--",VLOOKUP(Q43,'Draft SK'!AF:AI,2,FALSE)))</f>
        <v/>
      </c>
      <c r="S43" s="11"/>
      <c r="T43" s="12"/>
      <c r="U43" s="42"/>
      <c r="V43" s="6"/>
      <c r="W43" s="83" t="str">
        <f t="shared" si="2"/>
        <v/>
      </c>
      <c r="X43" s="163" t="str">
        <f t="shared" si="3"/>
        <v/>
      </c>
      <c r="Z43" s="37" t="str">
        <f t="shared" si="4"/>
        <v/>
      </c>
      <c r="AA43" s="37" t="str">
        <f>Z43&amp;COUNTIFS(Z$6:Z43,Z43)</f>
        <v>25</v>
      </c>
      <c r="AB43" s="37">
        <f>COUNTIFS(AA$6:AA43,AA43)</f>
        <v>1</v>
      </c>
    </row>
    <row r="44" spans="1:28" ht="15.5" x14ac:dyDescent="0.35">
      <c r="A44" t="str">
        <f t="shared" si="1"/>
        <v>26</v>
      </c>
      <c r="B44" s="9">
        <v>39</v>
      </c>
      <c r="C44" s="8"/>
      <c r="D44" s="10"/>
      <c r="E44" s="10"/>
      <c r="F44" s="10"/>
      <c r="G44" s="8"/>
      <c r="H44" s="8"/>
      <c r="I44" s="12"/>
      <c r="J44" s="10"/>
      <c r="K44" s="44"/>
      <c r="L44" s="158" t="str">
        <f>IF(C44="","",IF(M44="--",M44,VLOOKUP(M44,'Draft SK'!AF:AI,3,FALSE)))</f>
        <v/>
      </c>
      <c r="M44" s="159" t="str">
        <f>IF(C44="","",IF(B44="","--",IFERROR(VLOOKUP("1GPTT"&amp;B44,'Draft SK'!AD:AF,3,FALSE),VLOOKUP("1UMUM"&amp;B44,'Draft SK'!AD:AF,3,FALSE))))</f>
        <v/>
      </c>
      <c r="N44" s="158" t="str">
        <f>IF(C44="","",IF(M44="--","--",VLOOKUP(M44,'Draft SK'!AF:AI,2,FALSE)))</f>
        <v/>
      </c>
      <c r="O44" s="160" t="str">
        <f>IF(C44="","",IFERROR(VLOOKUP("1GPTY"&amp;B44,'Draft SK'!AD:AF,3,FALSE),"--"))</f>
        <v/>
      </c>
      <c r="P44" s="161" t="str">
        <f>IF(C44="","",IF(O44="--","--",VLOOKUP(O44,'Draft SK'!AF:AI,2,FALSE)))</f>
        <v/>
      </c>
      <c r="Q44" s="162" t="str">
        <f>IF(C44="","",IFERROR(IFERROR(VLOOKUP("1GPTY"&amp;B44,'Draft SK'!AB:AG,5,FALSE),VLOOKUP("1GPTT"&amp;B44,'Draft SK'!AB:AG,5,FALSE)),"--"))</f>
        <v/>
      </c>
      <c r="R44" s="162" t="str">
        <f>IF(C44="","",IF(Q44="--","--",VLOOKUP(Q44,'Draft SK'!AF:AI,2,FALSE)))</f>
        <v/>
      </c>
      <c r="S44" s="15"/>
      <c r="T44" s="12"/>
      <c r="U44" s="42"/>
      <c r="V44" s="6"/>
      <c r="W44" s="83" t="str">
        <f t="shared" si="2"/>
        <v/>
      </c>
      <c r="X44" s="163" t="str">
        <f t="shared" si="3"/>
        <v/>
      </c>
      <c r="Z44" s="37" t="str">
        <f t="shared" si="4"/>
        <v/>
      </c>
      <c r="AA44" s="37" t="str">
        <f>Z44&amp;COUNTIFS(Z$6:Z44,Z44)</f>
        <v>26</v>
      </c>
      <c r="AB44" s="37">
        <f>COUNTIFS(AA$6:AA44,AA44)</f>
        <v>1</v>
      </c>
    </row>
    <row r="45" spans="1:28" ht="15.5" x14ac:dyDescent="0.35">
      <c r="A45" t="str">
        <f t="shared" si="1"/>
        <v>27</v>
      </c>
      <c r="B45" s="9">
        <v>40</v>
      </c>
      <c r="C45" s="8"/>
      <c r="D45" s="10"/>
      <c r="E45" s="10"/>
      <c r="F45" s="10"/>
      <c r="G45" s="8"/>
      <c r="H45" s="8"/>
      <c r="I45" s="8"/>
      <c r="J45" s="10"/>
      <c r="K45" s="44"/>
      <c r="L45" s="158" t="str">
        <f>IF(C45="","",IF(M45="--",M45,VLOOKUP(M45,'Draft SK'!AF:AI,3,FALSE)))</f>
        <v/>
      </c>
      <c r="M45" s="159" t="str">
        <f>IF(C45="","",IF(B45="","--",IFERROR(VLOOKUP("1GPTT"&amp;B45,'Draft SK'!AD:AF,3,FALSE),VLOOKUP("1UMUM"&amp;B45,'Draft SK'!AD:AF,3,FALSE))))</f>
        <v/>
      </c>
      <c r="N45" s="158" t="str">
        <f>IF(C45="","",IF(M45="--","--",VLOOKUP(M45,'Draft SK'!AF:AI,2,FALSE)))</f>
        <v/>
      </c>
      <c r="O45" s="160" t="str">
        <f>IF(C45="","",IFERROR(VLOOKUP("1GPTY"&amp;B45,'Draft SK'!AD:AF,3,FALSE),"--"))</f>
        <v/>
      </c>
      <c r="P45" s="161" t="str">
        <f>IF(C45="","",IF(O45="--","--",VLOOKUP(O45,'Draft SK'!AF:AI,2,FALSE)))</f>
        <v/>
      </c>
      <c r="Q45" s="162" t="str">
        <f>IF(C45="","",IFERROR(IFERROR(VLOOKUP("1GPTY"&amp;B45,'Draft SK'!AB:AG,5,FALSE),VLOOKUP("1GPTT"&amp;B45,'Draft SK'!AB:AG,5,FALSE)),"--"))</f>
        <v/>
      </c>
      <c r="R45" s="162" t="str">
        <f>IF(C45="","",IF(Q45="--","--",VLOOKUP(Q45,'Draft SK'!AF:AI,2,FALSE)))</f>
        <v/>
      </c>
      <c r="S45" s="11"/>
      <c r="T45" s="12"/>
      <c r="U45" s="42"/>
      <c r="V45" s="6"/>
      <c r="W45" s="83" t="str">
        <f t="shared" si="2"/>
        <v/>
      </c>
      <c r="X45" s="163" t="str">
        <f t="shared" si="3"/>
        <v/>
      </c>
      <c r="Z45" s="37" t="str">
        <f t="shared" si="4"/>
        <v/>
      </c>
      <c r="AA45" s="37" t="str">
        <f>Z45&amp;COUNTIFS(Z$6:Z45,Z45)</f>
        <v>27</v>
      </c>
      <c r="AB45" s="37">
        <f>COUNTIFS(AA$6:AA45,AA45)</f>
        <v>1</v>
      </c>
    </row>
    <row r="46" spans="1:28" ht="15.5" x14ac:dyDescent="0.35">
      <c r="A46" t="str">
        <f t="shared" si="1"/>
        <v>28</v>
      </c>
      <c r="B46" s="9">
        <v>41</v>
      </c>
      <c r="C46" s="8"/>
      <c r="D46" s="10"/>
      <c r="E46" s="10"/>
      <c r="F46" s="10"/>
      <c r="G46" s="8"/>
      <c r="H46" s="8"/>
      <c r="I46" s="12"/>
      <c r="J46" s="10"/>
      <c r="K46" s="44"/>
      <c r="L46" s="158" t="str">
        <f>IF(C46="","",IF(M46="--",M46,VLOOKUP(M46,'Draft SK'!AF:AI,3,FALSE)))</f>
        <v/>
      </c>
      <c r="M46" s="159" t="str">
        <f>IF(C46="","",IF(B46="","--",IFERROR(VLOOKUP("1GPTT"&amp;B46,'Draft SK'!AD:AF,3,FALSE),VLOOKUP("1UMUM"&amp;B46,'Draft SK'!AD:AF,3,FALSE))))</f>
        <v/>
      </c>
      <c r="N46" s="158" t="str">
        <f>IF(C46="","",IF(M46="--","--",VLOOKUP(M46,'Draft SK'!AF:AI,2,FALSE)))</f>
        <v/>
      </c>
      <c r="O46" s="160" t="str">
        <f>IF(C46="","",IFERROR(VLOOKUP("1GPTY"&amp;B46,'Draft SK'!AD:AF,3,FALSE),"--"))</f>
        <v/>
      </c>
      <c r="P46" s="161" t="str">
        <f>IF(C46="","",IF(O46="--","--",VLOOKUP(O46,'Draft SK'!AF:AI,2,FALSE)))</f>
        <v/>
      </c>
      <c r="Q46" s="162" t="str">
        <f>IF(C46="","",IFERROR(IFERROR(VLOOKUP("1GPTY"&amp;B46,'Draft SK'!AB:AG,5,FALSE),VLOOKUP("1GPTT"&amp;B46,'Draft SK'!AB:AG,5,FALSE)),"--"))</f>
        <v/>
      </c>
      <c r="R46" s="162" t="str">
        <f>IF(C46="","",IF(Q46="--","--",VLOOKUP(Q46,'Draft SK'!AF:AI,2,FALSE)))</f>
        <v/>
      </c>
      <c r="S46" s="11"/>
      <c r="T46" s="6"/>
      <c r="U46" s="42"/>
      <c r="V46" s="6"/>
      <c r="W46" s="83" t="str">
        <f t="shared" si="2"/>
        <v/>
      </c>
      <c r="X46" s="163" t="str">
        <f t="shared" si="3"/>
        <v/>
      </c>
      <c r="Z46" s="37" t="str">
        <f t="shared" si="4"/>
        <v/>
      </c>
      <c r="AA46" s="37" t="str">
        <f>Z46&amp;COUNTIFS(Z$6:Z46,Z46)</f>
        <v>28</v>
      </c>
      <c r="AB46" s="37">
        <f>COUNTIFS(AA$6:AA46,AA46)</f>
        <v>1</v>
      </c>
    </row>
    <row r="47" spans="1:28" ht="15.5" x14ac:dyDescent="0.35">
      <c r="A47" t="str">
        <f t="shared" si="1"/>
        <v>29</v>
      </c>
      <c r="B47" s="9">
        <v>42</v>
      </c>
      <c r="C47" s="8"/>
      <c r="D47" s="10"/>
      <c r="E47" s="10"/>
      <c r="F47" s="10"/>
      <c r="G47" s="8"/>
      <c r="H47" s="8"/>
      <c r="I47" s="12"/>
      <c r="J47" s="10"/>
      <c r="K47" s="44"/>
      <c r="L47" s="158" t="str">
        <f>IF(C47="","",IF(M47="--",M47,VLOOKUP(M47,'Draft SK'!AF:AI,3,FALSE)))</f>
        <v/>
      </c>
      <c r="M47" s="159" t="str">
        <f>IF(C47="","",IF(B47="","--",IFERROR(VLOOKUP("1GPTT"&amp;B47,'Draft SK'!AD:AF,3,FALSE),VLOOKUP("1UMUM"&amp;B47,'Draft SK'!AD:AF,3,FALSE))))</f>
        <v/>
      </c>
      <c r="N47" s="158" t="str">
        <f>IF(C47="","",IF(M47="--","--",VLOOKUP(M47,'Draft SK'!AF:AI,2,FALSE)))</f>
        <v/>
      </c>
      <c r="O47" s="160" t="str">
        <f>IF(C47="","",IFERROR(VLOOKUP("1GPTY"&amp;B47,'Draft SK'!AD:AF,3,FALSE),"--"))</f>
        <v/>
      </c>
      <c r="P47" s="161" t="str">
        <f>IF(C47="","",IF(O47="--","--",VLOOKUP(O47,'Draft SK'!AF:AI,2,FALSE)))</f>
        <v/>
      </c>
      <c r="Q47" s="162" t="str">
        <f>IF(C47="","",IFERROR(IFERROR(VLOOKUP("1GPTY"&amp;B47,'Draft SK'!AB:AG,5,FALSE),VLOOKUP("1GPTT"&amp;B47,'Draft SK'!AB:AG,5,FALSE)),"--"))</f>
        <v/>
      </c>
      <c r="R47" s="162" t="str">
        <f>IF(C47="","",IF(Q47="--","--",VLOOKUP(Q47,'Draft SK'!AF:AI,2,FALSE)))</f>
        <v/>
      </c>
      <c r="S47" s="11"/>
      <c r="T47" s="12"/>
      <c r="U47" s="42"/>
      <c r="V47" s="6"/>
      <c r="W47" s="83" t="str">
        <f t="shared" si="2"/>
        <v/>
      </c>
      <c r="X47" s="163" t="str">
        <f t="shared" si="3"/>
        <v/>
      </c>
      <c r="Z47" s="37" t="str">
        <f t="shared" si="4"/>
        <v/>
      </c>
      <c r="AA47" s="37" t="str">
        <f>Z47&amp;COUNTIFS(Z$6:Z47,Z47)</f>
        <v>29</v>
      </c>
      <c r="AB47" s="37">
        <f>COUNTIFS(AA$6:AA47,AA47)</f>
        <v>1</v>
      </c>
    </row>
    <row r="48" spans="1:28" ht="15.5" x14ac:dyDescent="0.35">
      <c r="A48" t="str">
        <f t="shared" si="1"/>
        <v>30</v>
      </c>
      <c r="B48" s="9">
        <v>43</v>
      </c>
      <c r="C48" s="8"/>
      <c r="D48" s="10"/>
      <c r="E48" s="10"/>
      <c r="F48" s="10"/>
      <c r="G48" s="8"/>
      <c r="H48" s="8"/>
      <c r="I48" s="12"/>
      <c r="J48" s="10"/>
      <c r="K48" s="44"/>
      <c r="L48" s="158" t="str">
        <f>IF(C48="","",IF(M48="--",M48,VLOOKUP(M48,'Draft SK'!AF:AI,3,FALSE)))</f>
        <v/>
      </c>
      <c r="M48" s="159" t="str">
        <f>IF(C48="","",IF(B48="","--",IFERROR(VLOOKUP("1GPTT"&amp;B48,'Draft SK'!AD:AF,3,FALSE),VLOOKUP("1UMUM"&amp;B48,'Draft SK'!AD:AF,3,FALSE))))</f>
        <v/>
      </c>
      <c r="N48" s="158" t="str">
        <f>IF(C48="","",IF(M48="--","--",VLOOKUP(M48,'Draft SK'!AF:AI,2,FALSE)))</f>
        <v/>
      </c>
      <c r="O48" s="160" t="str">
        <f>IF(C48="","",IFERROR(VLOOKUP("1GPTY"&amp;B48,'Draft SK'!AD:AF,3,FALSE),"--"))</f>
        <v/>
      </c>
      <c r="P48" s="161" t="str">
        <f>IF(C48="","",IF(O48="--","--",VLOOKUP(O48,'Draft SK'!AF:AI,2,FALSE)))</f>
        <v/>
      </c>
      <c r="Q48" s="162" t="str">
        <f>IF(C48="","",IFERROR(IFERROR(VLOOKUP("1GPTY"&amp;B48,'Draft SK'!AB:AG,5,FALSE),VLOOKUP("1GPTT"&amp;B48,'Draft SK'!AB:AG,5,FALSE)),"--"))</f>
        <v/>
      </c>
      <c r="R48" s="162" t="str">
        <f>IF(C48="","",IF(Q48="--","--",VLOOKUP(Q48,'Draft SK'!AF:AI,2,FALSE)))</f>
        <v/>
      </c>
      <c r="S48" s="11"/>
      <c r="T48" s="12"/>
      <c r="U48" s="42"/>
      <c r="V48" s="99"/>
      <c r="W48" s="83" t="str">
        <f t="shared" si="2"/>
        <v/>
      </c>
      <c r="X48" s="163" t="str">
        <f t="shared" si="3"/>
        <v/>
      </c>
      <c r="Z48" s="37" t="str">
        <f t="shared" si="4"/>
        <v/>
      </c>
      <c r="AA48" s="37" t="str">
        <f>Z48&amp;COUNTIFS(Z$6:Z48,Z48)</f>
        <v>30</v>
      </c>
      <c r="AB48" s="37">
        <f>COUNTIFS(AA$6:AA48,AA48)</f>
        <v>1</v>
      </c>
    </row>
    <row r="49" spans="1:28" ht="15.5" x14ac:dyDescent="0.35">
      <c r="A49" t="str">
        <f t="shared" si="1"/>
        <v>31</v>
      </c>
      <c r="B49" s="9">
        <v>44</v>
      </c>
      <c r="C49" s="8"/>
      <c r="D49" s="10"/>
      <c r="E49" s="10"/>
      <c r="F49" s="10"/>
      <c r="G49" s="8"/>
      <c r="H49" s="8"/>
      <c r="I49" s="12"/>
      <c r="J49" s="10"/>
      <c r="K49" s="44"/>
      <c r="L49" s="158" t="str">
        <f>IF(C49="","",IF(M49="--",M49,VLOOKUP(M49,'Draft SK'!AF:AI,3,FALSE)))</f>
        <v/>
      </c>
      <c r="M49" s="159" t="str">
        <f>IF(C49="","",IF(B49="","--",IFERROR(VLOOKUP("1GPTT"&amp;B49,'Draft SK'!AD:AF,3,FALSE),VLOOKUP("1UMUM"&amp;B49,'Draft SK'!AD:AF,3,FALSE))))</f>
        <v/>
      </c>
      <c r="N49" s="158" t="str">
        <f>IF(C49="","",IF(M49="--","--",VLOOKUP(M49,'Draft SK'!AF:AI,2,FALSE)))</f>
        <v/>
      </c>
      <c r="O49" s="160" t="str">
        <f>IF(C49="","",IFERROR(VLOOKUP("1GPTY"&amp;B49,'Draft SK'!AD:AF,3,FALSE),"--"))</f>
        <v/>
      </c>
      <c r="P49" s="161" t="str">
        <f>IF(C49="","",IF(O49="--","--",VLOOKUP(O49,'Draft SK'!AF:AI,2,FALSE)))</f>
        <v/>
      </c>
      <c r="Q49" s="162" t="str">
        <f>IF(C49="","",IFERROR(IFERROR(VLOOKUP("1GPTY"&amp;B49,'Draft SK'!AB:AG,5,FALSE),VLOOKUP("1GPTT"&amp;B49,'Draft SK'!AB:AG,5,FALSE)),"--"))</f>
        <v/>
      </c>
      <c r="R49" s="162" t="str">
        <f>IF(C49="","",IF(Q49="--","--",VLOOKUP(Q49,'Draft SK'!AF:AI,2,FALSE)))</f>
        <v/>
      </c>
      <c r="S49" s="11"/>
      <c r="T49" s="12"/>
      <c r="U49" s="42"/>
      <c r="V49" s="6"/>
      <c r="W49" s="83" t="str">
        <f t="shared" si="2"/>
        <v/>
      </c>
      <c r="X49" s="163" t="str">
        <f t="shared" si="3"/>
        <v/>
      </c>
      <c r="Z49" s="37" t="str">
        <f t="shared" si="4"/>
        <v/>
      </c>
      <c r="AA49" s="37" t="str">
        <f>Z49&amp;COUNTIFS(Z$6:Z49,Z49)</f>
        <v>31</v>
      </c>
      <c r="AB49" s="37">
        <f>COUNTIFS(AA$6:AA49,AA49)</f>
        <v>1</v>
      </c>
    </row>
    <row r="50" spans="1:28" ht="15.5" x14ac:dyDescent="0.35">
      <c r="A50" t="str">
        <f t="shared" si="1"/>
        <v>32</v>
      </c>
      <c r="B50" s="9">
        <v>45</v>
      </c>
      <c r="C50" s="8"/>
      <c r="D50" s="10"/>
      <c r="E50" s="10"/>
      <c r="F50" s="10"/>
      <c r="G50" s="8"/>
      <c r="H50" s="8"/>
      <c r="I50" s="12"/>
      <c r="J50" s="10"/>
      <c r="K50" s="44"/>
      <c r="L50" s="158" t="str">
        <f>IF(C50="","",IF(M50="--",M50,VLOOKUP(M50,'Draft SK'!AF:AI,3,FALSE)))</f>
        <v/>
      </c>
      <c r="M50" s="159" t="str">
        <f>IF(C50="","",IF(B50="","--",IFERROR(VLOOKUP("1GPTT"&amp;B50,'Draft SK'!AD:AF,3,FALSE),VLOOKUP("1UMUM"&amp;B50,'Draft SK'!AD:AF,3,FALSE))))</f>
        <v/>
      </c>
      <c r="N50" s="158" t="str">
        <f>IF(C50="","",IF(M50="--","--",VLOOKUP(M50,'Draft SK'!AF:AI,2,FALSE)))</f>
        <v/>
      </c>
      <c r="O50" s="160" t="str">
        <f>IF(C50="","",IFERROR(VLOOKUP("1GPTY"&amp;B50,'Draft SK'!AD:AF,3,FALSE),"--"))</f>
        <v/>
      </c>
      <c r="P50" s="161" t="str">
        <f>IF(C50="","",IF(O50="--","--",VLOOKUP(O50,'Draft SK'!AF:AI,2,FALSE)))</f>
        <v/>
      </c>
      <c r="Q50" s="162" t="str">
        <f>IF(C50="","",IFERROR(IFERROR(VLOOKUP("1GPTY"&amp;B50,'Draft SK'!AB:AG,5,FALSE),VLOOKUP("1GPTT"&amp;B50,'Draft SK'!AB:AG,5,FALSE)),"--"))</f>
        <v/>
      </c>
      <c r="R50" s="162" t="str">
        <f>IF(C50="","",IF(Q50="--","--",VLOOKUP(Q50,'Draft SK'!AF:AI,2,FALSE)))</f>
        <v/>
      </c>
      <c r="S50" s="11"/>
      <c r="T50" s="12"/>
      <c r="U50" s="42"/>
      <c r="V50" s="6"/>
      <c r="W50" s="83" t="str">
        <f t="shared" si="2"/>
        <v/>
      </c>
      <c r="X50" s="163" t="str">
        <f t="shared" si="3"/>
        <v/>
      </c>
      <c r="Z50" s="37" t="str">
        <f t="shared" si="4"/>
        <v/>
      </c>
      <c r="AA50" s="37" t="str">
        <f>Z50&amp;COUNTIFS(Z$6:Z50,Z50)</f>
        <v>32</v>
      </c>
      <c r="AB50" s="37">
        <f>COUNTIFS(AA$6:AA50,AA50)</f>
        <v>1</v>
      </c>
    </row>
    <row r="51" spans="1:28" ht="15.5" x14ac:dyDescent="0.35">
      <c r="A51" t="str">
        <f t="shared" si="1"/>
        <v>33</v>
      </c>
      <c r="B51" s="9">
        <v>46</v>
      </c>
      <c r="C51" s="8"/>
      <c r="D51" s="10"/>
      <c r="E51" s="10"/>
      <c r="F51" s="10"/>
      <c r="G51" s="8"/>
      <c r="H51" s="8"/>
      <c r="I51" s="8"/>
      <c r="J51" s="10"/>
      <c r="K51" s="44"/>
      <c r="L51" s="158" t="str">
        <f>IF(C51="","",IF(M51="--",M51,VLOOKUP(M51,'Draft SK'!AF:AI,3,FALSE)))</f>
        <v/>
      </c>
      <c r="M51" s="159" t="str">
        <f>IF(C51="","",IF(B51="","--",IFERROR(VLOOKUP("1GPTT"&amp;B51,'Draft SK'!AD:AF,3,FALSE),VLOOKUP("1UMUM"&amp;B51,'Draft SK'!AD:AF,3,FALSE))))</f>
        <v/>
      </c>
      <c r="N51" s="158" t="str">
        <f>IF(C51="","",IF(M51="--","--",VLOOKUP(M51,'Draft SK'!AF:AI,2,FALSE)))</f>
        <v/>
      </c>
      <c r="O51" s="160" t="str">
        <f>IF(C51="","",IFERROR(VLOOKUP("1GPTY"&amp;B51,'Draft SK'!AD:AF,3,FALSE),"--"))</f>
        <v/>
      </c>
      <c r="P51" s="161" t="str">
        <f>IF(C51="","",IF(O51="--","--",VLOOKUP(O51,'Draft SK'!AF:AI,2,FALSE)))</f>
        <v/>
      </c>
      <c r="Q51" s="162" t="str">
        <f>IF(C51="","",IFERROR(IFERROR(VLOOKUP("1GPTY"&amp;B51,'Draft SK'!AB:AG,5,FALSE),VLOOKUP("1GPTT"&amp;B51,'Draft SK'!AB:AG,5,FALSE)),"--"))</f>
        <v/>
      </c>
      <c r="R51" s="162" t="str">
        <f>IF(C51="","",IF(Q51="--","--",VLOOKUP(Q51,'Draft SK'!AF:AI,2,FALSE)))</f>
        <v/>
      </c>
      <c r="S51" s="11"/>
      <c r="T51" s="12"/>
      <c r="U51" s="42"/>
      <c r="V51" s="6"/>
      <c r="W51" s="83" t="str">
        <f t="shared" si="2"/>
        <v/>
      </c>
      <c r="X51" s="163" t="str">
        <f t="shared" si="3"/>
        <v/>
      </c>
      <c r="Z51" s="37" t="str">
        <f t="shared" si="4"/>
        <v/>
      </c>
      <c r="AA51" s="37" t="str">
        <f>Z51&amp;COUNTIFS(Z$6:Z51,Z51)</f>
        <v>33</v>
      </c>
      <c r="AB51" s="37">
        <f>COUNTIFS(AA$6:AA51,AA51)</f>
        <v>1</v>
      </c>
    </row>
    <row r="52" spans="1:28" ht="15.5" x14ac:dyDescent="0.35">
      <c r="A52" t="str">
        <f t="shared" si="1"/>
        <v>34</v>
      </c>
      <c r="B52" s="9">
        <v>47</v>
      </c>
      <c r="C52" s="8"/>
      <c r="D52" s="10"/>
      <c r="E52" s="10"/>
      <c r="F52" s="10"/>
      <c r="G52" s="8"/>
      <c r="H52" s="8"/>
      <c r="I52" s="12"/>
      <c r="J52" s="10"/>
      <c r="K52" s="44"/>
      <c r="L52" s="158" t="str">
        <f>IF(C52="","",IF(M52="--",M52,VLOOKUP(M52,'Draft SK'!AF:AI,3,FALSE)))</f>
        <v/>
      </c>
      <c r="M52" s="159" t="str">
        <f>IF(C52="","",IF(B52="","--",IFERROR(VLOOKUP("1GPTT"&amp;B52,'Draft SK'!AD:AF,3,FALSE),VLOOKUP("1UMUM"&amp;B52,'Draft SK'!AD:AF,3,FALSE))))</f>
        <v/>
      </c>
      <c r="N52" s="158" t="str">
        <f>IF(C52="","",IF(M52="--","--",VLOOKUP(M52,'Draft SK'!AF:AI,2,FALSE)))</f>
        <v/>
      </c>
      <c r="O52" s="160" t="str">
        <f>IF(C52="","",IFERROR(VLOOKUP("1GPTY"&amp;B52,'Draft SK'!AD:AF,3,FALSE),"--"))</f>
        <v/>
      </c>
      <c r="P52" s="161" t="str">
        <f>IF(C52="","",IF(O52="--","--",VLOOKUP(O52,'Draft SK'!AF:AI,2,FALSE)))</f>
        <v/>
      </c>
      <c r="Q52" s="162" t="str">
        <f>IF(C52="","",IFERROR(IFERROR(VLOOKUP("1GPTY"&amp;B52,'Draft SK'!AB:AG,5,FALSE),VLOOKUP("1GPTT"&amp;B52,'Draft SK'!AB:AG,5,FALSE)),"--"))</f>
        <v/>
      </c>
      <c r="R52" s="162" t="str">
        <f>IF(C52="","",IF(Q52="--","--",VLOOKUP(Q52,'Draft SK'!AF:AI,2,FALSE)))</f>
        <v/>
      </c>
      <c r="S52" s="11"/>
      <c r="T52" s="12"/>
      <c r="U52" s="42"/>
      <c r="V52" s="99"/>
      <c r="W52" s="83" t="str">
        <f t="shared" si="2"/>
        <v/>
      </c>
      <c r="X52" s="163" t="str">
        <f t="shared" si="3"/>
        <v/>
      </c>
      <c r="Z52" s="37" t="str">
        <f t="shared" si="4"/>
        <v/>
      </c>
      <c r="AA52" s="37" t="str">
        <f>Z52&amp;COUNTIFS(Z$6:Z52,Z52)</f>
        <v>34</v>
      </c>
      <c r="AB52" s="37">
        <f>COUNTIFS(AA$6:AA52,AA52)</f>
        <v>1</v>
      </c>
    </row>
    <row r="53" spans="1:28" ht="15.5" x14ac:dyDescent="0.35">
      <c r="A53" t="str">
        <f t="shared" si="1"/>
        <v>35</v>
      </c>
      <c r="B53" s="9">
        <v>48</v>
      </c>
      <c r="C53" s="8"/>
      <c r="D53" s="10"/>
      <c r="E53" s="10"/>
      <c r="F53" s="10"/>
      <c r="G53" s="8"/>
      <c r="H53" s="8"/>
      <c r="I53" s="12"/>
      <c r="J53" s="10"/>
      <c r="K53" s="44"/>
      <c r="L53" s="158" t="str">
        <f>IF(C53="","",IF(M53="--",M53,VLOOKUP(M53,'Draft SK'!AF:AI,3,FALSE)))</f>
        <v/>
      </c>
      <c r="M53" s="159" t="str">
        <f>IF(C53="","",IF(B53="","--",IFERROR(VLOOKUP("1GPTT"&amp;B53,'Draft SK'!AD:AF,3,FALSE),VLOOKUP("1UMUM"&amp;B53,'Draft SK'!AD:AF,3,FALSE))))</f>
        <v/>
      </c>
      <c r="N53" s="158" t="str">
        <f>IF(C53="","",IF(M53="--","--",VLOOKUP(M53,'Draft SK'!AF:AI,2,FALSE)))</f>
        <v/>
      </c>
      <c r="O53" s="160" t="str">
        <f>IF(C53="","",IFERROR(VLOOKUP("1GPTY"&amp;B53,'Draft SK'!AD:AF,3,FALSE),"--"))</f>
        <v/>
      </c>
      <c r="P53" s="161" t="str">
        <f>IF(C53="","",IF(O53="--","--",VLOOKUP(O53,'Draft SK'!AF:AI,2,FALSE)))</f>
        <v/>
      </c>
      <c r="Q53" s="162" t="str">
        <f>IF(C53="","",IFERROR(IFERROR(VLOOKUP("1GPTY"&amp;B53,'Draft SK'!AB:AG,5,FALSE),VLOOKUP("1GPTT"&amp;B53,'Draft SK'!AB:AG,5,FALSE)),"--"))</f>
        <v/>
      </c>
      <c r="R53" s="162" t="str">
        <f>IF(C53="","",IF(Q53="--","--",VLOOKUP(Q53,'Draft SK'!AF:AI,2,FALSE)))</f>
        <v/>
      </c>
      <c r="S53" s="11"/>
      <c r="T53" s="12"/>
      <c r="U53" s="42"/>
      <c r="V53" s="6"/>
      <c r="W53" s="83" t="str">
        <f t="shared" si="2"/>
        <v/>
      </c>
      <c r="X53" s="163" t="str">
        <f t="shared" si="3"/>
        <v/>
      </c>
      <c r="Z53" s="37" t="str">
        <f t="shared" si="4"/>
        <v/>
      </c>
      <c r="AA53" s="37" t="str">
        <f>Z53&amp;COUNTIFS(Z$6:Z53,Z53)</f>
        <v>35</v>
      </c>
      <c r="AB53" s="37">
        <f>COUNTIFS(AA$6:AA53,AA53)</f>
        <v>1</v>
      </c>
    </row>
    <row r="54" spans="1:28" ht="15.5" x14ac:dyDescent="0.35">
      <c r="A54" t="str">
        <f t="shared" si="1"/>
        <v>36</v>
      </c>
      <c r="B54" s="9">
        <v>49</v>
      </c>
      <c r="C54" s="8"/>
      <c r="D54" s="10"/>
      <c r="E54" s="10"/>
      <c r="F54" s="10"/>
      <c r="G54" s="8"/>
      <c r="H54" s="8"/>
      <c r="I54" s="12"/>
      <c r="J54" s="10"/>
      <c r="K54" s="44"/>
      <c r="L54" s="158" t="str">
        <f>IF(C54="","",IF(M54="--",M54,VLOOKUP(M54,'Draft SK'!AF:AI,3,FALSE)))</f>
        <v/>
      </c>
      <c r="M54" s="159" t="str">
        <f>IF(C54="","",IF(B54="","--",IFERROR(VLOOKUP("1GPTT"&amp;B54,'Draft SK'!AD:AF,3,FALSE),VLOOKUP("1UMUM"&amp;B54,'Draft SK'!AD:AF,3,FALSE))))</f>
        <v/>
      </c>
      <c r="N54" s="158" t="str">
        <f>IF(C54="","",IF(M54="--","--",VLOOKUP(M54,'Draft SK'!AF:AI,2,FALSE)))</f>
        <v/>
      </c>
      <c r="O54" s="160" t="str">
        <f>IF(C54="","",IFERROR(VLOOKUP("1GPTY"&amp;B54,'Draft SK'!AD:AF,3,FALSE),"--"))</f>
        <v/>
      </c>
      <c r="P54" s="161" t="str">
        <f>IF(C54="","",IF(O54="--","--",VLOOKUP(O54,'Draft SK'!AF:AI,2,FALSE)))</f>
        <v/>
      </c>
      <c r="Q54" s="162" t="str">
        <f>IF(C54="","",IFERROR(IFERROR(VLOOKUP("1GPTY"&amp;B54,'Draft SK'!AB:AG,5,FALSE),VLOOKUP("1GPTT"&amp;B54,'Draft SK'!AB:AG,5,FALSE)),"--"))</f>
        <v/>
      </c>
      <c r="R54" s="162" t="str">
        <f>IF(C54="","",IF(Q54="--","--",VLOOKUP(Q54,'Draft SK'!AF:AI,2,FALSE)))</f>
        <v/>
      </c>
      <c r="S54" s="11"/>
      <c r="T54" s="12"/>
      <c r="U54" s="42"/>
      <c r="V54" s="6"/>
      <c r="W54" s="83" t="str">
        <f t="shared" si="2"/>
        <v/>
      </c>
      <c r="X54" s="163" t="str">
        <f t="shared" si="3"/>
        <v/>
      </c>
      <c r="Z54" s="37" t="str">
        <f t="shared" si="4"/>
        <v/>
      </c>
      <c r="AA54" s="37" t="str">
        <f>Z54&amp;COUNTIFS(Z$6:Z54,Z54)</f>
        <v>36</v>
      </c>
      <c r="AB54" s="37">
        <f>COUNTIFS(AA$6:AA54,AA54)</f>
        <v>1</v>
      </c>
    </row>
    <row r="55" spans="1:28" ht="15.5" x14ac:dyDescent="0.35">
      <c r="A55" t="str">
        <f t="shared" si="1"/>
        <v>37</v>
      </c>
      <c r="B55" s="9">
        <v>50</v>
      </c>
      <c r="C55" s="8"/>
      <c r="D55" s="10"/>
      <c r="E55" s="10"/>
      <c r="F55" s="10"/>
      <c r="G55" s="8"/>
      <c r="H55" s="8"/>
      <c r="I55" s="12"/>
      <c r="J55" s="10"/>
      <c r="K55" s="44"/>
      <c r="L55" s="158" t="str">
        <f>IF(C55="","",IF(M55="--",M55,VLOOKUP(M55,'Draft SK'!AF:AI,3,FALSE)))</f>
        <v/>
      </c>
      <c r="M55" s="159" t="str">
        <f>IF(C55="","",IF(B55="","--",IFERROR(VLOOKUP("1GPTT"&amp;B55,'Draft SK'!AD:AF,3,FALSE),VLOOKUP("1UMUM"&amp;B55,'Draft SK'!AD:AF,3,FALSE))))</f>
        <v/>
      </c>
      <c r="N55" s="158" t="str">
        <f>IF(C55="","",IF(M55="--","--",VLOOKUP(M55,'Draft SK'!AF:AI,2,FALSE)))</f>
        <v/>
      </c>
      <c r="O55" s="160" t="str">
        <f>IF(C55="","",IFERROR(VLOOKUP("1GPTY"&amp;B55,'Draft SK'!AD:AF,3,FALSE),"--"))</f>
        <v/>
      </c>
      <c r="P55" s="161" t="str">
        <f>IF(C55="","",IF(O55="--","--",VLOOKUP(O55,'Draft SK'!AF:AI,2,FALSE)))</f>
        <v/>
      </c>
      <c r="Q55" s="162" t="str">
        <f>IF(C55="","",IFERROR(IFERROR(VLOOKUP("1GPTY"&amp;B55,'Draft SK'!AB:AG,5,FALSE),VLOOKUP("1GPTT"&amp;B55,'Draft SK'!AB:AG,5,FALSE)),"--"))</f>
        <v/>
      </c>
      <c r="R55" s="162" t="str">
        <f>IF(C55="","",IF(Q55="--","--",VLOOKUP(Q55,'Draft SK'!AF:AI,2,FALSE)))</f>
        <v/>
      </c>
      <c r="S55" s="11"/>
      <c r="T55" s="12"/>
      <c r="U55" s="42"/>
      <c r="V55" s="6"/>
      <c r="W55" s="83" t="str">
        <f t="shared" si="2"/>
        <v/>
      </c>
      <c r="X55" s="163" t="str">
        <f t="shared" si="3"/>
        <v/>
      </c>
      <c r="Z55" s="37" t="str">
        <f t="shared" si="4"/>
        <v/>
      </c>
      <c r="AA55" s="37" t="str">
        <f>Z55&amp;COUNTIFS(Z$6:Z55,Z55)</f>
        <v>37</v>
      </c>
      <c r="AB55" s="37">
        <f>COUNTIFS(AA$6:AA55,AA55)</f>
        <v>1</v>
      </c>
    </row>
    <row r="56" spans="1:28" ht="15.5" x14ac:dyDescent="0.35">
      <c r="A56" t="str">
        <f t="shared" si="1"/>
        <v>38</v>
      </c>
      <c r="B56" s="9">
        <v>51</v>
      </c>
      <c r="C56" s="8"/>
      <c r="D56" s="10"/>
      <c r="E56" s="10"/>
      <c r="F56" s="8"/>
      <c r="G56" s="8"/>
      <c r="H56" s="8"/>
      <c r="I56" s="12"/>
      <c r="J56" s="10"/>
      <c r="K56" s="44"/>
      <c r="L56" s="158" t="str">
        <f>IF(C56="","",IF(M56="--",M56,VLOOKUP(M56,'Draft SK'!AF:AI,3,FALSE)))</f>
        <v/>
      </c>
      <c r="M56" s="159" t="str">
        <f>IF(C56="","",IF(B56="","--",IFERROR(VLOOKUP("1GPTT"&amp;B56,'Draft SK'!AD:AF,3,FALSE),VLOOKUP("1UMUM"&amp;B56,'Draft SK'!AD:AF,3,FALSE))))</f>
        <v/>
      </c>
      <c r="N56" s="158" t="str">
        <f>IF(C56="","",IF(M56="--","--",VLOOKUP(M56,'Draft SK'!AF:AI,2,FALSE)))</f>
        <v/>
      </c>
      <c r="O56" s="160" t="str">
        <f>IF(C56="","",IFERROR(VLOOKUP("1GPTY"&amp;B56,'Draft SK'!AD:AF,3,FALSE),"--"))</f>
        <v/>
      </c>
      <c r="P56" s="161" t="str">
        <f>IF(C56="","",IF(O56="--","--",VLOOKUP(O56,'Draft SK'!AF:AI,2,FALSE)))</f>
        <v/>
      </c>
      <c r="Q56" s="162" t="str">
        <f>IF(C56="","",IFERROR(IFERROR(VLOOKUP("1GPTY"&amp;B56,'Draft SK'!AB:AG,5,FALSE),VLOOKUP("1GPTT"&amp;B56,'Draft SK'!AB:AG,5,FALSE)),"--"))</f>
        <v/>
      </c>
      <c r="R56" s="162" t="str">
        <f>IF(C56="","",IF(Q56="--","--",VLOOKUP(Q56,'Draft SK'!AF:AI,2,FALSE)))</f>
        <v/>
      </c>
      <c r="S56" s="11"/>
      <c r="T56" s="12"/>
      <c r="U56" s="42"/>
      <c r="V56" s="6"/>
      <c r="W56" s="83" t="str">
        <f t="shared" si="2"/>
        <v/>
      </c>
      <c r="X56" s="163" t="str">
        <f t="shared" si="3"/>
        <v/>
      </c>
      <c r="Z56" s="37" t="str">
        <f t="shared" si="4"/>
        <v/>
      </c>
      <c r="AA56" s="37" t="str">
        <f>Z56&amp;COUNTIFS(Z$6:Z56,Z56)</f>
        <v>38</v>
      </c>
      <c r="AB56" s="37">
        <f>COUNTIFS(AA$6:AA56,AA56)</f>
        <v>1</v>
      </c>
    </row>
    <row r="57" spans="1:28" ht="15.5" x14ac:dyDescent="0.35">
      <c r="A57" t="str">
        <f t="shared" si="1"/>
        <v>39</v>
      </c>
      <c r="B57" s="9">
        <v>52</v>
      </c>
      <c r="C57" s="8"/>
      <c r="D57" s="10"/>
      <c r="E57" s="10"/>
      <c r="F57" s="10"/>
      <c r="G57" s="8"/>
      <c r="H57" s="8"/>
      <c r="I57" s="12"/>
      <c r="J57" s="10"/>
      <c r="K57" s="44"/>
      <c r="L57" s="158" t="str">
        <f>IF(C57="","",IF(M57="--",M57,VLOOKUP(M57,'Draft SK'!AF:AI,3,FALSE)))</f>
        <v/>
      </c>
      <c r="M57" s="159" t="str">
        <f>IF(C57="","",IF(B57="","--",IFERROR(VLOOKUP("1GPTT"&amp;B57,'Draft SK'!AD:AF,3,FALSE),VLOOKUP("1UMUM"&amp;B57,'Draft SK'!AD:AF,3,FALSE))))</f>
        <v/>
      </c>
      <c r="N57" s="158" t="str">
        <f>IF(C57="","",IF(M57="--","--",VLOOKUP(M57,'Draft SK'!AF:AI,2,FALSE)))</f>
        <v/>
      </c>
      <c r="O57" s="160" t="str">
        <f>IF(C57="","",IFERROR(VLOOKUP("1GPTY"&amp;B57,'Draft SK'!AD:AF,3,FALSE),"--"))</f>
        <v/>
      </c>
      <c r="P57" s="161" t="str">
        <f>IF(C57="","",IF(O57="--","--",VLOOKUP(O57,'Draft SK'!AF:AI,2,FALSE)))</f>
        <v/>
      </c>
      <c r="Q57" s="162" t="str">
        <f>IF(C57="","",IFERROR(IFERROR(VLOOKUP("1GPTY"&amp;B57,'Draft SK'!AB:AG,5,FALSE),VLOOKUP("1GPTT"&amp;B57,'Draft SK'!AB:AG,5,FALSE)),"--"))</f>
        <v/>
      </c>
      <c r="R57" s="162" t="str">
        <f>IF(C57="","",IF(Q57="--","--",VLOOKUP(Q57,'Draft SK'!AF:AI,2,FALSE)))</f>
        <v/>
      </c>
      <c r="S57" s="11"/>
      <c r="T57" s="12"/>
      <c r="U57" s="42"/>
      <c r="V57" s="99"/>
      <c r="W57" s="83" t="str">
        <f t="shared" si="2"/>
        <v/>
      </c>
      <c r="X57" s="163" t="str">
        <f t="shared" si="3"/>
        <v/>
      </c>
      <c r="Z57" s="37" t="str">
        <f t="shared" si="4"/>
        <v/>
      </c>
      <c r="AA57" s="37" t="str">
        <f>Z57&amp;COUNTIFS(Z$6:Z57,Z57)</f>
        <v>39</v>
      </c>
      <c r="AB57" s="37">
        <f>COUNTIFS(AA$6:AA57,AA57)</f>
        <v>1</v>
      </c>
    </row>
    <row r="58" spans="1:28" ht="15.5" x14ac:dyDescent="0.35">
      <c r="A58" t="str">
        <f t="shared" si="1"/>
        <v>40</v>
      </c>
      <c r="B58" s="9">
        <v>53</v>
      </c>
      <c r="C58" s="8"/>
      <c r="D58" s="10"/>
      <c r="E58" s="10"/>
      <c r="F58" s="10"/>
      <c r="G58" s="8"/>
      <c r="H58" s="8"/>
      <c r="I58" s="12"/>
      <c r="J58" s="10"/>
      <c r="K58" s="44"/>
      <c r="L58" s="158" t="str">
        <f>IF(C58="","",IF(M58="--",M58,VLOOKUP(M58,'Draft SK'!AF:AI,3,FALSE)))</f>
        <v/>
      </c>
      <c r="M58" s="159" t="str">
        <f>IF(C58="","",IF(B58="","--",IFERROR(VLOOKUP("1GPTT"&amp;B58,'Draft SK'!AD:AF,3,FALSE),VLOOKUP("1UMUM"&amp;B58,'Draft SK'!AD:AF,3,FALSE))))</f>
        <v/>
      </c>
      <c r="N58" s="158" t="str">
        <f>IF(C58="","",IF(M58="--","--",VLOOKUP(M58,'Draft SK'!AF:AI,2,FALSE)))</f>
        <v/>
      </c>
      <c r="O58" s="160" t="str">
        <f>IF(C58="","",IFERROR(VLOOKUP("1GPTY"&amp;B58,'Draft SK'!AD:AF,3,FALSE),"--"))</f>
        <v/>
      </c>
      <c r="P58" s="161" t="str">
        <f>IF(C58="","",IF(O58="--","--",VLOOKUP(O58,'Draft SK'!AF:AI,2,FALSE)))</f>
        <v/>
      </c>
      <c r="Q58" s="162" t="str">
        <f>IF(C58="","",IFERROR(IFERROR(VLOOKUP("1GPTY"&amp;B58,'Draft SK'!AB:AG,5,FALSE),VLOOKUP("1GPTT"&amp;B58,'Draft SK'!AB:AG,5,FALSE)),"--"))</f>
        <v/>
      </c>
      <c r="R58" s="162" t="str">
        <f>IF(C58="","",IF(Q58="--","--",VLOOKUP(Q58,'Draft SK'!AF:AI,2,FALSE)))</f>
        <v/>
      </c>
      <c r="S58" s="11"/>
      <c r="T58" s="6"/>
      <c r="U58" s="42"/>
      <c r="V58" s="6"/>
      <c r="W58" s="83" t="str">
        <f t="shared" si="2"/>
        <v/>
      </c>
      <c r="X58" s="163" t="str">
        <f t="shared" si="3"/>
        <v/>
      </c>
      <c r="Z58" s="37" t="str">
        <f t="shared" si="4"/>
        <v/>
      </c>
      <c r="AA58" s="37" t="str">
        <f>Z58&amp;COUNTIFS(Z$6:Z58,Z58)</f>
        <v>40</v>
      </c>
      <c r="AB58" s="37">
        <f>COUNTIFS(AA$6:AA58,AA58)</f>
        <v>1</v>
      </c>
    </row>
    <row r="59" spans="1:28" ht="15.5" x14ac:dyDescent="0.35">
      <c r="A59" t="str">
        <f t="shared" si="1"/>
        <v>41</v>
      </c>
      <c r="B59" s="9">
        <v>54</v>
      </c>
      <c r="C59" s="8"/>
      <c r="D59" s="13"/>
      <c r="E59" s="10"/>
      <c r="F59" s="10"/>
      <c r="G59" s="8"/>
      <c r="H59" s="8"/>
      <c r="I59" s="12"/>
      <c r="J59" s="10"/>
      <c r="K59" s="44"/>
      <c r="L59" s="158" t="str">
        <f>IF(C59="","",IF(M59="--",M59,VLOOKUP(M59,'Draft SK'!AF:AI,3,FALSE)))</f>
        <v/>
      </c>
      <c r="M59" s="159" t="str">
        <f>IF(C59="","",IF(B59="","--",IFERROR(VLOOKUP("1GPTT"&amp;B59,'Draft SK'!AD:AF,3,FALSE),VLOOKUP("1UMUM"&amp;B59,'Draft SK'!AD:AF,3,FALSE))))</f>
        <v/>
      </c>
      <c r="N59" s="158" t="str">
        <f>IF(C59="","",IF(M59="--","--",VLOOKUP(M59,'Draft SK'!AF:AI,2,FALSE)))</f>
        <v/>
      </c>
      <c r="O59" s="160" t="str">
        <f>IF(C59="","",IFERROR(VLOOKUP("1GPTY"&amp;B59,'Draft SK'!AD:AF,3,FALSE),"--"))</f>
        <v/>
      </c>
      <c r="P59" s="161" t="str">
        <f>IF(C59="","",IF(O59="--","--",VLOOKUP(O59,'Draft SK'!AF:AI,2,FALSE)))</f>
        <v/>
      </c>
      <c r="Q59" s="162" t="str">
        <f>IF(C59="","",IFERROR(IFERROR(VLOOKUP("1GPTY"&amp;B59,'Draft SK'!AB:AG,5,FALSE),VLOOKUP("1GPTT"&amp;B59,'Draft SK'!AB:AG,5,FALSE)),"--"))</f>
        <v/>
      </c>
      <c r="R59" s="162" t="str">
        <f>IF(C59="","",IF(Q59="--","--",VLOOKUP(Q59,'Draft SK'!AF:AI,2,FALSE)))</f>
        <v/>
      </c>
      <c r="S59" s="11"/>
      <c r="T59" s="6"/>
      <c r="U59" s="42"/>
      <c r="V59" s="6"/>
      <c r="W59" s="83" t="str">
        <f t="shared" si="2"/>
        <v/>
      </c>
      <c r="X59" s="163" t="str">
        <f t="shared" si="3"/>
        <v/>
      </c>
      <c r="Z59" s="37" t="str">
        <f t="shared" si="4"/>
        <v/>
      </c>
      <c r="AA59" s="37" t="str">
        <f>Z59&amp;COUNTIFS(Z$6:Z59,Z59)</f>
        <v>41</v>
      </c>
      <c r="AB59" s="37">
        <f>COUNTIFS(AA$6:AA59,AA59)</f>
        <v>1</v>
      </c>
    </row>
    <row r="60" spans="1:28" ht="15.5" x14ac:dyDescent="0.35">
      <c r="A60" t="str">
        <f t="shared" si="1"/>
        <v>42</v>
      </c>
      <c r="B60" s="9">
        <v>55</v>
      </c>
      <c r="C60" s="8"/>
      <c r="D60" s="10"/>
      <c r="E60" s="10"/>
      <c r="F60" s="10"/>
      <c r="G60" s="8"/>
      <c r="H60" s="8"/>
      <c r="I60" s="12"/>
      <c r="J60" s="10"/>
      <c r="K60" s="44"/>
      <c r="L60" s="158" t="str">
        <f>IF(C60="","",IF(M60="--",M60,VLOOKUP(M60,'Draft SK'!AF:AI,3,FALSE)))</f>
        <v/>
      </c>
      <c r="M60" s="159" t="str">
        <f>IF(C60="","",IF(B60="","--",IFERROR(VLOOKUP("1GPTT"&amp;B60,'Draft SK'!AD:AF,3,FALSE),VLOOKUP("1UMUM"&amp;B60,'Draft SK'!AD:AF,3,FALSE))))</f>
        <v/>
      </c>
      <c r="N60" s="158" t="str">
        <f>IF(C60="","",IF(M60="--","--",VLOOKUP(M60,'Draft SK'!AF:AI,2,FALSE)))</f>
        <v/>
      </c>
      <c r="O60" s="160" t="str">
        <f>IF(C60="","",IFERROR(VLOOKUP("1GPTY"&amp;B60,'Draft SK'!AD:AF,3,FALSE),"--"))</f>
        <v/>
      </c>
      <c r="P60" s="161" t="str">
        <f>IF(C60="","",IF(O60="--","--",VLOOKUP(O60,'Draft SK'!AF:AI,2,FALSE)))</f>
        <v/>
      </c>
      <c r="Q60" s="162" t="str">
        <f>IF(C60="","",IFERROR(IFERROR(VLOOKUP("1GPTY"&amp;B60,'Draft SK'!AB:AG,5,FALSE),VLOOKUP("1GPTT"&amp;B60,'Draft SK'!AB:AG,5,FALSE)),"--"))</f>
        <v/>
      </c>
      <c r="R60" s="162" t="str">
        <f>IF(C60="","",IF(Q60="--","--",VLOOKUP(Q60,'Draft SK'!AF:AI,2,FALSE)))</f>
        <v/>
      </c>
      <c r="S60" s="11"/>
      <c r="T60" s="6"/>
      <c r="U60" s="42"/>
      <c r="V60" s="99"/>
      <c r="W60" s="83" t="str">
        <f t="shared" si="2"/>
        <v/>
      </c>
      <c r="X60" s="163" t="str">
        <f t="shared" si="3"/>
        <v/>
      </c>
      <c r="Z60" s="37" t="str">
        <f t="shared" si="4"/>
        <v/>
      </c>
      <c r="AA60" s="37" t="str">
        <f>Z60&amp;COUNTIFS(Z$6:Z60,Z60)</f>
        <v>42</v>
      </c>
      <c r="AB60" s="37">
        <f>COUNTIFS(AA$6:AA60,AA60)</f>
        <v>1</v>
      </c>
    </row>
    <row r="61" spans="1:28" ht="15.5" x14ac:dyDescent="0.35">
      <c r="A61" t="str">
        <f t="shared" si="1"/>
        <v>43</v>
      </c>
      <c r="B61" s="9">
        <v>56</v>
      </c>
      <c r="C61" s="8"/>
      <c r="D61" s="13"/>
      <c r="E61" s="10"/>
      <c r="F61" s="10"/>
      <c r="G61" s="8"/>
      <c r="H61" s="8"/>
      <c r="I61" s="8"/>
      <c r="J61" s="10"/>
      <c r="K61" s="44"/>
      <c r="L61" s="158" t="str">
        <f>IF(C61="","",IF(M61="--",M61,VLOOKUP(M61,'Draft SK'!AF:AI,3,FALSE)))</f>
        <v/>
      </c>
      <c r="M61" s="159" t="str">
        <f>IF(C61="","",IF(B61="","--",IFERROR(VLOOKUP("1GPTT"&amp;B61,'Draft SK'!AD:AF,3,FALSE),VLOOKUP("1UMUM"&amp;B61,'Draft SK'!AD:AF,3,FALSE))))</f>
        <v/>
      </c>
      <c r="N61" s="158" t="str">
        <f>IF(C61="","",IF(M61="--","--",VLOOKUP(M61,'Draft SK'!AF:AI,2,FALSE)))</f>
        <v/>
      </c>
      <c r="O61" s="160" t="str">
        <f>IF(C61="","",IFERROR(VLOOKUP("1GPTY"&amp;B61,'Draft SK'!AD:AF,3,FALSE),"--"))</f>
        <v/>
      </c>
      <c r="P61" s="161" t="str">
        <f>IF(C61="","",IF(O61="--","--",VLOOKUP(O61,'Draft SK'!AF:AI,2,FALSE)))</f>
        <v/>
      </c>
      <c r="Q61" s="162" t="str">
        <f>IF(C61="","",IFERROR(IFERROR(VLOOKUP("1GPTY"&amp;B61,'Draft SK'!AB:AG,5,FALSE),VLOOKUP("1GPTT"&amp;B61,'Draft SK'!AB:AG,5,FALSE)),"--"))</f>
        <v/>
      </c>
      <c r="R61" s="162" t="str">
        <f>IF(C61="","",IF(Q61="--","--",VLOOKUP(Q61,'Draft SK'!AF:AI,2,FALSE)))</f>
        <v/>
      </c>
      <c r="S61" s="11"/>
      <c r="T61" s="6"/>
      <c r="U61" s="42"/>
      <c r="V61" s="6"/>
      <c r="W61" s="83" t="str">
        <f t="shared" si="2"/>
        <v/>
      </c>
      <c r="X61" s="163" t="str">
        <f t="shared" si="3"/>
        <v/>
      </c>
      <c r="Z61" s="37" t="str">
        <f t="shared" si="4"/>
        <v/>
      </c>
      <c r="AA61" s="37" t="str">
        <f>Z61&amp;COUNTIFS(Z$6:Z61,Z61)</f>
        <v>43</v>
      </c>
      <c r="AB61" s="37">
        <f>COUNTIFS(AA$6:AA61,AA61)</f>
        <v>1</v>
      </c>
    </row>
    <row r="62" spans="1:28" ht="15.5" x14ac:dyDescent="0.35">
      <c r="A62" t="str">
        <f t="shared" si="1"/>
        <v>44</v>
      </c>
      <c r="B62" s="9">
        <v>57</v>
      </c>
      <c r="C62" s="8"/>
      <c r="D62" s="13"/>
      <c r="E62" s="10"/>
      <c r="F62" s="10"/>
      <c r="G62" s="8"/>
      <c r="H62" s="8"/>
      <c r="I62" s="12"/>
      <c r="J62" s="10"/>
      <c r="K62" s="44"/>
      <c r="L62" s="158" t="str">
        <f>IF(C62="","",IF(M62="--",M62,VLOOKUP(M62,'Draft SK'!AF:AI,3,FALSE)))</f>
        <v/>
      </c>
      <c r="M62" s="159" t="str">
        <f>IF(C62="","",IF(B62="","--",IFERROR(VLOOKUP("1GPTT"&amp;B62,'Draft SK'!AD:AF,3,FALSE),VLOOKUP("1UMUM"&amp;B62,'Draft SK'!AD:AF,3,FALSE))))</f>
        <v/>
      </c>
      <c r="N62" s="158" t="str">
        <f>IF(C62="","",IF(M62="--","--",VLOOKUP(M62,'Draft SK'!AF:AI,2,FALSE)))</f>
        <v/>
      </c>
      <c r="O62" s="160" t="str">
        <f>IF(C62="","",IFERROR(VLOOKUP("1GPTY"&amp;B62,'Draft SK'!AD:AF,3,FALSE),"--"))</f>
        <v/>
      </c>
      <c r="P62" s="161" t="str">
        <f>IF(C62="","",IF(O62="--","--",VLOOKUP(O62,'Draft SK'!AF:AI,2,FALSE)))</f>
        <v/>
      </c>
      <c r="Q62" s="162" t="str">
        <f>IF(C62="","",IFERROR(IFERROR(VLOOKUP("1GPTY"&amp;B62,'Draft SK'!AB:AG,5,FALSE),VLOOKUP("1GPTT"&amp;B62,'Draft SK'!AB:AG,5,FALSE)),"--"))</f>
        <v/>
      </c>
      <c r="R62" s="162" t="str">
        <f>IF(C62="","",IF(Q62="--","--",VLOOKUP(Q62,'Draft SK'!AF:AI,2,FALSE)))</f>
        <v/>
      </c>
      <c r="S62" s="11"/>
      <c r="T62" s="6"/>
      <c r="U62" s="42"/>
      <c r="V62" s="6"/>
      <c r="W62" s="83" t="str">
        <f t="shared" si="2"/>
        <v/>
      </c>
      <c r="X62" s="163" t="str">
        <f t="shared" si="3"/>
        <v/>
      </c>
      <c r="Z62" s="37" t="str">
        <f t="shared" si="4"/>
        <v/>
      </c>
      <c r="AA62" s="37" t="str">
        <f>Z62&amp;COUNTIFS(Z$6:Z62,Z62)</f>
        <v>44</v>
      </c>
      <c r="AB62" s="37">
        <f>COUNTIFS(AA$6:AA62,AA62)</f>
        <v>1</v>
      </c>
    </row>
    <row r="63" spans="1:28" ht="15.5" x14ac:dyDescent="0.35">
      <c r="A63" t="str">
        <f t="shared" si="1"/>
        <v>45</v>
      </c>
      <c r="B63" s="9">
        <v>58</v>
      </c>
      <c r="C63" s="8"/>
      <c r="D63" s="13"/>
      <c r="E63" s="10"/>
      <c r="F63" s="10"/>
      <c r="G63" s="8"/>
      <c r="H63" s="8"/>
      <c r="I63" s="8"/>
      <c r="J63" s="10"/>
      <c r="K63" s="44"/>
      <c r="L63" s="158" t="str">
        <f>IF(C63="","",IF(M63="--",M63,VLOOKUP(M63,'Draft SK'!AF:AI,3,FALSE)))</f>
        <v/>
      </c>
      <c r="M63" s="159" t="str">
        <f>IF(C63="","",IF(B63="","--",IFERROR(VLOOKUP("1GPTT"&amp;B63,'Draft SK'!AD:AF,3,FALSE),VLOOKUP("1UMUM"&amp;B63,'Draft SK'!AD:AF,3,FALSE))))</f>
        <v/>
      </c>
      <c r="N63" s="158" t="str">
        <f>IF(C63="","",IF(M63="--","--",VLOOKUP(M63,'Draft SK'!AF:AI,2,FALSE)))</f>
        <v/>
      </c>
      <c r="O63" s="160" t="str">
        <f>IF(C63="","",IFERROR(VLOOKUP("1GPTY"&amp;B63,'Draft SK'!AD:AF,3,FALSE),"--"))</f>
        <v/>
      </c>
      <c r="P63" s="161" t="str">
        <f>IF(C63="","",IF(O63="--","--",VLOOKUP(O63,'Draft SK'!AF:AI,2,FALSE)))</f>
        <v/>
      </c>
      <c r="Q63" s="162" t="str">
        <f>IF(C63="","",IFERROR(IFERROR(VLOOKUP("1GPTY"&amp;B63,'Draft SK'!AB:AG,5,FALSE),VLOOKUP("1GPTT"&amp;B63,'Draft SK'!AB:AG,5,FALSE)),"--"))</f>
        <v/>
      </c>
      <c r="R63" s="162" t="str">
        <f>IF(C63="","",IF(Q63="--","--",VLOOKUP(Q63,'Draft SK'!AF:AI,2,FALSE)))</f>
        <v/>
      </c>
      <c r="S63" s="11"/>
      <c r="T63" s="6"/>
      <c r="U63" s="42"/>
      <c r="V63" s="6"/>
      <c r="W63" s="83" t="str">
        <f t="shared" si="2"/>
        <v/>
      </c>
      <c r="X63" s="163" t="str">
        <f t="shared" si="3"/>
        <v/>
      </c>
      <c r="Z63" s="37" t="str">
        <f t="shared" si="4"/>
        <v/>
      </c>
      <c r="AA63" s="37" t="str">
        <f>Z63&amp;COUNTIFS(Z$6:Z63,Z63)</f>
        <v>45</v>
      </c>
      <c r="AB63" s="37">
        <f>COUNTIFS(AA$6:AA63,AA63)</f>
        <v>1</v>
      </c>
    </row>
    <row r="64" spans="1:28" ht="15.5" x14ac:dyDescent="0.35">
      <c r="A64" t="str">
        <f t="shared" si="1"/>
        <v>46</v>
      </c>
      <c r="B64" s="9">
        <v>59</v>
      </c>
      <c r="C64" s="8"/>
      <c r="D64" s="10"/>
      <c r="E64" s="10"/>
      <c r="F64" s="10"/>
      <c r="G64" s="8"/>
      <c r="H64" s="8"/>
      <c r="I64" s="12"/>
      <c r="J64" s="10"/>
      <c r="K64" s="44"/>
      <c r="L64" s="158" t="str">
        <f>IF(C64="","",IF(M64="--",M64,VLOOKUP(M64,'Draft SK'!AF:AI,3,FALSE)))</f>
        <v/>
      </c>
      <c r="M64" s="159" t="str">
        <f>IF(C64="","",IF(B64="","--",IFERROR(VLOOKUP("1GPTT"&amp;B64,'Draft SK'!AD:AF,3,FALSE),VLOOKUP("1UMUM"&amp;B64,'Draft SK'!AD:AF,3,FALSE))))</f>
        <v/>
      </c>
      <c r="N64" s="158" t="str">
        <f>IF(C64="","",IF(M64="--","--",VLOOKUP(M64,'Draft SK'!AF:AI,2,FALSE)))</f>
        <v/>
      </c>
      <c r="O64" s="160" t="str">
        <f>IF(C64="","",IFERROR(VLOOKUP("1GPTY"&amp;B64,'Draft SK'!AD:AF,3,FALSE),"--"))</f>
        <v/>
      </c>
      <c r="P64" s="161" t="str">
        <f>IF(C64="","",IF(O64="--","--",VLOOKUP(O64,'Draft SK'!AF:AI,2,FALSE)))</f>
        <v/>
      </c>
      <c r="Q64" s="162" t="str">
        <f>IF(C64="","",IFERROR(IFERROR(VLOOKUP("1GPTY"&amp;B64,'Draft SK'!AB:AG,5,FALSE),VLOOKUP("1GPTT"&amp;B64,'Draft SK'!AB:AG,5,FALSE)),"--"))</f>
        <v/>
      </c>
      <c r="R64" s="162" t="str">
        <f>IF(C64="","",IF(Q64="--","--",VLOOKUP(Q64,'Draft SK'!AF:AI,2,FALSE)))</f>
        <v/>
      </c>
      <c r="S64" s="11"/>
      <c r="T64" s="12"/>
      <c r="U64" s="42"/>
      <c r="V64" s="6"/>
      <c r="W64" s="83" t="str">
        <f t="shared" si="2"/>
        <v/>
      </c>
      <c r="X64" s="163" t="str">
        <f t="shared" si="3"/>
        <v/>
      </c>
      <c r="Z64" s="37" t="str">
        <f t="shared" si="4"/>
        <v/>
      </c>
      <c r="AA64" s="37" t="str">
        <f>Z64&amp;COUNTIFS(Z$6:Z64,Z64)</f>
        <v>46</v>
      </c>
      <c r="AB64" s="37">
        <f>COUNTIFS(AA$6:AA64,AA64)</f>
        <v>1</v>
      </c>
    </row>
    <row r="65" spans="1:28" ht="15.5" x14ac:dyDescent="0.35">
      <c r="A65" t="str">
        <f t="shared" si="1"/>
        <v>47</v>
      </c>
      <c r="B65" s="9">
        <v>60</v>
      </c>
      <c r="C65" s="8"/>
      <c r="D65" s="13"/>
      <c r="E65" s="10"/>
      <c r="F65" s="10"/>
      <c r="G65" s="8"/>
      <c r="H65" s="8"/>
      <c r="I65" s="8"/>
      <c r="J65" s="10"/>
      <c r="K65" s="44"/>
      <c r="L65" s="158" t="str">
        <f>IF(C65="","",IF(M65="--",M65,VLOOKUP(M65,'Draft SK'!AF:AI,3,FALSE)))</f>
        <v/>
      </c>
      <c r="M65" s="159" t="str">
        <f>IF(C65="","",IF(B65="","--",IFERROR(VLOOKUP("1GPTT"&amp;B65,'Draft SK'!AD:AF,3,FALSE),VLOOKUP("1UMUM"&amp;B65,'Draft SK'!AD:AF,3,FALSE))))</f>
        <v/>
      </c>
      <c r="N65" s="158" t="str">
        <f>IF(C65="","",IF(M65="--","--",VLOOKUP(M65,'Draft SK'!AF:AI,2,FALSE)))</f>
        <v/>
      </c>
      <c r="O65" s="160" t="str">
        <f>IF(C65="","",IFERROR(VLOOKUP("1GPTY"&amp;B65,'Draft SK'!AD:AF,3,FALSE),"--"))</f>
        <v/>
      </c>
      <c r="P65" s="161" t="str">
        <f>IF(C65="","",IF(O65="--","--",VLOOKUP(O65,'Draft SK'!AF:AI,2,FALSE)))</f>
        <v/>
      </c>
      <c r="Q65" s="162" t="str">
        <f>IF(C65="","",IFERROR(IFERROR(VLOOKUP("1GPTY"&amp;B65,'Draft SK'!AB:AG,5,FALSE),VLOOKUP("1GPTT"&amp;B65,'Draft SK'!AB:AG,5,FALSE)),"--"))</f>
        <v/>
      </c>
      <c r="R65" s="162" t="str">
        <f>IF(C65="","",IF(Q65="--","--",VLOOKUP(Q65,'Draft SK'!AF:AI,2,FALSE)))</f>
        <v/>
      </c>
      <c r="S65" s="11"/>
      <c r="T65" s="6"/>
      <c r="U65" s="42"/>
      <c r="V65" s="6"/>
      <c r="W65" s="83" t="str">
        <f t="shared" si="2"/>
        <v/>
      </c>
      <c r="X65" s="163" t="str">
        <f t="shared" si="3"/>
        <v/>
      </c>
      <c r="Z65" s="37" t="str">
        <f t="shared" si="4"/>
        <v/>
      </c>
      <c r="AA65" s="37" t="str">
        <f>Z65&amp;COUNTIFS(Z$6:Z65,Z65)</f>
        <v>47</v>
      </c>
      <c r="AB65" s="37">
        <f>COUNTIFS(AA$6:AA65,AA65)</f>
        <v>1</v>
      </c>
    </row>
    <row r="66" spans="1:28" ht="15.5" x14ac:dyDescent="0.35">
      <c r="A66" t="str">
        <f t="shared" si="1"/>
        <v>48</v>
      </c>
      <c r="B66" s="9">
        <v>61</v>
      </c>
      <c r="C66" s="8"/>
      <c r="D66" s="13"/>
      <c r="E66" s="10"/>
      <c r="F66" s="10"/>
      <c r="G66" s="8"/>
      <c r="H66" s="8"/>
      <c r="I66" s="8"/>
      <c r="J66" s="10"/>
      <c r="K66" s="44"/>
      <c r="L66" s="158" t="str">
        <f>IF(C66="","",IF(M66="--",M66,VLOOKUP(M66,'Draft SK'!AF:AI,3,FALSE)))</f>
        <v/>
      </c>
      <c r="M66" s="159" t="str">
        <f>IF(C66="","",IF(B66="","--",IFERROR(VLOOKUP("1GPTT"&amp;B66,'Draft SK'!AD:AF,3,FALSE),VLOOKUP("1UMUM"&amp;B66,'Draft SK'!AD:AF,3,FALSE))))</f>
        <v/>
      </c>
      <c r="N66" s="158" t="str">
        <f>IF(C66="","",IF(M66="--","--",VLOOKUP(M66,'Draft SK'!AF:AI,2,FALSE)))</f>
        <v/>
      </c>
      <c r="O66" s="160" t="str">
        <f>IF(C66="","",IFERROR(VLOOKUP("1GPTY"&amp;B66,'Draft SK'!AD:AF,3,FALSE),"--"))</f>
        <v/>
      </c>
      <c r="P66" s="161" t="str">
        <f>IF(C66="","",IF(O66="--","--",VLOOKUP(O66,'Draft SK'!AF:AI,2,FALSE)))</f>
        <v/>
      </c>
      <c r="Q66" s="162" t="str">
        <f>IF(C66="","",IFERROR(IFERROR(VLOOKUP("1GPTY"&amp;B66,'Draft SK'!AB:AG,5,FALSE),VLOOKUP("1GPTT"&amp;B66,'Draft SK'!AB:AG,5,FALSE)),"--"))</f>
        <v/>
      </c>
      <c r="R66" s="162" t="str">
        <f>IF(C66="","",IF(Q66="--","--",VLOOKUP(Q66,'Draft SK'!AF:AI,2,FALSE)))</f>
        <v/>
      </c>
      <c r="S66" s="11"/>
      <c r="T66" s="6"/>
      <c r="U66" s="42"/>
      <c r="V66" s="6"/>
      <c r="W66" s="83" t="str">
        <f t="shared" si="2"/>
        <v/>
      </c>
      <c r="X66" s="163" t="str">
        <f t="shared" si="3"/>
        <v/>
      </c>
      <c r="Z66" s="37" t="str">
        <f t="shared" si="4"/>
        <v/>
      </c>
      <c r="AA66" s="37" t="str">
        <f>Z66&amp;COUNTIFS(Z$6:Z66,Z66)</f>
        <v>48</v>
      </c>
      <c r="AB66" s="37">
        <f>COUNTIFS(AA$6:AA66,AA66)</f>
        <v>1</v>
      </c>
    </row>
    <row r="67" spans="1:28" ht="15.5" x14ac:dyDescent="0.35">
      <c r="A67" t="str">
        <f t="shared" si="1"/>
        <v>49</v>
      </c>
      <c r="B67" s="9">
        <v>62</v>
      </c>
      <c r="C67" s="8"/>
      <c r="D67" s="10"/>
      <c r="E67" s="10"/>
      <c r="F67" s="8"/>
      <c r="G67" s="8"/>
      <c r="H67" s="8"/>
      <c r="I67" s="12"/>
      <c r="J67" s="10"/>
      <c r="K67" s="44"/>
      <c r="L67" s="158" t="str">
        <f>IF(C67="","",IF(M67="--",M67,VLOOKUP(M67,'Draft SK'!AF:AI,3,FALSE)))</f>
        <v/>
      </c>
      <c r="M67" s="159" t="str">
        <f>IF(C67="","",IF(B67="","--",IFERROR(VLOOKUP("1GPTT"&amp;B67,'Draft SK'!AD:AF,3,FALSE),VLOOKUP("1UMUM"&amp;B67,'Draft SK'!AD:AF,3,FALSE))))</f>
        <v/>
      </c>
      <c r="N67" s="158" t="str">
        <f>IF(C67="","",IF(M67="--","--",VLOOKUP(M67,'Draft SK'!AF:AI,2,FALSE)))</f>
        <v/>
      </c>
      <c r="O67" s="160" t="str">
        <f>IF(C67="","",IFERROR(VLOOKUP("1GPTY"&amp;B67,'Draft SK'!AD:AF,3,FALSE),"--"))</f>
        <v/>
      </c>
      <c r="P67" s="161" t="str">
        <f>IF(C67="","",IF(O67="--","--",VLOOKUP(O67,'Draft SK'!AF:AI,2,FALSE)))</f>
        <v/>
      </c>
      <c r="Q67" s="162" t="str">
        <f>IF(C67="","",IFERROR(IFERROR(VLOOKUP("1GPTY"&amp;B67,'Draft SK'!AB:AG,5,FALSE),VLOOKUP("1GPTT"&amp;B67,'Draft SK'!AB:AG,5,FALSE)),"--"))</f>
        <v/>
      </c>
      <c r="R67" s="162" t="str">
        <f>IF(C67="","",IF(Q67="--","--",VLOOKUP(Q67,'Draft SK'!AF:AI,2,FALSE)))</f>
        <v/>
      </c>
      <c r="S67" s="11"/>
      <c r="T67" s="12"/>
      <c r="U67" s="42"/>
      <c r="V67" s="6"/>
      <c r="W67" s="83" t="str">
        <f t="shared" si="2"/>
        <v/>
      </c>
      <c r="X67" s="163" t="str">
        <f t="shared" si="3"/>
        <v/>
      </c>
      <c r="Z67" s="37" t="str">
        <f t="shared" si="4"/>
        <v/>
      </c>
      <c r="AA67" s="37" t="str">
        <f>Z67&amp;COUNTIFS(Z$6:Z67,Z67)</f>
        <v>49</v>
      </c>
      <c r="AB67" s="37">
        <f>COUNTIFS(AA$6:AA67,AA67)</f>
        <v>1</v>
      </c>
    </row>
    <row r="68" spans="1:28" ht="15.5" x14ac:dyDescent="0.35">
      <c r="A68" t="str">
        <f t="shared" si="1"/>
        <v>50</v>
      </c>
      <c r="B68" s="9">
        <v>63</v>
      </c>
      <c r="C68" s="8"/>
      <c r="D68" s="10"/>
      <c r="E68" s="10"/>
      <c r="F68" s="8"/>
      <c r="G68" s="8"/>
      <c r="H68" s="8"/>
      <c r="I68" s="12"/>
      <c r="J68" s="10"/>
      <c r="K68" s="44"/>
      <c r="L68" s="158" t="str">
        <f>IF(C68="","",IF(M68="--",M68,VLOOKUP(M68,'Draft SK'!AF:AI,3,FALSE)))</f>
        <v/>
      </c>
      <c r="M68" s="159" t="str">
        <f>IF(C68="","",IF(B68="","--",IFERROR(VLOOKUP("1GPTT"&amp;B68,'Draft SK'!AD:AF,3,FALSE),VLOOKUP("1UMUM"&amp;B68,'Draft SK'!AD:AF,3,FALSE))))</f>
        <v/>
      </c>
      <c r="N68" s="158" t="str">
        <f>IF(C68="","",IF(M68="--","--",VLOOKUP(M68,'Draft SK'!AF:AI,2,FALSE)))</f>
        <v/>
      </c>
      <c r="O68" s="160" t="str">
        <f>IF(C68="","",IFERROR(VLOOKUP("1GPTY"&amp;B68,'Draft SK'!AD:AF,3,FALSE),"--"))</f>
        <v/>
      </c>
      <c r="P68" s="161" t="str">
        <f>IF(C68="","",IF(O68="--","--",VLOOKUP(O68,'Draft SK'!AF:AI,2,FALSE)))</f>
        <v/>
      </c>
      <c r="Q68" s="162" t="str">
        <f>IF(C68="","",IFERROR(IFERROR(VLOOKUP("1GPTY"&amp;B68,'Draft SK'!AB:AG,5,FALSE),VLOOKUP("1GPTT"&amp;B68,'Draft SK'!AB:AG,5,FALSE)),"--"))</f>
        <v/>
      </c>
      <c r="R68" s="162" t="str">
        <f>IF(C68="","",IF(Q68="--","--",VLOOKUP(Q68,'Draft SK'!AF:AI,2,FALSE)))</f>
        <v/>
      </c>
      <c r="S68" s="11"/>
      <c r="T68" s="12"/>
      <c r="U68" s="42"/>
      <c r="V68" s="6"/>
      <c r="W68" s="83" t="str">
        <f t="shared" si="2"/>
        <v/>
      </c>
      <c r="X68" s="163" t="str">
        <f t="shared" si="3"/>
        <v/>
      </c>
      <c r="Z68" s="37" t="str">
        <f t="shared" si="4"/>
        <v/>
      </c>
      <c r="AA68" s="37" t="str">
        <f>Z68&amp;COUNTIFS(Z$6:Z68,Z68)</f>
        <v>50</v>
      </c>
      <c r="AB68" s="37">
        <f>COUNTIFS(AA$6:AA68,AA68)</f>
        <v>1</v>
      </c>
    </row>
    <row r="69" spans="1:28" ht="15.5" x14ac:dyDescent="0.35">
      <c r="A69" t="str">
        <f t="shared" si="1"/>
        <v>51</v>
      </c>
      <c r="B69" s="9">
        <v>64</v>
      </c>
      <c r="C69" s="8"/>
      <c r="D69" s="13"/>
      <c r="E69" s="10"/>
      <c r="F69" s="10"/>
      <c r="G69" s="8"/>
      <c r="H69" s="8"/>
      <c r="I69" s="8"/>
      <c r="J69" s="10"/>
      <c r="K69" s="44"/>
      <c r="L69" s="158" t="str">
        <f>IF(C69="","",IF(M69="--",M69,VLOOKUP(M69,'Draft SK'!AF:AI,3,FALSE)))</f>
        <v/>
      </c>
      <c r="M69" s="159" t="str">
        <f>IF(C69="","",IF(B69="","--",IFERROR(VLOOKUP("1GPTT"&amp;B69,'Draft SK'!AD:AF,3,FALSE),VLOOKUP("1UMUM"&amp;B69,'Draft SK'!AD:AF,3,FALSE))))</f>
        <v/>
      </c>
      <c r="N69" s="158" t="str">
        <f>IF(C69="","",IF(M69="--","--",VLOOKUP(M69,'Draft SK'!AF:AI,2,FALSE)))</f>
        <v/>
      </c>
      <c r="O69" s="160" t="str">
        <f>IF(C69="","",IFERROR(VLOOKUP("1GPTY"&amp;B69,'Draft SK'!AD:AF,3,FALSE),"--"))</f>
        <v/>
      </c>
      <c r="P69" s="161" t="str">
        <f>IF(C69="","",IF(O69="--","--",VLOOKUP(O69,'Draft SK'!AF:AI,2,FALSE)))</f>
        <v/>
      </c>
      <c r="Q69" s="162" t="str">
        <f>IF(C69="","",IFERROR(IFERROR(VLOOKUP("1GPTY"&amp;B69,'Draft SK'!AB:AG,5,FALSE),VLOOKUP("1GPTT"&amp;B69,'Draft SK'!AB:AG,5,FALSE)),"--"))</f>
        <v/>
      </c>
      <c r="R69" s="162" t="str">
        <f>IF(C69="","",IF(Q69="--","--",VLOOKUP(Q69,'Draft SK'!AF:AI,2,FALSE)))</f>
        <v/>
      </c>
      <c r="S69" s="11"/>
      <c r="T69" s="12"/>
      <c r="U69" s="42"/>
      <c r="V69" s="6"/>
      <c r="W69" s="83" t="str">
        <f t="shared" si="2"/>
        <v/>
      </c>
      <c r="X69" s="163" t="str">
        <f t="shared" si="3"/>
        <v/>
      </c>
      <c r="Z69" s="37" t="str">
        <f t="shared" si="4"/>
        <v/>
      </c>
      <c r="AA69" s="37" t="str">
        <f>Z69&amp;COUNTIFS(Z$6:Z69,Z69)</f>
        <v>51</v>
      </c>
      <c r="AB69" s="37">
        <f>COUNTIFS(AA$6:AA69,AA69)</f>
        <v>1</v>
      </c>
    </row>
    <row r="70" spans="1:28" ht="15.5" x14ac:dyDescent="0.35">
      <c r="A70" t="str">
        <f t="shared" si="1"/>
        <v>52</v>
      </c>
      <c r="B70" s="9">
        <v>65</v>
      </c>
      <c r="C70" s="8"/>
      <c r="D70" s="13"/>
      <c r="E70" s="10"/>
      <c r="F70" s="10"/>
      <c r="G70" s="8"/>
      <c r="H70" s="8"/>
      <c r="I70" s="8"/>
      <c r="J70" s="10"/>
      <c r="K70" s="44"/>
      <c r="L70" s="158" t="str">
        <f>IF(C70="","",IF(M70="--",M70,VLOOKUP(M70,'Draft SK'!AF:AI,3,FALSE)))</f>
        <v/>
      </c>
      <c r="M70" s="159" t="str">
        <f>IF(C70="","",IF(B70="","--",IFERROR(VLOOKUP("1GPTT"&amp;B70,'Draft SK'!AD:AF,3,FALSE),VLOOKUP("1UMUM"&amp;B70,'Draft SK'!AD:AF,3,FALSE))))</f>
        <v/>
      </c>
      <c r="N70" s="158" t="str">
        <f>IF(C70="","",IF(M70="--","--",VLOOKUP(M70,'Draft SK'!AF:AI,2,FALSE)))</f>
        <v/>
      </c>
      <c r="O70" s="160" t="str">
        <f>IF(C70="","",IFERROR(VLOOKUP("1GPTY"&amp;B70,'Draft SK'!AD:AF,3,FALSE),"--"))</f>
        <v/>
      </c>
      <c r="P70" s="161" t="str">
        <f>IF(C70="","",IF(O70="--","--",VLOOKUP(O70,'Draft SK'!AF:AI,2,FALSE)))</f>
        <v/>
      </c>
      <c r="Q70" s="162" t="str">
        <f>IF(C70="","",IFERROR(IFERROR(VLOOKUP("1GPTY"&amp;B70,'Draft SK'!AB:AG,5,FALSE),VLOOKUP("1GPTT"&amp;B70,'Draft SK'!AB:AG,5,FALSE)),"--"))</f>
        <v/>
      </c>
      <c r="R70" s="162" t="str">
        <f>IF(C70="","",IF(Q70="--","--",VLOOKUP(Q70,'Draft SK'!AF:AI,2,FALSE)))</f>
        <v/>
      </c>
      <c r="S70" s="11"/>
      <c r="T70" s="6"/>
      <c r="U70" s="42"/>
      <c r="V70" s="6"/>
      <c r="W70" s="83" t="str">
        <f t="shared" si="2"/>
        <v/>
      </c>
      <c r="X70" s="163" t="str">
        <f t="shared" si="3"/>
        <v/>
      </c>
      <c r="Z70" s="37" t="str">
        <f t="shared" ref="Z70:Z86" si="5">IF(K70="","",IF(OR(K70="Aktif",K70="Cuti"),"A","B"))</f>
        <v/>
      </c>
      <c r="AA70" s="37" t="str">
        <f>Z70&amp;COUNTIFS(Z$6:Z70,Z70)</f>
        <v>52</v>
      </c>
      <c r="AB70" s="37">
        <f>COUNTIFS(AA$6:AA70,AA70)</f>
        <v>1</v>
      </c>
    </row>
    <row r="71" spans="1:28" ht="15.5" x14ac:dyDescent="0.35">
      <c r="A71" t="str">
        <f t="shared" ref="A71:A101" si="6">AA71</f>
        <v>53</v>
      </c>
      <c r="B71" s="9">
        <v>66</v>
      </c>
      <c r="C71" s="8"/>
      <c r="D71" s="13"/>
      <c r="E71" s="10"/>
      <c r="F71" s="10"/>
      <c r="G71" s="8"/>
      <c r="H71" s="8"/>
      <c r="I71" s="12"/>
      <c r="J71" s="10"/>
      <c r="K71" s="44"/>
      <c r="L71" s="158" t="str">
        <f>IF(C71="","",IF(M71="--",M71,VLOOKUP(M71,'Draft SK'!AF:AI,3,FALSE)))</f>
        <v/>
      </c>
      <c r="M71" s="159" t="str">
        <f>IF(C71="","",IF(B71="","--",IFERROR(VLOOKUP("1GPTT"&amp;B71,'Draft SK'!AD:AF,3,FALSE),VLOOKUP("1UMUM"&amp;B71,'Draft SK'!AD:AF,3,FALSE))))</f>
        <v/>
      </c>
      <c r="N71" s="158" t="str">
        <f>IF(C71="","",IF(M71="--","--",VLOOKUP(M71,'Draft SK'!AF:AI,2,FALSE)))</f>
        <v/>
      </c>
      <c r="O71" s="160" t="str">
        <f>IF(C71="","",IFERROR(VLOOKUP("1GPTY"&amp;B71,'Draft SK'!AD:AF,3,FALSE),"--"))</f>
        <v/>
      </c>
      <c r="P71" s="161" t="str">
        <f>IF(C71="","",IF(O71="--","--",VLOOKUP(O71,'Draft SK'!AF:AI,2,FALSE)))</f>
        <v/>
      </c>
      <c r="Q71" s="162" t="str">
        <f>IF(C71="","",IFERROR(IFERROR(VLOOKUP("1GPTY"&amp;B71,'Draft SK'!AB:AG,5,FALSE),VLOOKUP("1GPTT"&amp;B71,'Draft SK'!AB:AG,5,FALSE)),"--"))</f>
        <v/>
      </c>
      <c r="R71" s="162" t="str">
        <f>IF(C71="","",IF(Q71="--","--",VLOOKUP(Q71,'Draft SK'!AF:AI,2,FALSE)))</f>
        <v/>
      </c>
      <c r="S71" s="11"/>
      <c r="T71" s="12"/>
      <c r="U71" s="42"/>
      <c r="V71" s="6"/>
      <c r="W71" s="83" t="str">
        <f t="shared" ref="W71:W105" si="7">IF(C71="","",LEFT(G71,FIND("#",SUBSTITUTE(G71,",","#",1))-1))</f>
        <v/>
      </c>
      <c r="X71" s="163" t="str">
        <f t="shared" ref="X71:X105" si="8">IF(C71="","",TRIM(MID(G71,FIND("#",SUBSTITUTE(G71,",","#",1))+1,255)))</f>
        <v/>
      </c>
      <c r="Z71" s="37" t="str">
        <f t="shared" si="5"/>
        <v/>
      </c>
      <c r="AA71" s="37" t="str">
        <f>Z71&amp;COUNTIFS(Z$6:Z71,Z71)</f>
        <v>53</v>
      </c>
      <c r="AB71" s="37">
        <f>COUNTIFS(AA$6:AA71,AA71)</f>
        <v>1</v>
      </c>
    </row>
    <row r="72" spans="1:28" ht="15.5" x14ac:dyDescent="0.35">
      <c r="A72" t="str">
        <f t="shared" si="6"/>
        <v>54</v>
      </c>
      <c r="B72" s="9">
        <v>67</v>
      </c>
      <c r="C72" s="8"/>
      <c r="D72" s="13"/>
      <c r="E72" s="10"/>
      <c r="F72" s="10"/>
      <c r="G72" s="8"/>
      <c r="H72" s="8"/>
      <c r="I72" s="12"/>
      <c r="J72" s="10"/>
      <c r="K72" s="44"/>
      <c r="L72" s="158" t="str">
        <f>IF(C72="","",IF(M72="--",M72,VLOOKUP(M72,'Draft SK'!AF:AI,3,FALSE)))</f>
        <v/>
      </c>
      <c r="M72" s="159" t="str">
        <f>IF(C72="","",IF(B72="","--",IFERROR(VLOOKUP("1GPTT"&amp;B72,'Draft SK'!AD:AF,3,FALSE),VLOOKUP("1UMUM"&amp;B72,'Draft SK'!AD:AF,3,FALSE))))</f>
        <v/>
      </c>
      <c r="N72" s="158" t="str">
        <f>IF(C72="","",IF(M72="--","--",VLOOKUP(M72,'Draft SK'!AF:AI,2,FALSE)))</f>
        <v/>
      </c>
      <c r="O72" s="160" t="str">
        <f>IF(C72="","",IFERROR(VLOOKUP("1GPTY"&amp;B72,'Draft SK'!AD:AF,3,FALSE),"--"))</f>
        <v/>
      </c>
      <c r="P72" s="161" t="str">
        <f>IF(C72="","",IF(O72="--","--",VLOOKUP(O72,'Draft SK'!AF:AI,2,FALSE)))</f>
        <v/>
      </c>
      <c r="Q72" s="162" t="str">
        <f>IF(C72="","",IFERROR(IFERROR(VLOOKUP("1GPTY"&amp;B72,'Draft SK'!AB:AG,5,FALSE),VLOOKUP("1GPTT"&amp;B72,'Draft SK'!AB:AG,5,FALSE)),"--"))</f>
        <v/>
      </c>
      <c r="R72" s="162" t="str">
        <f>IF(C72="","",IF(Q72="--","--",VLOOKUP(Q72,'Draft SK'!AF:AI,2,FALSE)))</f>
        <v/>
      </c>
      <c r="S72" s="11"/>
      <c r="T72" s="12"/>
      <c r="U72" s="42"/>
      <c r="V72" s="6"/>
      <c r="W72" s="83" t="str">
        <f t="shared" si="7"/>
        <v/>
      </c>
      <c r="X72" s="163" t="str">
        <f t="shared" si="8"/>
        <v/>
      </c>
      <c r="Z72" s="37" t="str">
        <f t="shared" si="5"/>
        <v/>
      </c>
      <c r="AA72" s="37" t="str">
        <f>Z72&amp;COUNTIFS(Z$6:Z72,Z72)</f>
        <v>54</v>
      </c>
      <c r="AB72" s="37">
        <f>COUNTIFS(AA$6:AA72,AA72)</f>
        <v>1</v>
      </c>
    </row>
    <row r="73" spans="1:28" ht="15.5" x14ac:dyDescent="0.35">
      <c r="A73" t="str">
        <f t="shared" si="6"/>
        <v>55</v>
      </c>
      <c r="B73" s="9">
        <v>68</v>
      </c>
      <c r="C73" s="8"/>
      <c r="D73" s="13"/>
      <c r="E73" s="10"/>
      <c r="F73" s="10"/>
      <c r="G73" s="8"/>
      <c r="H73" s="8"/>
      <c r="I73" s="8"/>
      <c r="J73" s="10"/>
      <c r="K73" s="44"/>
      <c r="L73" s="158" t="str">
        <f>IF(C73="","",IF(M73="--",M73,VLOOKUP(M73,'Draft SK'!AF:AI,3,FALSE)))</f>
        <v/>
      </c>
      <c r="M73" s="159" t="str">
        <f>IF(C73="","",IF(B73="","--",IFERROR(VLOOKUP("1GPTT"&amp;B73,'Draft SK'!AD:AF,3,FALSE),VLOOKUP("1UMUM"&amp;B73,'Draft SK'!AD:AF,3,FALSE))))</f>
        <v/>
      </c>
      <c r="N73" s="158" t="str">
        <f>IF(C73="","",IF(M73="--","--",VLOOKUP(M73,'Draft SK'!AF:AI,2,FALSE)))</f>
        <v/>
      </c>
      <c r="O73" s="160" t="str">
        <f>IF(C73="","",IFERROR(VLOOKUP("1GPTY"&amp;B73,'Draft SK'!AD:AF,3,FALSE),"--"))</f>
        <v/>
      </c>
      <c r="P73" s="161" t="str">
        <f>IF(C73="","",IF(O73="--","--",VLOOKUP(O73,'Draft SK'!AF:AI,2,FALSE)))</f>
        <v/>
      </c>
      <c r="Q73" s="162" t="str">
        <f>IF(C73="","",IFERROR(IFERROR(VLOOKUP("1GPTY"&amp;B73,'Draft SK'!AB:AG,5,FALSE),VLOOKUP("1GPTT"&amp;B73,'Draft SK'!AB:AG,5,FALSE)),"--"))</f>
        <v/>
      </c>
      <c r="R73" s="162" t="str">
        <f>IF(C73="","",IF(Q73="--","--",VLOOKUP(Q73,'Draft SK'!AF:AI,2,FALSE)))</f>
        <v/>
      </c>
      <c r="S73" s="11"/>
      <c r="T73" s="12"/>
      <c r="U73" s="42"/>
      <c r="V73" s="6"/>
      <c r="W73" s="83" t="str">
        <f t="shared" si="7"/>
        <v/>
      </c>
      <c r="X73" s="163" t="str">
        <f t="shared" si="8"/>
        <v/>
      </c>
      <c r="Z73" s="37" t="str">
        <f t="shared" si="5"/>
        <v/>
      </c>
      <c r="AA73" s="37" t="str">
        <f>Z73&amp;COUNTIFS(Z$6:Z73,Z73)</f>
        <v>55</v>
      </c>
      <c r="AB73" s="37">
        <f>COUNTIFS(AA$6:AA73,AA73)</f>
        <v>1</v>
      </c>
    </row>
    <row r="74" spans="1:28" ht="15.5" x14ac:dyDescent="0.35">
      <c r="A74" t="str">
        <f t="shared" si="6"/>
        <v>56</v>
      </c>
      <c r="B74" s="9">
        <v>69</v>
      </c>
      <c r="C74" s="8"/>
      <c r="D74" s="13"/>
      <c r="E74" s="10"/>
      <c r="F74" s="10"/>
      <c r="G74" s="8"/>
      <c r="H74" s="8"/>
      <c r="I74" s="8"/>
      <c r="J74" s="10"/>
      <c r="K74" s="44"/>
      <c r="L74" s="158" t="str">
        <f>IF(C74="","",IF(M74="--",M74,VLOOKUP(M74,'Draft SK'!AF:AI,3,FALSE)))</f>
        <v/>
      </c>
      <c r="M74" s="159" t="str">
        <f>IF(C74="","",IF(B74="","--",IFERROR(VLOOKUP("1GPTT"&amp;B74,'Draft SK'!AD:AF,3,FALSE),VLOOKUP("1UMUM"&amp;B74,'Draft SK'!AD:AF,3,FALSE))))</f>
        <v/>
      </c>
      <c r="N74" s="158" t="str">
        <f>IF(C74="","",IF(M74="--","--",VLOOKUP(M74,'Draft SK'!AF:AI,2,FALSE)))</f>
        <v/>
      </c>
      <c r="O74" s="160" t="str">
        <f>IF(C74="","",IFERROR(VLOOKUP("1GPTY"&amp;B74,'Draft SK'!AD:AF,3,FALSE),"--"))</f>
        <v/>
      </c>
      <c r="P74" s="161" t="str">
        <f>IF(C74="","",IF(O74="--","--",VLOOKUP(O74,'Draft SK'!AF:AI,2,FALSE)))</f>
        <v/>
      </c>
      <c r="Q74" s="162" t="str">
        <f>IF(C74="","",IFERROR(IFERROR(VLOOKUP("1GPTY"&amp;B74,'Draft SK'!AB:AG,5,FALSE),VLOOKUP("1GPTT"&amp;B74,'Draft SK'!AB:AG,5,FALSE)),"--"))</f>
        <v/>
      </c>
      <c r="R74" s="162" t="str">
        <f>IF(C74="","",IF(Q74="--","--",VLOOKUP(Q74,'Draft SK'!AF:AI,2,FALSE)))</f>
        <v/>
      </c>
      <c r="S74" s="11"/>
      <c r="T74" s="13"/>
      <c r="U74" s="42"/>
      <c r="V74" s="6"/>
      <c r="W74" s="83" t="str">
        <f t="shared" si="7"/>
        <v/>
      </c>
      <c r="X74" s="163" t="str">
        <f t="shared" si="8"/>
        <v/>
      </c>
      <c r="Z74" s="37" t="str">
        <f t="shared" si="5"/>
        <v/>
      </c>
      <c r="AA74" s="37" t="str">
        <f>Z74&amp;COUNTIFS(Z$6:Z74,Z74)</f>
        <v>56</v>
      </c>
      <c r="AB74" s="37">
        <f>COUNTIFS(AA$6:AA74,AA74)</f>
        <v>1</v>
      </c>
    </row>
    <row r="75" spans="1:28" ht="15.5" x14ac:dyDescent="0.35">
      <c r="A75" t="str">
        <f t="shared" si="6"/>
        <v>57</v>
      </c>
      <c r="B75" s="9">
        <v>70</v>
      </c>
      <c r="C75" s="8"/>
      <c r="D75" s="13"/>
      <c r="E75" s="10"/>
      <c r="F75" s="10"/>
      <c r="G75" s="8"/>
      <c r="H75" s="8"/>
      <c r="I75" s="8"/>
      <c r="J75" s="10"/>
      <c r="K75" s="44"/>
      <c r="L75" s="158" t="str">
        <f>IF(C75="","",IF(M75="--",M75,VLOOKUP(M75,'Draft SK'!AF:AI,3,FALSE)))</f>
        <v/>
      </c>
      <c r="M75" s="159" t="str">
        <f>IF(C75="","",IF(B75="","--",IFERROR(VLOOKUP("1GPTT"&amp;B75,'Draft SK'!AD:AF,3,FALSE),VLOOKUP("1UMUM"&amp;B75,'Draft SK'!AD:AF,3,FALSE))))</f>
        <v/>
      </c>
      <c r="N75" s="158" t="str">
        <f>IF(C75="","",IF(M75="--","--",VLOOKUP(M75,'Draft SK'!AF:AI,2,FALSE)))</f>
        <v/>
      </c>
      <c r="O75" s="160" t="str">
        <f>IF(C75="","",IFERROR(VLOOKUP("1GPTY"&amp;B75,'Draft SK'!AD:AF,3,FALSE),"--"))</f>
        <v/>
      </c>
      <c r="P75" s="161" t="str">
        <f>IF(C75="","",IF(O75="--","--",VLOOKUP(O75,'Draft SK'!AF:AI,2,FALSE)))</f>
        <v/>
      </c>
      <c r="Q75" s="162" t="str">
        <f>IF(C75="","",IFERROR(IFERROR(VLOOKUP("1GPTY"&amp;B75,'Draft SK'!AB:AG,5,FALSE),VLOOKUP("1GPTT"&amp;B75,'Draft SK'!AB:AG,5,FALSE)),"--"))</f>
        <v/>
      </c>
      <c r="R75" s="162" t="str">
        <f>IF(C75="","",IF(Q75="--","--",VLOOKUP(Q75,'Draft SK'!AF:AI,2,FALSE)))</f>
        <v/>
      </c>
      <c r="S75" s="15"/>
      <c r="T75" s="15"/>
      <c r="U75" s="42"/>
      <c r="V75" s="6"/>
      <c r="W75" s="83" t="str">
        <f t="shared" si="7"/>
        <v/>
      </c>
      <c r="X75" s="163" t="str">
        <f t="shared" si="8"/>
        <v/>
      </c>
      <c r="Z75" s="37" t="str">
        <f t="shared" si="5"/>
        <v/>
      </c>
      <c r="AA75" s="37" t="str">
        <f>Z75&amp;COUNTIFS(Z$6:Z75,Z75)</f>
        <v>57</v>
      </c>
      <c r="AB75" s="37">
        <f>COUNTIFS(AA$6:AA75,AA75)</f>
        <v>1</v>
      </c>
    </row>
    <row r="76" spans="1:28" ht="15.5" x14ac:dyDescent="0.35">
      <c r="A76" t="str">
        <f t="shared" si="6"/>
        <v>58</v>
      </c>
      <c r="B76" s="9">
        <v>71</v>
      </c>
      <c r="C76" s="8"/>
      <c r="D76" s="13"/>
      <c r="E76" s="10"/>
      <c r="F76" s="10"/>
      <c r="G76" s="8"/>
      <c r="H76" s="8"/>
      <c r="I76" s="8"/>
      <c r="J76" s="10"/>
      <c r="K76" s="44"/>
      <c r="L76" s="158" t="str">
        <f>IF(C76="","",IF(M76="--",M76,VLOOKUP(M76,'Draft SK'!AF:AI,3,FALSE)))</f>
        <v/>
      </c>
      <c r="M76" s="159" t="str">
        <f>IF(C76="","",IF(B76="","--",IFERROR(VLOOKUP("1GPTT"&amp;B76,'Draft SK'!AD:AF,3,FALSE),VLOOKUP("1UMUM"&amp;B76,'Draft SK'!AD:AF,3,FALSE))))</f>
        <v/>
      </c>
      <c r="N76" s="158" t="str">
        <f>IF(C76="","",IF(M76="--","--",VLOOKUP(M76,'Draft SK'!AF:AI,2,FALSE)))</f>
        <v/>
      </c>
      <c r="O76" s="160" t="str">
        <f>IF(C76="","",IFERROR(VLOOKUP("1GPTY"&amp;B76,'Draft SK'!AD:AF,3,FALSE),"--"))</f>
        <v/>
      </c>
      <c r="P76" s="161" t="str">
        <f>IF(C76="","",IF(O76="--","--",VLOOKUP(O76,'Draft SK'!AF:AI,2,FALSE)))</f>
        <v/>
      </c>
      <c r="Q76" s="162" t="str">
        <f>IF(C76="","",IFERROR(IFERROR(VLOOKUP("1GPTY"&amp;B76,'Draft SK'!AB:AG,5,FALSE),VLOOKUP("1GPTT"&amp;B76,'Draft SK'!AB:AG,5,FALSE)),"--"))</f>
        <v/>
      </c>
      <c r="R76" s="162" t="str">
        <f>IF(C76="","",IF(Q76="--","--",VLOOKUP(Q76,'Draft SK'!AF:AI,2,FALSE)))</f>
        <v/>
      </c>
      <c r="S76" s="15"/>
      <c r="T76" s="15"/>
      <c r="U76" s="42"/>
      <c r="V76" s="6"/>
      <c r="W76" s="83" t="str">
        <f t="shared" si="7"/>
        <v/>
      </c>
      <c r="X76" s="163" t="str">
        <f t="shared" si="8"/>
        <v/>
      </c>
      <c r="Z76" s="37" t="str">
        <f t="shared" si="5"/>
        <v/>
      </c>
      <c r="AA76" s="37" t="str">
        <f>Z76&amp;COUNTIFS(Z$6:Z76,Z76)</f>
        <v>58</v>
      </c>
      <c r="AB76" s="37">
        <f>COUNTIFS(AA$6:AA76,AA76)</f>
        <v>1</v>
      </c>
    </row>
    <row r="77" spans="1:28" ht="15.5" x14ac:dyDescent="0.35">
      <c r="A77" t="str">
        <f t="shared" si="6"/>
        <v>59</v>
      </c>
      <c r="B77" s="9">
        <v>72</v>
      </c>
      <c r="C77" s="8"/>
      <c r="D77" s="13"/>
      <c r="E77" s="10"/>
      <c r="F77" s="13"/>
      <c r="G77" s="8"/>
      <c r="H77" s="8"/>
      <c r="I77" s="12"/>
      <c r="J77" s="10"/>
      <c r="K77" s="44"/>
      <c r="L77" s="158" t="str">
        <f>IF(C77="","",IF(M77="--",M77,VLOOKUP(M77,'Draft SK'!AF:AI,3,FALSE)))</f>
        <v/>
      </c>
      <c r="M77" s="159" t="str">
        <f>IF(C77="","",IF(B77="","--",IFERROR(VLOOKUP("1GPTT"&amp;B77,'Draft SK'!AD:AF,3,FALSE),VLOOKUP("1UMUM"&amp;B77,'Draft SK'!AD:AF,3,FALSE))))</f>
        <v/>
      </c>
      <c r="N77" s="158" t="str">
        <f>IF(C77="","",IF(M77="--","--",VLOOKUP(M77,'Draft SK'!AF:AI,2,FALSE)))</f>
        <v/>
      </c>
      <c r="O77" s="160" t="str">
        <f>IF(C77="","",IFERROR(VLOOKUP("1GPTY"&amp;B77,'Draft SK'!AD:AF,3,FALSE),"--"))</f>
        <v/>
      </c>
      <c r="P77" s="161" t="str">
        <f>IF(C77="","",IF(O77="--","--",VLOOKUP(O77,'Draft SK'!AF:AI,2,FALSE)))</f>
        <v/>
      </c>
      <c r="Q77" s="162" t="str">
        <f>IF(C77="","",IFERROR(IFERROR(VLOOKUP("1GPTY"&amp;B77,'Draft SK'!AB:AG,5,FALSE),VLOOKUP("1GPTT"&amp;B77,'Draft SK'!AB:AG,5,FALSE)),"--"))</f>
        <v/>
      </c>
      <c r="R77" s="162" t="str">
        <f>IF(C77="","",IF(Q77="--","--",VLOOKUP(Q77,'Draft SK'!AF:AI,2,FALSE)))</f>
        <v/>
      </c>
      <c r="S77" s="15"/>
      <c r="T77" s="15"/>
      <c r="U77" s="42"/>
      <c r="V77" s="6"/>
      <c r="W77" s="83" t="str">
        <f t="shared" si="7"/>
        <v/>
      </c>
      <c r="X77" s="163" t="str">
        <f t="shared" si="8"/>
        <v/>
      </c>
      <c r="Z77" s="37" t="str">
        <f t="shared" si="5"/>
        <v/>
      </c>
      <c r="AA77" s="37" t="str">
        <f>Z77&amp;COUNTIFS(Z$6:Z77,Z77)</f>
        <v>59</v>
      </c>
      <c r="AB77" s="37">
        <f>COUNTIFS(AA$6:AA77,AA77)</f>
        <v>1</v>
      </c>
    </row>
    <row r="78" spans="1:28" ht="15.5" x14ac:dyDescent="0.35">
      <c r="A78" t="str">
        <f t="shared" si="6"/>
        <v>60</v>
      </c>
      <c r="B78" s="9">
        <v>73</v>
      </c>
      <c r="C78" s="8"/>
      <c r="D78" s="13"/>
      <c r="E78" s="10"/>
      <c r="F78" s="13"/>
      <c r="G78" s="8"/>
      <c r="H78" s="8"/>
      <c r="I78" s="12"/>
      <c r="J78" s="10"/>
      <c r="K78" s="44"/>
      <c r="L78" s="158" t="str">
        <f>IF(C78="","",IF(M78="--",M78,VLOOKUP(M78,'Draft SK'!AF:AI,3,FALSE)))</f>
        <v/>
      </c>
      <c r="M78" s="159" t="str">
        <f>IF(C78="","",IF(B78="","--",IFERROR(VLOOKUP("1GPTT"&amp;B78,'Draft SK'!AD:AF,3,FALSE),VLOOKUP("1UMUM"&amp;B78,'Draft SK'!AD:AF,3,FALSE))))</f>
        <v/>
      </c>
      <c r="N78" s="158" t="str">
        <f>IF(C78="","",IF(M78="--","--",VLOOKUP(M78,'Draft SK'!AF:AI,2,FALSE)))</f>
        <v/>
      </c>
      <c r="O78" s="160" t="str">
        <f>IF(C78="","",IFERROR(VLOOKUP("1GPTY"&amp;B78,'Draft SK'!AD:AF,3,FALSE),"--"))</f>
        <v/>
      </c>
      <c r="P78" s="161" t="str">
        <f>IF(C78="","",IF(O78="--","--",VLOOKUP(O78,'Draft SK'!AF:AI,2,FALSE)))</f>
        <v/>
      </c>
      <c r="Q78" s="162" t="str">
        <f>IF(C78="","",IFERROR(IFERROR(VLOOKUP("1GPTY"&amp;B78,'Draft SK'!AB:AG,5,FALSE),VLOOKUP("1GPTT"&amp;B78,'Draft SK'!AB:AG,5,FALSE)),"--"))</f>
        <v/>
      </c>
      <c r="R78" s="162" t="str">
        <f>IF(C78="","",IF(Q78="--","--",VLOOKUP(Q78,'Draft SK'!AF:AI,2,FALSE)))</f>
        <v/>
      </c>
      <c r="S78" s="15"/>
      <c r="T78" s="15"/>
      <c r="U78" s="42"/>
      <c r="V78" s="6"/>
      <c r="W78" s="83" t="str">
        <f t="shared" si="7"/>
        <v/>
      </c>
      <c r="X78" s="163" t="str">
        <f t="shared" si="8"/>
        <v/>
      </c>
      <c r="Z78" s="37" t="str">
        <f t="shared" si="5"/>
        <v/>
      </c>
      <c r="AA78" s="37" t="str">
        <f>Z78&amp;COUNTIFS(Z$6:Z78,Z78)</f>
        <v>60</v>
      </c>
      <c r="AB78" s="37">
        <f>COUNTIFS(AA$6:AA78,AA78)</f>
        <v>1</v>
      </c>
    </row>
    <row r="79" spans="1:28" ht="15.5" x14ac:dyDescent="0.35">
      <c r="A79" t="str">
        <f t="shared" si="6"/>
        <v>61</v>
      </c>
      <c r="B79" s="9">
        <v>74</v>
      </c>
      <c r="C79" s="8"/>
      <c r="D79" s="13"/>
      <c r="E79" s="10"/>
      <c r="F79" s="13"/>
      <c r="G79" s="8"/>
      <c r="H79" s="8"/>
      <c r="I79" s="12"/>
      <c r="J79" s="10"/>
      <c r="K79" s="44"/>
      <c r="L79" s="158" t="str">
        <f>IF(C79="","",IF(M79="--",M79,VLOOKUP(M79,'Draft SK'!AF:AI,3,FALSE)))</f>
        <v/>
      </c>
      <c r="M79" s="159" t="str">
        <f>IF(C79="","",IF(B79="","--",IFERROR(VLOOKUP("1GPTT"&amp;B79,'Draft SK'!AD:AF,3,FALSE),VLOOKUP("1UMUM"&amp;B79,'Draft SK'!AD:AF,3,FALSE))))</f>
        <v/>
      </c>
      <c r="N79" s="158" t="str">
        <f>IF(C79="","",IF(M79="--","--",VLOOKUP(M79,'Draft SK'!AF:AI,2,FALSE)))</f>
        <v/>
      </c>
      <c r="O79" s="160" t="str">
        <f>IF(C79="","",IFERROR(VLOOKUP("1GPTY"&amp;B79,'Draft SK'!AD:AF,3,FALSE),"--"))</f>
        <v/>
      </c>
      <c r="P79" s="161" t="str">
        <f>IF(C79="","",IF(O79="--","--",VLOOKUP(O79,'Draft SK'!AF:AI,2,FALSE)))</f>
        <v/>
      </c>
      <c r="Q79" s="162" t="str">
        <f>IF(C79="","",IFERROR(IFERROR(VLOOKUP("1GPTY"&amp;B79,'Draft SK'!AB:AG,5,FALSE),VLOOKUP("1GPTT"&amp;B79,'Draft SK'!AB:AG,5,FALSE)),"--"))</f>
        <v/>
      </c>
      <c r="R79" s="162" t="str">
        <f>IF(C79="","",IF(Q79="--","--",VLOOKUP(Q79,'Draft SK'!AF:AI,2,FALSE)))</f>
        <v/>
      </c>
      <c r="S79" s="15"/>
      <c r="T79" s="15"/>
      <c r="U79" s="42"/>
      <c r="V79" s="6"/>
      <c r="W79" s="83" t="str">
        <f t="shared" si="7"/>
        <v/>
      </c>
      <c r="X79" s="163" t="str">
        <f t="shared" si="8"/>
        <v/>
      </c>
      <c r="Z79" s="37" t="str">
        <f t="shared" si="5"/>
        <v/>
      </c>
      <c r="AA79" s="37" t="str">
        <f>Z79&amp;COUNTIFS(Z$6:Z79,Z79)</f>
        <v>61</v>
      </c>
      <c r="AB79" s="37">
        <f>COUNTIFS(AA$6:AA79,AA79)</f>
        <v>1</v>
      </c>
    </row>
    <row r="80" spans="1:28" ht="15.5" x14ac:dyDescent="0.35">
      <c r="A80" t="str">
        <f t="shared" si="6"/>
        <v>62</v>
      </c>
      <c r="B80" s="9">
        <v>75</v>
      </c>
      <c r="C80" s="8"/>
      <c r="D80" s="13"/>
      <c r="E80" s="10"/>
      <c r="F80" s="13"/>
      <c r="G80" s="8"/>
      <c r="H80" s="8"/>
      <c r="I80" s="8"/>
      <c r="J80" s="10"/>
      <c r="K80" s="44"/>
      <c r="L80" s="158" t="str">
        <f>IF(C80="","",IF(M80="--",M80,VLOOKUP(M80,'Draft SK'!AF:AI,3,FALSE)))</f>
        <v/>
      </c>
      <c r="M80" s="159" t="str">
        <f>IF(C80="","",IF(B80="","--",IFERROR(VLOOKUP("1GPTT"&amp;B80,'Draft SK'!AD:AF,3,FALSE),VLOOKUP("1UMUM"&amp;B80,'Draft SK'!AD:AF,3,FALSE))))</f>
        <v/>
      </c>
      <c r="N80" s="158" t="str">
        <f>IF(C80="","",IF(M80="--","--",VLOOKUP(M80,'Draft SK'!AF:AI,2,FALSE)))</f>
        <v/>
      </c>
      <c r="O80" s="160" t="str">
        <f>IF(C80="","",IFERROR(VLOOKUP("1GPTY"&amp;B80,'Draft SK'!AD:AF,3,FALSE),"--"))</f>
        <v/>
      </c>
      <c r="P80" s="161" t="str">
        <f>IF(C80="","",IF(O80="--","--",VLOOKUP(O80,'Draft SK'!AF:AI,2,FALSE)))</f>
        <v/>
      </c>
      <c r="Q80" s="162" t="str">
        <f>IF(C80="","",IFERROR(IFERROR(VLOOKUP("1GPTY"&amp;B80,'Draft SK'!AB:AG,5,FALSE),VLOOKUP("1GPTT"&amp;B80,'Draft SK'!AB:AG,5,FALSE)),"--"))</f>
        <v/>
      </c>
      <c r="R80" s="162" t="str">
        <f>IF(C80="","",IF(Q80="--","--",VLOOKUP(Q80,'Draft SK'!AF:AI,2,FALSE)))</f>
        <v/>
      </c>
      <c r="S80" s="15"/>
      <c r="T80" s="15"/>
      <c r="U80" s="42"/>
      <c r="V80" s="6"/>
      <c r="W80" s="83" t="str">
        <f t="shared" si="7"/>
        <v/>
      </c>
      <c r="X80" s="163" t="str">
        <f t="shared" si="8"/>
        <v/>
      </c>
      <c r="Z80" s="37" t="str">
        <f t="shared" si="5"/>
        <v/>
      </c>
      <c r="AA80" s="37" t="str">
        <f>Z80&amp;COUNTIFS(Z$6:Z80,Z80)</f>
        <v>62</v>
      </c>
      <c r="AB80" s="37">
        <f>COUNTIFS(AA$6:AA80,AA80)</f>
        <v>1</v>
      </c>
    </row>
    <row r="81" spans="1:28" ht="15.5" x14ac:dyDescent="0.35">
      <c r="A81" t="str">
        <f t="shared" si="6"/>
        <v>63</v>
      </c>
      <c r="B81" s="9">
        <v>76</v>
      </c>
      <c r="C81" s="8"/>
      <c r="D81" s="13"/>
      <c r="E81" s="10"/>
      <c r="F81" s="13"/>
      <c r="G81" s="8"/>
      <c r="H81" s="8"/>
      <c r="I81" s="12"/>
      <c r="J81" s="10"/>
      <c r="K81" s="44"/>
      <c r="L81" s="158" t="str">
        <f>IF(C81="","",IF(M81="--",M81,VLOOKUP(M81,'Draft SK'!AF:AI,3,FALSE)))</f>
        <v/>
      </c>
      <c r="M81" s="159" t="str">
        <f>IF(C81="","",IF(B81="","--",IFERROR(VLOOKUP("1GPTT"&amp;B81,'Draft SK'!AD:AF,3,FALSE),VLOOKUP("1UMUM"&amp;B81,'Draft SK'!AD:AF,3,FALSE))))</f>
        <v/>
      </c>
      <c r="N81" s="158" t="str">
        <f>IF(C81="","",IF(M81="--","--",VLOOKUP(M81,'Draft SK'!AF:AI,2,FALSE)))</f>
        <v/>
      </c>
      <c r="O81" s="160" t="str">
        <f>IF(C81="","",IFERROR(VLOOKUP("1GPTY"&amp;B81,'Draft SK'!AD:AF,3,FALSE),"--"))</f>
        <v/>
      </c>
      <c r="P81" s="161" t="str">
        <f>IF(C81="","",IF(O81="--","--",VLOOKUP(O81,'Draft SK'!AF:AI,2,FALSE)))</f>
        <v/>
      </c>
      <c r="Q81" s="162" t="str">
        <f>IF(C81="","",IFERROR(IFERROR(VLOOKUP("1GPTY"&amp;B81,'Draft SK'!AB:AG,5,FALSE),VLOOKUP("1GPTT"&amp;B81,'Draft SK'!AB:AG,5,FALSE)),"--"))</f>
        <v/>
      </c>
      <c r="R81" s="162" t="str">
        <f>IF(C81="","",IF(Q81="--","--",VLOOKUP(Q81,'Draft SK'!AF:AI,2,FALSE)))</f>
        <v/>
      </c>
      <c r="S81" s="15"/>
      <c r="T81" s="15"/>
      <c r="U81" s="42"/>
      <c r="V81" s="6"/>
      <c r="W81" s="83" t="str">
        <f t="shared" si="7"/>
        <v/>
      </c>
      <c r="X81" s="163" t="str">
        <f t="shared" si="8"/>
        <v/>
      </c>
      <c r="Z81" s="37" t="str">
        <f t="shared" si="5"/>
        <v/>
      </c>
      <c r="AA81" s="37" t="str">
        <f>Z81&amp;COUNTIFS(Z$6:Z81,Z81)</f>
        <v>63</v>
      </c>
      <c r="AB81" s="37">
        <f>COUNTIFS(AA$6:AA81,AA81)</f>
        <v>1</v>
      </c>
    </row>
    <row r="82" spans="1:28" ht="15.5" x14ac:dyDescent="0.35">
      <c r="A82" t="str">
        <f t="shared" si="6"/>
        <v>64</v>
      </c>
      <c r="B82" s="9">
        <v>77</v>
      </c>
      <c r="C82" s="8"/>
      <c r="D82" s="13"/>
      <c r="E82" s="10"/>
      <c r="F82" s="13"/>
      <c r="G82" s="8"/>
      <c r="H82" s="8"/>
      <c r="I82" s="12"/>
      <c r="J82" s="10"/>
      <c r="K82" s="44"/>
      <c r="L82" s="158" t="str">
        <f>IF(C82="","",IF(M82="--",M82,VLOOKUP(M82,'Draft SK'!AF:AI,3,FALSE)))</f>
        <v/>
      </c>
      <c r="M82" s="159" t="str">
        <f>IF(C82="","",IF(B82="","--",IFERROR(VLOOKUP("1GPTT"&amp;B82,'Draft SK'!AD:AF,3,FALSE),VLOOKUP("1UMUM"&amp;B82,'Draft SK'!AD:AF,3,FALSE))))</f>
        <v/>
      </c>
      <c r="N82" s="158" t="str">
        <f>IF(C82="","",IF(M82="--","--",VLOOKUP(M82,'Draft SK'!AF:AI,2,FALSE)))</f>
        <v/>
      </c>
      <c r="O82" s="160" t="str">
        <f>IF(C82="","",IFERROR(VLOOKUP("1GPTY"&amp;B82,'Draft SK'!AD:AF,3,FALSE),"--"))</f>
        <v/>
      </c>
      <c r="P82" s="161" t="str">
        <f>IF(C82="","",IF(O82="--","--",VLOOKUP(O82,'Draft SK'!AF:AI,2,FALSE)))</f>
        <v/>
      </c>
      <c r="Q82" s="162" t="str">
        <f>IF(C82="","",IFERROR(IFERROR(VLOOKUP("1GPTY"&amp;B82,'Draft SK'!AB:AG,5,FALSE),VLOOKUP("1GPTT"&amp;B82,'Draft SK'!AB:AG,5,FALSE)),"--"))</f>
        <v/>
      </c>
      <c r="R82" s="162" t="str">
        <f>IF(C82="","",IF(Q82="--","--",VLOOKUP(Q82,'Draft SK'!AF:AI,2,FALSE)))</f>
        <v/>
      </c>
      <c r="S82" s="15"/>
      <c r="T82" s="15"/>
      <c r="U82" s="42"/>
      <c r="V82" s="6"/>
      <c r="W82" s="83" t="str">
        <f t="shared" si="7"/>
        <v/>
      </c>
      <c r="X82" s="163" t="str">
        <f t="shared" si="8"/>
        <v/>
      </c>
      <c r="Z82" s="37" t="str">
        <f t="shared" si="5"/>
        <v/>
      </c>
      <c r="AA82" s="37" t="str">
        <f>Z82&amp;COUNTIFS(Z$6:Z82,Z82)</f>
        <v>64</v>
      </c>
      <c r="AB82" s="37">
        <f>COUNTIFS(AA$6:AA82,AA82)</f>
        <v>1</v>
      </c>
    </row>
    <row r="83" spans="1:28" ht="15.5" x14ac:dyDescent="0.35">
      <c r="A83" t="str">
        <f t="shared" si="6"/>
        <v>65</v>
      </c>
      <c r="B83" s="9">
        <v>78</v>
      </c>
      <c r="C83" s="8"/>
      <c r="D83" s="13"/>
      <c r="E83" s="10"/>
      <c r="F83" s="13"/>
      <c r="G83" s="8"/>
      <c r="H83" s="8"/>
      <c r="I83" s="8"/>
      <c r="J83" s="10"/>
      <c r="K83" s="44"/>
      <c r="L83" s="158" t="str">
        <f>IF(C83="","",IF(M83="--",M83,VLOOKUP(M83,'Draft SK'!AF:AI,3,FALSE)))</f>
        <v/>
      </c>
      <c r="M83" s="159" t="str">
        <f>IF(C83="","",IF(B83="","--",IFERROR(VLOOKUP("1GPTT"&amp;B83,'Draft SK'!AD:AF,3,FALSE),VLOOKUP("1UMUM"&amp;B83,'Draft SK'!AD:AF,3,FALSE))))</f>
        <v/>
      </c>
      <c r="N83" s="158" t="str">
        <f>IF(C83="","",IF(M83="--","--",VLOOKUP(M83,'Draft SK'!AF:AI,2,FALSE)))</f>
        <v/>
      </c>
      <c r="O83" s="160" t="str">
        <f>IF(C83="","",IFERROR(VLOOKUP("1GPTY"&amp;B83,'Draft SK'!AD:AF,3,FALSE),"--"))</f>
        <v/>
      </c>
      <c r="P83" s="161" t="str">
        <f>IF(C83="","",IF(O83="--","--",VLOOKUP(O83,'Draft SK'!AF:AI,2,FALSE)))</f>
        <v/>
      </c>
      <c r="Q83" s="162" t="str">
        <f>IF(C83="","",IFERROR(IFERROR(VLOOKUP("1GPTY"&amp;B83,'Draft SK'!AB:AG,5,FALSE),VLOOKUP("1GPTT"&amp;B83,'Draft SK'!AB:AG,5,FALSE)),"--"))</f>
        <v/>
      </c>
      <c r="R83" s="162" t="str">
        <f>IF(C83="","",IF(Q83="--","--",VLOOKUP(Q83,'Draft SK'!AF:AI,2,FALSE)))</f>
        <v/>
      </c>
      <c r="S83" s="15"/>
      <c r="T83" s="80"/>
      <c r="U83" s="42"/>
      <c r="V83" s="6"/>
      <c r="W83" s="83" t="str">
        <f t="shared" si="7"/>
        <v/>
      </c>
      <c r="X83" s="163" t="str">
        <f t="shared" si="8"/>
        <v/>
      </c>
      <c r="Z83" s="37" t="str">
        <f t="shared" si="5"/>
        <v/>
      </c>
      <c r="AA83" s="37" t="str">
        <f>Z83&amp;COUNTIFS(Z$6:Z83,Z83)</f>
        <v>65</v>
      </c>
      <c r="AB83" s="37">
        <f>COUNTIFS(AA$6:AA83,AA83)</f>
        <v>1</v>
      </c>
    </row>
    <row r="84" spans="1:28" ht="15.5" x14ac:dyDescent="0.35">
      <c r="A84" t="str">
        <f t="shared" si="6"/>
        <v>66</v>
      </c>
      <c r="B84" s="9">
        <v>79</v>
      </c>
      <c r="C84" s="8"/>
      <c r="D84" s="13"/>
      <c r="E84" s="10"/>
      <c r="F84" s="13"/>
      <c r="G84" s="8"/>
      <c r="H84" s="8"/>
      <c r="I84" s="8"/>
      <c r="J84" s="10"/>
      <c r="K84" s="44"/>
      <c r="L84" s="158" t="str">
        <f>IF(C84="","",IF(M84="--",M84,VLOOKUP(M84,'Draft SK'!AF:AI,3,FALSE)))</f>
        <v/>
      </c>
      <c r="M84" s="159" t="str">
        <f>IF(C84="","",IF(B84="","--",IFERROR(VLOOKUP("1GPTT"&amp;B84,'Draft SK'!AD:AF,3,FALSE),VLOOKUP("1UMUM"&amp;B84,'Draft SK'!AD:AF,3,FALSE))))</f>
        <v/>
      </c>
      <c r="N84" s="158" t="str">
        <f>IF(C84="","",IF(M84="--","--",VLOOKUP(M84,'Draft SK'!AF:AI,2,FALSE)))</f>
        <v/>
      </c>
      <c r="O84" s="160" t="str">
        <f>IF(C84="","",IFERROR(VLOOKUP("1GPTY"&amp;B84,'Draft SK'!AD:AF,3,FALSE),"--"))</f>
        <v/>
      </c>
      <c r="P84" s="161" t="str">
        <f>IF(C84="","",IF(O84="--","--",VLOOKUP(O84,'Draft SK'!AF:AI,2,FALSE)))</f>
        <v/>
      </c>
      <c r="Q84" s="162" t="str">
        <f>IF(C84="","",IFERROR(IFERROR(VLOOKUP("1GPTY"&amp;B84,'Draft SK'!AB:AG,5,FALSE),VLOOKUP("1GPTT"&amp;B84,'Draft SK'!AB:AG,5,FALSE)),"--"))</f>
        <v/>
      </c>
      <c r="R84" s="162" t="str">
        <f>IF(C84="","",IF(Q84="--","--",VLOOKUP(Q84,'Draft SK'!AF:AI,2,FALSE)))</f>
        <v/>
      </c>
      <c r="S84" s="15"/>
      <c r="T84" s="15"/>
      <c r="U84" s="42"/>
      <c r="V84" s="6"/>
      <c r="W84" s="83" t="str">
        <f t="shared" si="7"/>
        <v/>
      </c>
      <c r="X84" s="163" t="str">
        <f t="shared" si="8"/>
        <v/>
      </c>
      <c r="Z84" s="37" t="str">
        <f t="shared" si="5"/>
        <v/>
      </c>
      <c r="AA84" s="37" t="str">
        <f>Z84&amp;COUNTIFS(Z$6:Z84,Z84)</f>
        <v>66</v>
      </c>
      <c r="AB84" s="37">
        <f>COUNTIFS(AA$6:AA84,AA84)</f>
        <v>1</v>
      </c>
    </row>
    <row r="85" spans="1:28" ht="15.5" x14ac:dyDescent="0.35">
      <c r="A85" t="str">
        <f t="shared" si="6"/>
        <v>67</v>
      </c>
      <c r="B85" s="9">
        <v>80</v>
      </c>
      <c r="C85" s="8"/>
      <c r="D85" s="13"/>
      <c r="E85" s="10"/>
      <c r="F85" s="13"/>
      <c r="G85" s="8"/>
      <c r="H85" s="8"/>
      <c r="I85" s="8"/>
      <c r="J85" s="10"/>
      <c r="K85" s="44"/>
      <c r="L85" s="158" t="str">
        <f>IF(C85="","",IF(M85="--",M85,VLOOKUP(M85,'Draft SK'!AF:AI,3,FALSE)))</f>
        <v/>
      </c>
      <c r="M85" s="159" t="str">
        <f>IF(C85="","",IF(B85="","--",IFERROR(VLOOKUP("1GPTT"&amp;B85,'Draft SK'!AD:AF,3,FALSE),VLOOKUP("1UMUM"&amp;B85,'Draft SK'!AD:AF,3,FALSE))))</f>
        <v/>
      </c>
      <c r="N85" s="158" t="str">
        <f>IF(C85="","",IF(M85="--","--",VLOOKUP(M85,'Draft SK'!AF:AI,2,FALSE)))</f>
        <v/>
      </c>
      <c r="O85" s="160" t="str">
        <f>IF(C85="","",IFERROR(VLOOKUP("1GPTY"&amp;B85,'Draft SK'!AD:AF,3,FALSE),"--"))</f>
        <v/>
      </c>
      <c r="P85" s="161" t="str">
        <f>IF(C85="","",IF(O85="--","--",VLOOKUP(O85,'Draft SK'!AF:AI,2,FALSE)))</f>
        <v/>
      </c>
      <c r="Q85" s="162" t="str">
        <f>IF(C85="","",IFERROR(IFERROR(VLOOKUP("1GPTY"&amp;B85,'Draft SK'!AB:AG,5,FALSE),VLOOKUP("1GPTT"&amp;B85,'Draft SK'!AB:AG,5,FALSE)),"--"))</f>
        <v/>
      </c>
      <c r="R85" s="162" t="str">
        <f>IF(C85="","",IF(Q85="--","--",VLOOKUP(Q85,'Draft SK'!AF:AI,2,FALSE)))</f>
        <v/>
      </c>
      <c r="S85" s="15"/>
      <c r="T85" s="15"/>
      <c r="U85" s="42"/>
      <c r="V85" s="6"/>
      <c r="W85" s="83" t="str">
        <f t="shared" si="7"/>
        <v/>
      </c>
      <c r="X85" s="163" t="str">
        <f t="shared" si="8"/>
        <v/>
      </c>
      <c r="Z85" s="37" t="str">
        <f t="shared" si="5"/>
        <v/>
      </c>
      <c r="AA85" s="37" t="str">
        <f>Z85&amp;COUNTIFS(Z$6:Z85,Z85)</f>
        <v>67</v>
      </c>
      <c r="AB85" s="37">
        <f>COUNTIFS(AA$6:AA85,AA85)</f>
        <v>1</v>
      </c>
    </row>
    <row r="86" spans="1:28" ht="15.5" x14ac:dyDescent="0.35">
      <c r="A86" t="str">
        <f t="shared" si="6"/>
        <v>68</v>
      </c>
      <c r="B86" s="9">
        <v>81</v>
      </c>
      <c r="C86" s="8"/>
      <c r="D86" s="13"/>
      <c r="E86" s="10"/>
      <c r="F86" s="13"/>
      <c r="G86" s="8"/>
      <c r="H86" s="8"/>
      <c r="I86" s="8"/>
      <c r="J86" s="10"/>
      <c r="K86" s="44"/>
      <c r="L86" s="158" t="str">
        <f>IF(C86="","",IF(M86="--",M86,VLOOKUP(M86,'Draft SK'!AF:AI,3,FALSE)))</f>
        <v/>
      </c>
      <c r="M86" s="159" t="str">
        <f>IF(C86="","",IF(B86="","--",IFERROR(VLOOKUP("1GPTT"&amp;B86,'Draft SK'!AD:AF,3,FALSE),VLOOKUP("1UMUM"&amp;B86,'Draft SK'!AD:AF,3,FALSE))))</f>
        <v/>
      </c>
      <c r="N86" s="158" t="str">
        <f>IF(C86="","",IF(M86="--","--",VLOOKUP(M86,'Draft SK'!AF:AI,2,FALSE)))</f>
        <v/>
      </c>
      <c r="O86" s="160" t="str">
        <f>IF(C86="","",IFERROR(VLOOKUP("1GPTY"&amp;B86,'Draft SK'!AD:AF,3,FALSE),"--"))</f>
        <v/>
      </c>
      <c r="P86" s="161" t="str">
        <f>IF(C86="","",IF(O86="--","--",VLOOKUP(O86,'Draft SK'!AF:AI,2,FALSE)))</f>
        <v/>
      </c>
      <c r="Q86" s="162" t="str">
        <f>IF(C86="","",IFERROR(IFERROR(VLOOKUP("1GPTY"&amp;B86,'Draft SK'!AB:AG,5,FALSE),VLOOKUP("1GPTT"&amp;B86,'Draft SK'!AB:AG,5,FALSE)),"--"))</f>
        <v/>
      </c>
      <c r="R86" s="162" t="str">
        <f>IF(C86="","",IF(Q86="--","--",VLOOKUP(Q86,'Draft SK'!AF:AI,2,FALSE)))</f>
        <v/>
      </c>
      <c r="S86" s="15"/>
      <c r="T86" s="15"/>
      <c r="U86" s="42"/>
      <c r="V86" s="6"/>
      <c r="W86" s="83" t="str">
        <f t="shared" si="7"/>
        <v/>
      </c>
      <c r="X86" s="163" t="str">
        <f t="shared" si="8"/>
        <v/>
      </c>
      <c r="Z86" s="37" t="str">
        <f t="shared" si="5"/>
        <v/>
      </c>
      <c r="AA86" s="37" t="str">
        <f>Z86&amp;COUNTIFS(Z$6:Z86,Z86)</f>
        <v>68</v>
      </c>
      <c r="AB86" s="37">
        <f>COUNTIFS(AA$6:AA86,AA86)</f>
        <v>1</v>
      </c>
    </row>
    <row r="87" spans="1:28" ht="15.5" x14ac:dyDescent="0.35">
      <c r="A87" t="str">
        <f>AA87</f>
        <v>69</v>
      </c>
      <c r="B87" s="9">
        <v>82</v>
      </c>
      <c r="C87" s="8"/>
      <c r="D87" s="13"/>
      <c r="E87" s="10"/>
      <c r="F87" s="13"/>
      <c r="G87" s="8"/>
      <c r="H87" s="8"/>
      <c r="I87" s="8"/>
      <c r="J87" s="10"/>
      <c r="K87" s="44"/>
      <c r="L87" s="158" t="str">
        <f>IF(C87="","",IF(M87="--",M87,VLOOKUP(M87,'Draft SK'!AF:AI,3,FALSE)))</f>
        <v/>
      </c>
      <c r="M87" s="159" t="str">
        <f>IF(C87="","",IF(B87="","--",IFERROR(VLOOKUP("1GPTT"&amp;B87,'Draft SK'!AD:AF,3,FALSE),VLOOKUP("1UMUM"&amp;B87,'Draft SK'!AD:AF,3,FALSE))))</f>
        <v/>
      </c>
      <c r="N87" s="158" t="str">
        <f>IF(C87="","",IF(M87="--","--",VLOOKUP(M87,'Draft SK'!AF:AI,2,FALSE)))</f>
        <v/>
      </c>
      <c r="O87" s="160" t="str">
        <f>IF(C87="","",IFERROR(VLOOKUP("1GPTY"&amp;B87,'Draft SK'!AD:AF,3,FALSE),"--"))</f>
        <v/>
      </c>
      <c r="P87" s="161" t="str">
        <f>IF(C87="","",IF(O87="--","--",VLOOKUP(O87,'Draft SK'!AF:AI,2,FALSE)))</f>
        <v/>
      </c>
      <c r="Q87" s="162" t="str">
        <f>IF(C87="","",IFERROR(IFERROR(VLOOKUP("1GPTY"&amp;B87,'Draft SK'!AB:AG,5,FALSE),VLOOKUP("1GPTT"&amp;B87,'Draft SK'!AB:AG,5,FALSE)),"--"))</f>
        <v/>
      </c>
      <c r="R87" s="162" t="str">
        <f>IF(C87="","",IF(Q87="--","--",VLOOKUP(Q87,'Draft SK'!AF:AI,2,FALSE)))</f>
        <v/>
      </c>
      <c r="S87" s="15"/>
      <c r="T87" s="15"/>
      <c r="U87" s="42"/>
      <c r="V87" s="6"/>
      <c r="W87" s="83" t="str">
        <f t="shared" ref="W87:W89" si="9">IF(C87="","",LEFT(G87,FIND("#",SUBSTITUTE(G87,",","#",1))-1))</f>
        <v/>
      </c>
      <c r="X87" s="163" t="str">
        <f t="shared" ref="X87:X89" si="10">IF(C87="","",TRIM(MID(G87,FIND("#",SUBSTITUTE(G87,",","#",1))+1,255)))</f>
        <v/>
      </c>
      <c r="Z87" s="37" t="str">
        <f t="shared" ref="Z87:Z89" si="11">IF(K87="","",IF(OR(K87="Aktif",K87="Cuti"),"A","B"))</f>
        <v/>
      </c>
      <c r="AA87" s="37" t="str">
        <f>Z87&amp;COUNTIFS(Z$6:Z87,Z87)</f>
        <v>69</v>
      </c>
      <c r="AB87" s="37">
        <f>COUNTIFS(AA$6:AA87,AA87)</f>
        <v>1</v>
      </c>
    </row>
    <row r="88" spans="1:28" ht="15.5" x14ac:dyDescent="0.35">
      <c r="A88" t="str">
        <f t="shared" ref="A88:A89" si="12">AA88</f>
        <v>70</v>
      </c>
      <c r="B88" s="9">
        <v>83</v>
      </c>
      <c r="C88" s="8"/>
      <c r="D88" s="13"/>
      <c r="E88" s="10"/>
      <c r="F88" s="13"/>
      <c r="G88" s="8"/>
      <c r="H88" s="8"/>
      <c r="I88" s="8"/>
      <c r="J88" s="10"/>
      <c r="K88" s="44"/>
      <c r="L88" s="158" t="str">
        <f>IF(C88="","",IF(M88="--",M88,VLOOKUP(M88,'Draft SK'!AF:AI,3,FALSE)))</f>
        <v/>
      </c>
      <c r="M88" s="159" t="str">
        <f>IF(C88="","",IF(B88="","--",IFERROR(VLOOKUP("1GPTT"&amp;B88,'Draft SK'!AD:AF,3,FALSE),VLOOKUP("1UMUM"&amp;B88,'Draft SK'!AD:AF,3,FALSE))))</f>
        <v/>
      </c>
      <c r="N88" s="158" t="str">
        <f>IF(C88="","",IF(M88="--","--",VLOOKUP(M88,'Draft SK'!AF:AI,2,FALSE)))</f>
        <v/>
      </c>
      <c r="O88" s="160" t="str">
        <f>IF(C88="","",IFERROR(VLOOKUP("1GPTY"&amp;B88,'Draft SK'!AD:AF,3,FALSE),"--"))</f>
        <v/>
      </c>
      <c r="P88" s="161" t="str">
        <f>IF(C88="","",IF(O88="--","--",VLOOKUP(O88,'Draft SK'!AF:AI,2,FALSE)))</f>
        <v/>
      </c>
      <c r="Q88" s="162" t="str">
        <f>IF(C88="","",IFERROR(IFERROR(VLOOKUP("1GPTY"&amp;B88,'Draft SK'!AB:AG,5,FALSE),VLOOKUP("1GPTT"&amp;B88,'Draft SK'!AB:AG,5,FALSE)),"--"))</f>
        <v/>
      </c>
      <c r="R88" s="162" t="str">
        <f>IF(C88="","",IF(Q88="--","--",VLOOKUP(Q88,'Draft SK'!AF:AI,2,FALSE)))</f>
        <v/>
      </c>
      <c r="S88" s="15"/>
      <c r="T88" s="15"/>
      <c r="U88" s="42"/>
      <c r="V88" s="6"/>
      <c r="W88" s="83" t="str">
        <f t="shared" si="9"/>
        <v/>
      </c>
      <c r="X88" s="163" t="str">
        <f t="shared" si="10"/>
        <v/>
      </c>
      <c r="Z88" s="37" t="str">
        <f t="shared" si="11"/>
        <v/>
      </c>
      <c r="AA88" s="37" t="str">
        <f>Z88&amp;COUNTIFS(Z$6:Z88,Z88)</f>
        <v>70</v>
      </c>
      <c r="AB88" s="37">
        <f>COUNTIFS(AA$6:AA88,AA88)</f>
        <v>1</v>
      </c>
    </row>
    <row r="89" spans="1:28" ht="15.5" x14ac:dyDescent="0.35">
      <c r="A89" t="str">
        <f t="shared" si="12"/>
        <v>71</v>
      </c>
      <c r="B89" s="9">
        <v>84</v>
      </c>
      <c r="C89" s="8"/>
      <c r="D89" s="13"/>
      <c r="E89" s="10"/>
      <c r="F89" s="13"/>
      <c r="G89" s="8"/>
      <c r="H89" s="8"/>
      <c r="I89" s="8"/>
      <c r="J89" s="10"/>
      <c r="K89" s="44"/>
      <c r="L89" s="158" t="str">
        <f>IF(C89="","",IF(M89="--",M89,VLOOKUP(M89,'Draft SK'!AF:AI,3,FALSE)))</f>
        <v/>
      </c>
      <c r="M89" s="159" t="str">
        <f>IF(C89="","",IF(B89="","--",IFERROR(VLOOKUP("1GPTT"&amp;B89,'Draft SK'!AD:AF,3,FALSE),VLOOKUP("1UMUM"&amp;B89,'Draft SK'!AD:AF,3,FALSE))))</f>
        <v/>
      </c>
      <c r="N89" s="158" t="str">
        <f>IF(C89="","",IF(M89="--","--",VLOOKUP(M89,'Draft SK'!AF:AI,2,FALSE)))</f>
        <v/>
      </c>
      <c r="O89" s="160" t="str">
        <f>IF(C89="","",IFERROR(VLOOKUP("1GPTY"&amp;B89,'Draft SK'!AD:AF,3,FALSE),"--"))</f>
        <v/>
      </c>
      <c r="P89" s="161" t="str">
        <f>IF(C89="","",IF(O89="--","--",VLOOKUP(O89,'Draft SK'!AF:AI,2,FALSE)))</f>
        <v/>
      </c>
      <c r="Q89" s="162" t="str">
        <f>IF(C89="","",IFERROR(IFERROR(VLOOKUP("1GPTY"&amp;B89,'Draft SK'!AB:AG,5,FALSE),VLOOKUP("1GPTT"&amp;B89,'Draft SK'!AB:AG,5,FALSE)),"--"))</f>
        <v/>
      </c>
      <c r="R89" s="162" t="str">
        <f>IF(C89="","",IF(Q89="--","--",VLOOKUP(Q89,'Draft SK'!AF:AI,2,FALSE)))</f>
        <v/>
      </c>
      <c r="S89" s="15"/>
      <c r="T89" s="15"/>
      <c r="U89" s="42"/>
      <c r="V89" s="6"/>
      <c r="W89" s="83" t="str">
        <f t="shared" si="9"/>
        <v/>
      </c>
      <c r="X89" s="163" t="str">
        <f t="shared" si="10"/>
        <v/>
      </c>
      <c r="Z89" s="37" t="str">
        <f t="shared" si="11"/>
        <v/>
      </c>
      <c r="AA89" s="37" t="str">
        <f>Z89&amp;COUNTIFS(Z$6:Z89,Z89)</f>
        <v>71</v>
      </c>
      <c r="AB89" s="37">
        <f>COUNTIFS(AA$6:AA89,AA89)</f>
        <v>1</v>
      </c>
    </row>
    <row r="90" spans="1:28" ht="15.5" x14ac:dyDescent="0.35">
      <c r="A90" t="str">
        <f t="shared" ref="A90:A99" si="13">AA90</f>
        <v>72</v>
      </c>
      <c r="B90" s="9">
        <v>85</v>
      </c>
      <c r="C90" s="8"/>
      <c r="D90" s="13"/>
      <c r="E90" s="10"/>
      <c r="F90" s="13"/>
      <c r="G90" s="8"/>
      <c r="H90" s="8"/>
      <c r="I90" s="8"/>
      <c r="J90" s="10"/>
      <c r="K90" s="44"/>
      <c r="L90" s="158" t="str">
        <f>IF(C90="","",IF(M90="--",M90,VLOOKUP(M90,'Draft SK'!AF:AI,3,FALSE)))</f>
        <v/>
      </c>
      <c r="M90" s="159" t="str">
        <f>IF(C90="","",IF(B90="","--",IFERROR(VLOOKUP("1GPTT"&amp;B90,'Draft SK'!AD:AF,3,FALSE),VLOOKUP("1UMUM"&amp;B90,'Draft SK'!AD:AF,3,FALSE))))</f>
        <v/>
      </c>
      <c r="N90" s="158" t="str">
        <f>IF(C90="","",IF(M90="--","--",VLOOKUP(M90,'Draft SK'!AF:AI,2,FALSE)))</f>
        <v/>
      </c>
      <c r="O90" s="160" t="str">
        <f>IF(C90="","",IFERROR(VLOOKUP("1GPTY"&amp;B90,'Draft SK'!AD:AF,3,FALSE),"--"))</f>
        <v/>
      </c>
      <c r="P90" s="161" t="str">
        <f>IF(C90="","",IF(O90="--","--",VLOOKUP(O90,'Draft SK'!AF:AI,2,FALSE)))</f>
        <v/>
      </c>
      <c r="Q90" s="162" t="str">
        <f>IF(C90="","",IFERROR(IFERROR(VLOOKUP("1GPTY"&amp;B90,'Draft SK'!AB:AG,5,FALSE),VLOOKUP("1GPTT"&amp;B90,'Draft SK'!AB:AG,5,FALSE)),"--"))</f>
        <v/>
      </c>
      <c r="R90" s="162" t="str">
        <f>IF(C90="","",IF(Q90="--","--",VLOOKUP(Q90,'Draft SK'!AF:AI,2,FALSE)))</f>
        <v/>
      </c>
      <c r="S90" s="15"/>
      <c r="T90" s="15"/>
      <c r="U90" s="42"/>
      <c r="V90" s="6"/>
      <c r="W90" s="83" t="str">
        <f t="shared" si="7"/>
        <v/>
      </c>
      <c r="X90" s="163" t="str">
        <f t="shared" si="8"/>
        <v/>
      </c>
      <c r="Z90" s="37" t="str">
        <f t="shared" ref="Z90:Z91" si="14">IF(K90="","",IF(OR(K90="Aktif",K90="Cuti"),"A","B"))</f>
        <v/>
      </c>
      <c r="AA90" s="37" t="str">
        <f>Z90&amp;COUNTIFS(Z$6:Z90,Z90)</f>
        <v>72</v>
      </c>
      <c r="AB90" s="37">
        <f>COUNTIFS(AA$6:AA90,AA90)</f>
        <v>1</v>
      </c>
    </row>
    <row r="91" spans="1:28" ht="15.5" x14ac:dyDescent="0.35">
      <c r="A91" t="str">
        <f t="shared" si="13"/>
        <v>73</v>
      </c>
      <c r="B91" s="9">
        <v>86</v>
      </c>
      <c r="C91" s="8"/>
      <c r="D91" s="13"/>
      <c r="E91" s="10"/>
      <c r="F91" s="13"/>
      <c r="G91" s="8"/>
      <c r="H91" s="8"/>
      <c r="I91" s="8"/>
      <c r="J91" s="10"/>
      <c r="K91" s="44"/>
      <c r="L91" s="158" t="str">
        <f>IF(C91="","",IF(M91="--",M91,VLOOKUP(M91,'Draft SK'!AF:AI,3,FALSE)))</f>
        <v/>
      </c>
      <c r="M91" s="159" t="str">
        <f>IF(C91="","",IF(B91="","--",IFERROR(VLOOKUP("1GPTT"&amp;B91,'Draft SK'!AD:AF,3,FALSE),VLOOKUP("1UMUM"&amp;B91,'Draft SK'!AD:AF,3,FALSE))))</f>
        <v/>
      </c>
      <c r="N91" s="158" t="str">
        <f>IF(C91="","",IF(M91="--","--",VLOOKUP(M91,'Draft SK'!AF:AI,2,FALSE)))</f>
        <v/>
      </c>
      <c r="O91" s="160" t="str">
        <f>IF(C91="","",IFERROR(VLOOKUP("1GPTY"&amp;B91,'Draft SK'!AD:AF,3,FALSE),"--"))</f>
        <v/>
      </c>
      <c r="P91" s="161" t="str">
        <f>IF(C91="","",IF(O91="--","--",VLOOKUP(O91,'Draft SK'!AF:AI,2,FALSE)))</f>
        <v/>
      </c>
      <c r="Q91" s="162" t="str">
        <f>IF(C91="","",IFERROR(IFERROR(VLOOKUP("1GPTY"&amp;B91,'Draft SK'!AB:AG,5,FALSE),VLOOKUP("1GPTT"&amp;B91,'Draft SK'!AB:AG,5,FALSE)),"--"))</f>
        <v/>
      </c>
      <c r="R91" s="162" t="str">
        <f>IF(C91="","",IF(Q91="--","--",VLOOKUP(Q91,'Draft SK'!AF:AI,2,FALSE)))</f>
        <v/>
      </c>
      <c r="S91" s="15"/>
      <c r="T91" s="15"/>
      <c r="U91" s="42"/>
      <c r="V91" s="6"/>
      <c r="W91" s="83" t="str">
        <f t="shared" si="7"/>
        <v/>
      </c>
      <c r="X91" s="163" t="str">
        <f t="shared" si="8"/>
        <v/>
      </c>
      <c r="Z91" s="37" t="str">
        <f t="shared" si="14"/>
        <v/>
      </c>
      <c r="AA91" s="37" t="str">
        <f>Z91&amp;COUNTIFS(Z$6:Z91,Z91)</f>
        <v>73</v>
      </c>
      <c r="AB91" s="37">
        <f>COUNTIFS(AA$6:AA91,AA91)</f>
        <v>1</v>
      </c>
    </row>
    <row r="92" spans="1:28" ht="15.5" x14ac:dyDescent="0.35">
      <c r="A92" t="str">
        <f t="shared" ref="A92:A97" si="15">AA92</f>
        <v>74</v>
      </c>
      <c r="B92" s="9">
        <v>87</v>
      </c>
      <c r="C92" s="8"/>
      <c r="D92" s="13"/>
      <c r="E92" s="10"/>
      <c r="F92" s="13"/>
      <c r="G92" s="8"/>
      <c r="H92" s="8"/>
      <c r="I92" s="8"/>
      <c r="J92" s="10"/>
      <c r="K92" s="44"/>
      <c r="L92" s="158" t="str">
        <f>IF(C92="","",IF(M92="--",M92,VLOOKUP(M92,'Draft SK'!AF:AI,3,FALSE)))</f>
        <v/>
      </c>
      <c r="M92" s="159" t="str">
        <f>IF(C92="","",IF(B92="","--",IFERROR(VLOOKUP("1GPTT"&amp;B92,'Draft SK'!AD:AF,3,FALSE),VLOOKUP("1UMUM"&amp;B92,'Draft SK'!AD:AF,3,FALSE))))</f>
        <v/>
      </c>
      <c r="N92" s="158" t="str">
        <f>IF(C92="","",IF(M92="--","--",VLOOKUP(M92,'Draft SK'!AF:AI,2,FALSE)))</f>
        <v/>
      </c>
      <c r="O92" s="160" t="str">
        <f>IF(C92="","",IFERROR(VLOOKUP("1GPTY"&amp;B92,'Draft SK'!AD:AF,3,FALSE),"--"))</f>
        <v/>
      </c>
      <c r="P92" s="161" t="str">
        <f>IF(C92="","",IF(O92="--","--",VLOOKUP(O92,'Draft SK'!AF:AI,2,FALSE)))</f>
        <v/>
      </c>
      <c r="Q92" s="162" t="str">
        <f>IF(C92="","",IFERROR(IFERROR(VLOOKUP("1GPTY"&amp;B92,'Draft SK'!AB:AG,5,FALSE),VLOOKUP("1GPTT"&amp;B92,'Draft SK'!AB:AG,5,FALSE)),"--"))</f>
        <v/>
      </c>
      <c r="R92" s="162" t="str">
        <f>IF(C92="","",IF(Q92="--","--",VLOOKUP(Q92,'Draft SK'!AF:AI,2,FALSE)))</f>
        <v/>
      </c>
      <c r="S92" s="15"/>
      <c r="T92" s="15"/>
      <c r="U92" s="42"/>
      <c r="V92" s="6"/>
      <c r="W92" s="83" t="str">
        <f t="shared" ref="W92:W97" si="16">IF(C92="","",LEFT(G92,FIND("#",SUBSTITUTE(G92,",","#",1))-1))</f>
        <v/>
      </c>
      <c r="X92" s="163" t="str">
        <f t="shared" ref="X92:X97" si="17">IF(C92="","",TRIM(MID(G92,FIND("#",SUBSTITUTE(G92,",","#",1))+1,255)))</f>
        <v/>
      </c>
      <c r="Z92" s="37" t="str">
        <f t="shared" ref="Z92:Z97" si="18">IF(K92="","",IF(OR(K92="Aktif",K92="Cuti"),"A","B"))</f>
        <v/>
      </c>
      <c r="AA92" s="37" t="str">
        <f>Z92&amp;COUNTIFS(Z$6:Z92,Z92)</f>
        <v>74</v>
      </c>
      <c r="AB92" s="37">
        <f>COUNTIFS(AA$6:AA92,AA92)</f>
        <v>1</v>
      </c>
    </row>
    <row r="93" spans="1:28" ht="15.5" x14ac:dyDescent="0.35">
      <c r="A93" t="str">
        <f t="shared" si="15"/>
        <v>75</v>
      </c>
      <c r="B93" s="9">
        <v>88</v>
      </c>
      <c r="C93" s="8"/>
      <c r="D93" s="13"/>
      <c r="E93" s="10"/>
      <c r="F93" s="13"/>
      <c r="G93" s="8"/>
      <c r="H93" s="8"/>
      <c r="I93" s="8"/>
      <c r="J93" s="10"/>
      <c r="K93" s="44"/>
      <c r="L93" s="158" t="str">
        <f>IF(C93="","",IF(M93="--",M93,VLOOKUP(M93,'Draft SK'!AF:AI,3,FALSE)))</f>
        <v/>
      </c>
      <c r="M93" s="159" t="str">
        <f>IF(C93="","",IF(B93="","--",IFERROR(VLOOKUP("1GPTT"&amp;B93,'Draft SK'!AD:AF,3,FALSE),VLOOKUP("1UMUM"&amp;B93,'Draft SK'!AD:AF,3,FALSE))))</f>
        <v/>
      </c>
      <c r="N93" s="158" t="str">
        <f>IF(C93="","",IF(M93="--","--",VLOOKUP(M93,'Draft SK'!AF:AI,2,FALSE)))</f>
        <v/>
      </c>
      <c r="O93" s="160" t="str">
        <f>IF(C93="","",IFERROR(VLOOKUP("1GPTY"&amp;B93,'Draft SK'!AD:AF,3,FALSE),"--"))</f>
        <v/>
      </c>
      <c r="P93" s="161" t="str">
        <f>IF(C93="","",IF(O93="--","--",VLOOKUP(O93,'Draft SK'!AF:AI,2,FALSE)))</f>
        <v/>
      </c>
      <c r="Q93" s="162" t="str">
        <f>IF(C93="","",IFERROR(IFERROR(VLOOKUP("1GPTY"&amp;B93,'Draft SK'!AB:AG,5,FALSE),VLOOKUP("1GPTT"&amp;B93,'Draft SK'!AB:AG,5,FALSE)),"--"))</f>
        <v/>
      </c>
      <c r="R93" s="162" t="str">
        <f>IF(C93="","",IF(Q93="--","--",VLOOKUP(Q93,'Draft SK'!AF:AI,2,FALSE)))</f>
        <v/>
      </c>
      <c r="S93" s="15"/>
      <c r="T93" s="15"/>
      <c r="U93" s="42"/>
      <c r="V93" s="6"/>
      <c r="W93" s="83" t="str">
        <f t="shared" si="16"/>
        <v/>
      </c>
      <c r="X93" s="163" t="str">
        <f t="shared" si="17"/>
        <v/>
      </c>
      <c r="Z93" s="37" t="str">
        <f t="shared" si="18"/>
        <v/>
      </c>
      <c r="AA93" s="37" t="str">
        <f>Z93&amp;COUNTIFS(Z$6:Z93,Z93)</f>
        <v>75</v>
      </c>
      <c r="AB93" s="37">
        <f>COUNTIFS(AA$6:AA93,AA93)</f>
        <v>1</v>
      </c>
    </row>
    <row r="94" spans="1:28" ht="15.5" x14ac:dyDescent="0.35">
      <c r="A94" t="str">
        <f t="shared" si="15"/>
        <v>76</v>
      </c>
      <c r="B94" s="9">
        <v>89</v>
      </c>
      <c r="C94" s="8"/>
      <c r="D94" s="13"/>
      <c r="E94" s="10"/>
      <c r="F94" s="13"/>
      <c r="G94" s="8"/>
      <c r="H94" s="8"/>
      <c r="I94" s="8"/>
      <c r="J94" s="10"/>
      <c r="K94" s="44"/>
      <c r="L94" s="158" t="str">
        <f>IF(C94="","",IF(M94="--",M94,VLOOKUP(M94,'Draft SK'!AF:AI,3,FALSE)))</f>
        <v/>
      </c>
      <c r="M94" s="159" t="str">
        <f>IF(C94="","",IF(B94="","--",IFERROR(VLOOKUP("1GPTT"&amp;B94,'Draft SK'!AD:AF,3,FALSE),VLOOKUP("1UMUM"&amp;B94,'Draft SK'!AD:AF,3,FALSE))))</f>
        <v/>
      </c>
      <c r="N94" s="158" t="str">
        <f>IF(C94="","",IF(M94="--","--",VLOOKUP(M94,'Draft SK'!AF:AI,2,FALSE)))</f>
        <v/>
      </c>
      <c r="O94" s="160" t="str">
        <f>IF(C94="","",IFERROR(VLOOKUP("1GPTY"&amp;B94,'Draft SK'!AD:AF,3,FALSE),"--"))</f>
        <v/>
      </c>
      <c r="P94" s="161" t="str">
        <f>IF(C94="","",IF(O94="--","--",VLOOKUP(O94,'Draft SK'!AF:AI,2,FALSE)))</f>
        <v/>
      </c>
      <c r="Q94" s="162" t="str">
        <f>IF(C94="","",IFERROR(IFERROR(VLOOKUP("1GPTY"&amp;B94,'Draft SK'!AB:AG,5,FALSE),VLOOKUP("1GPTT"&amp;B94,'Draft SK'!AB:AG,5,FALSE)),"--"))</f>
        <v/>
      </c>
      <c r="R94" s="162" t="str">
        <f>IF(C94="","",IF(Q94="--","--",VLOOKUP(Q94,'Draft SK'!AF:AI,2,FALSE)))</f>
        <v/>
      </c>
      <c r="S94" s="15"/>
      <c r="T94" s="15"/>
      <c r="U94" s="42"/>
      <c r="V94" s="6"/>
      <c r="W94" s="83" t="str">
        <f t="shared" si="16"/>
        <v/>
      </c>
      <c r="X94" s="163" t="str">
        <f t="shared" si="17"/>
        <v/>
      </c>
      <c r="Z94" s="37" t="str">
        <f t="shared" si="18"/>
        <v/>
      </c>
      <c r="AA94" s="37" t="str">
        <f>Z94&amp;COUNTIFS(Z$6:Z94,Z94)</f>
        <v>76</v>
      </c>
      <c r="AB94" s="37">
        <f>COUNTIFS(AA$6:AA94,AA94)</f>
        <v>1</v>
      </c>
    </row>
    <row r="95" spans="1:28" ht="15.5" x14ac:dyDescent="0.35">
      <c r="A95" t="str">
        <f t="shared" si="15"/>
        <v>77</v>
      </c>
      <c r="B95" s="9">
        <v>90</v>
      </c>
      <c r="C95" s="8"/>
      <c r="D95" s="13"/>
      <c r="E95" s="10"/>
      <c r="F95" s="13"/>
      <c r="G95" s="8"/>
      <c r="H95" s="8"/>
      <c r="I95" s="8"/>
      <c r="J95" s="10"/>
      <c r="K95" s="44"/>
      <c r="L95" s="158" t="str">
        <f>IF(C95="","",IF(M95="--",M95,VLOOKUP(M95,'Draft SK'!AF:AI,3,FALSE)))</f>
        <v/>
      </c>
      <c r="M95" s="159" t="str">
        <f>IF(C95="","",IF(B95="","--",IFERROR(VLOOKUP("1GPTT"&amp;B95,'Draft SK'!AD:AF,3,FALSE),VLOOKUP("1UMUM"&amp;B95,'Draft SK'!AD:AF,3,FALSE))))</f>
        <v/>
      </c>
      <c r="N95" s="158" t="str">
        <f>IF(C95="","",IF(M95="--","--",VLOOKUP(M95,'Draft SK'!AF:AI,2,FALSE)))</f>
        <v/>
      </c>
      <c r="O95" s="160" t="str">
        <f>IF(C95="","",IFERROR(VLOOKUP("1GPTY"&amp;B95,'Draft SK'!AD:AF,3,FALSE),"--"))</f>
        <v/>
      </c>
      <c r="P95" s="161" t="str">
        <f>IF(C95="","",IF(O95="--","--",VLOOKUP(O95,'Draft SK'!AF:AI,2,FALSE)))</f>
        <v/>
      </c>
      <c r="Q95" s="162" t="str">
        <f>IF(C95="","",IFERROR(IFERROR(VLOOKUP("1GPTY"&amp;B95,'Draft SK'!AB:AG,5,FALSE),VLOOKUP("1GPTT"&amp;B95,'Draft SK'!AB:AG,5,FALSE)),"--"))</f>
        <v/>
      </c>
      <c r="R95" s="162" t="str">
        <f>IF(C95="","",IF(Q95="--","--",VLOOKUP(Q95,'Draft SK'!AF:AI,2,FALSE)))</f>
        <v/>
      </c>
      <c r="S95" s="15"/>
      <c r="T95" s="15"/>
      <c r="U95" s="42"/>
      <c r="V95" s="6"/>
      <c r="W95" s="83" t="str">
        <f t="shared" si="16"/>
        <v/>
      </c>
      <c r="X95" s="163" t="str">
        <f t="shared" si="17"/>
        <v/>
      </c>
      <c r="Z95" s="37" t="str">
        <f t="shared" si="18"/>
        <v/>
      </c>
      <c r="AA95" s="37" t="str">
        <f>Z95&amp;COUNTIFS(Z$6:Z95,Z95)</f>
        <v>77</v>
      </c>
      <c r="AB95" s="37">
        <f>COUNTIFS(AA$6:AA95,AA95)</f>
        <v>1</v>
      </c>
    </row>
    <row r="96" spans="1:28" ht="15.5" x14ac:dyDescent="0.35">
      <c r="A96" t="str">
        <f t="shared" si="15"/>
        <v>78</v>
      </c>
      <c r="B96" s="9">
        <v>91</v>
      </c>
      <c r="C96" s="8"/>
      <c r="D96" s="13"/>
      <c r="E96" s="10"/>
      <c r="F96" s="13"/>
      <c r="G96" s="8"/>
      <c r="H96" s="8"/>
      <c r="I96" s="8"/>
      <c r="J96" s="10"/>
      <c r="K96" s="44"/>
      <c r="L96" s="158" t="str">
        <f>IF(C96="","",IF(M96="--",M96,VLOOKUP(M96,'Draft SK'!AF:AI,3,FALSE)))</f>
        <v/>
      </c>
      <c r="M96" s="159" t="str">
        <f>IF(C96="","",IF(B96="","--",IFERROR(VLOOKUP("1GPTT"&amp;B96,'Draft SK'!AD:AF,3,FALSE),VLOOKUP("1UMUM"&amp;B96,'Draft SK'!AD:AF,3,FALSE))))</f>
        <v/>
      </c>
      <c r="N96" s="158" t="str">
        <f>IF(C96="","",IF(M96="--","--",VLOOKUP(M96,'Draft SK'!AF:AI,2,FALSE)))</f>
        <v/>
      </c>
      <c r="O96" s="160" t="str">
        <f>IF(C96="","",IFERROR(VLOOKUP("1GPTY"&amp;B96,'Draft SK'!AD:AF,3,FALSE),"--"))</f>
        <v/>
      </c>
      <c r="P96" s="161" t="str">
        <f>IF(C96="","",IF(O96="--","--",VLOOKUP(O96,'Draft SK'!AF:AI,2,FALSE)))</f>
        <v/>
      </c>
      <c r="Q96" s="162" t="str">
        <f>IF(C96="","",IFERROR(IFERROR(VLOOKUP("1GPTY"&amp;B96,'Draft SK'!AB:AG,5,FALSE),VLOOKUP("1GPTT"&amp;B96,'Draft SK'!AB:AG,5,FALSE)),"--"))</f>
        <v/>
      </c>
      <c r="R96" s="162" t="str">
        <f>IF(C96="","",IF(Q96="--","--",VLOOKUP(Q96,'Draft SK'!AF:AI,2,FALSE)))</f>
        <v/>
      </c>
      <c r="S96" s="15"/>
      <c r="T96" s="15"/>
      <c r="U96" s="42"/>
      <c r="V96" s="6"/>
      <c r="W96" s="83" t="str">
        <f t="shared" si="16"/>
        <v/>
      </c>
      <c r="X96" s="163" t="str">
        <f t="shared" si="17"/>
        <v/>
      </c>
      <c r="Z96" s="37" t="str">
        <f t="shared" si="18"/>
        <v/>
      </c>
      <c r="AA96" s="37" t="str">
        <f>Z96&amp;COUNTIFS(Z$6:Z96,Z96)</f>
        <v>78</v>
      </c>
      <c r="AB96" s="37">
        <f>COUNTIFS(AA$6:AA96,AA96)</f>
        <v>1</v>
      </c>
    </row>
    <row r="97" spans="1:28" ht="15.5" x14ac:dyDescent="0.35">
      <c r="A97" t="str">
        <f t="shared" si="15"/>
        <v>79</v>
      </c>
      <c r="B97" s="9">
        <v>92</v>
      </c>
      <c r="C97" s="8"/>
      <c r="D97" s="13"/>
      <c r="E97" s="10"/>
      <c r="F97" s="13"/>
      <c r="G97" s="8"/>
      <c r="H97" s="8"/>
      <c r="I97" s="8"/>
      <c r="J97" s="10"/>
      <c r="K97" s="44"/>
      <c r="L97" s="158" t="str">
        <f>IF(C97="","",IF(M97="--",M97,VLOOKUP(M97,'Draft SK'!AF:AI,3,FALSE)))</f>
        <v/>
      </c>
      <c r="M97" s="159" t="str">
        <f>IF(C97="","",IF(B97="","--",IFERROR(VLOOKUP("1GPTT"&amp;B97,'Draft SK'!AD:AF,3,FALSE),VLOOKUP("1UMUM"&amp;B97,'Draft SK'!AD:AF,3,FALSE))))</f>
        <v/>
      </c>
      <c r="N97" s="158" t="str">
        <f>IF(C97="","",IF(M97="--","--",VLOOKUP(M97,'Draft SK'!AF:AI,2,FALSE)))</f>
        <v/>
      </c>
      <c r="O97" s="160" t="str">
        <f>IF(C97="","",IFERROR(VLOOKUP("1GPTY"&amp;B97,'Draft SK'!AD:AF,3,FALSE),"--"))</f>
        <v/>
      </c>
      <c r="P97" s="161" t="str">
        <f>IF(C97="","",IF(O97="--","--",VLOOKUP(O97,'Draft SK'!AF:AI,2,FALSE)))</f>
        <v/>
      </c>
      <c r="Q97" s="162" t="str">
        <f>IF(C97="","",IFERROR(IFERROR(VLOOKUP("1GPTY"&amp;B97,'Draft SK'!AB:AG,5,FALSE),VLOOKUP("1GPTT"&amp;B97,'Draft SK'!AB:AG,5,FALSE)),"--"))</f>
        <v/>
      </c>
      <c r="R97" s="162" t="str">
        <f>IF(C97="","",IF(Q97="--","--",VLOOKUP(Q97,'Draft SK'!AF:AI,2,FALSE)))</f>
        <v/>
      </c>
      <c r="S97" s="15"/>
      <c r="T97" s="15"/>
      <c r="U97" s="42"/>
      <c r="V97" s="6"/>
      <c r="W97" s="83" t="str">
        <f t="shared" si="16"/>
        <v/>
      </c>
      <c r="X97" s="163" t="str">
        <f t="shared" si="17"/>
        <v/>
      </c>
      <c r="Z97" s="37" t="str">
        <f t="shared" si="18"/>
        <v/>
      </c>
      <c r="AA97" s="37" t="str">
        <f>Z97&amp;COUNTIFS(Z$6:Z97,Z97)</f>
        <v>79</v>
      </c>
      <c r="AB97" s="37">
        <f>COUNTIFS(AA$6:AA97,AA97)</f>
        <v>1</v>
      </c>
    </row>
    <row r="98" spans="1:28" ht="15.5" x14ac:dyDescent="0.35">
      <c r="A98" t="str">
        <f t="shared" ref="A98" si="19">AA98</f>
        <v>80</v>
      </c>
      <c r="B98" s="9">
        <v>93</v>
      </c>
      <c r="C98" s="8"/>
      <c r="D98" s="13"/>
      <c r="E98" s="10"/>
      <c r="F98" s="13"/>
      <c r="G98" s="8"/>
      <c r="H98" s="8"/>
      <c r="I98" s="8"/>
      <c r="J98" s="10"/>
      <c r="K98" s="44"/>
      <c r="L98" s="158" t="str">
        <f>IF(C98="","",IF(M98="--",M98,VLOOKUP(M98,'Draft SK'!AF:AI,3,FALSE)))</f>
        <v/>
      </c>
      <c r="M98" s="159" t="str">
        <f>IF(C98="","",IF(B98="","--",IFERROR(VLOOKUP("1GPTT"&amp;B98,'Draft SK'!AD:AF,3,FALSE),VLOOKUP("1UMUM"&amp;B98,'Draft SK'!AD:AF,3,FALSE))))</f>
        <v/>
      </c>
      <c r="N98" s="158" t="str">
        <f>IF(C98="","",IF(M98="--","--",VLOOKUP(M98,'Draft SK'!AF:AI,2,FALSE)))</f>
        <v/>
      </c>
      <c r="O98" s="160" t="str">
        <f>IF(C98="","",IFERROR(VLOOKUP("1GPTY"&amp;B98,'Draft SK'!AD:AF,3,FALSE),"--"))</f>
        <v/>
      </c>
      <c r="P98" s="161" t="str">
        <f>IF(C98="","",IF(O98="--","--",VLOOKUP(O98,'Draft SK'!AF:AI,2,FALSE)))</f>
        <v/>
      </c>
      <c r="Q98" s="162" t="str">
        <f>IF(C98="","",IFERROR(IFERROR(VLOOKUP("1GPTY"&amp;B98,'Draft SK'!AB:AG,5,FALSE),VLOOKUP("1GPTT"&amp;B98,'Draft SK'!AB:AG,5,FALSE)),"--"))</f>
        <v/>
      </c>
      <c r="R98" s="162" t="str">
        <f>IF(C98="","",IF(Q98="--","--",VLOOKUP(Q98,'Draft SK'!AF:AI,2,FALSE)))</f>
        <v/>
      </c>
      <c r="S98" s="15"/>
      <c r="T98" s="15"/>
      <c r="U98" s="42"/>
      <c r="V98" s="6"/>
      <c r="W98" s="83" t="str">
        <f t="shared" ref="W98" si="20">IF(C98="","",LEFT(G98,FIND("#",SUBSTITUTE(G98,",","#",1))-1))</f>
        <v/>
      </c>
      <c r="X98" s="163" t="str">
        <f t="shared" ref="X98" si="21">IF(C98="","",TRIM(MID(G98,FIND("#",SUBSTITUTE(G98,",","#",1))+1,255)))</f>
        <v/>
      </c>
      <c r="Z98" s="37" t="str">
        <f t="shared" ref="Z98" si="22">IF(K98="","",IF(OR(K98="Aktif",K98="Cuti"),"A","B"))</f>
        <v/>
      </c>
      <c r="AA98" s="37" t="str">
        <f>Z98&amp;COUNTIFS(Z$6:Z98,Z98)</f>
        <v>80</v>
      </c>
      <c r="AB98" s="37">
        <f>COUNTIFS(AA$6:AA98,AA98)</f>
        <v>1</v>
      </c>
    </row>
    <row r="99" spans="1:28" ht="15.5" x14ac:dyDescent="0.35">
      <c r="A99" t="str">
        <f t="shared" si="13"/>
        <v>81</v>
      </c>
      <c r="B99" s="9"/>
      <c r="C99" s="8"/>
      <c r="D99" s="13"/>
      <c r="E99" s="10"/>
      <c r="F99" s="13"/>
      <c r="G99" s="8"/>
      <c r="H99" s="8"/>
      <c r="I99" s="8"/>
      <c r="J99" s="10"/>
      <c r="K99" s="44"/>
      <c r="L99" s="158" t="str">
        <f>IF(C99="","",IF(M99="--",M99,VLOOKUP(M99,'Draft SK'!AF:AI,3,FALSE)))</f>
        <v/>
      </c>
      <c r="M99" s="159" t="str">
        <f>IF(C99="","",IF(B99="","--",IFERROR(VLOOKUP("1GPTT"&amp;B99,'Draft SK'!AD:AF,3,FALSE),VLOOKUP("1UMUM"&amp;B99,'Draft SK'!AD:AF,3,FALSE))))</f>
        <v/>
      </c>
      <c r="N99" s="158" t="str">
        <f>IF(C99="","",IF(M99="--","--",VLOOKUP(M99,'Draft SK'!AF:AI,2,FALSE)))</f>
        <v/>
      </c>
      <c r="O99" s="160" t="str">
        <f>IF(C99="","",IFERROR(VLOOKUP("1GPTY"&amp;B99,'Draft SK'!AD:AF,3,FALSE),"--"))</f>
        <v/>
      </c>
      <c r="P99" s="161" t="str">
        <f>IF(C99="","",IF(O99="--","--",VLOOKUP(O99,'Draft SK'!AF:AI,2,FALSE)))</f>
        <v/>
      </c>
      <c r="Q99" s="162" t="str">
        <f>IF(C99="","",IFERROR(IFERROR(VLOOKUP("1GPTY"&amp;B99,'Draft SK'!AB:AG,5,FALSE),VLOOKUP("1GPTT"&amp;B99,'Draft SK'!AB:AG,5,FALSE)),"--"))</f>
        <v/>
      </c>
      <c r="R99" s="162" t="str">
        <f>IF(C99="","",IF(Q99="--","--",VLOOKUP(Q99,'Draft SK'!AF:AI,2,FALSE)))</f>
        <v/>
      </c>
      <c r="S99" s="15"/>
      <c r="T99" s="15"/>
      <c r="U99" s="42"/>
      <c r="V99" s="6"/>
      <c r="W99" s="83" t="str">
        <f t="shared" si="7"/>
        <v/>
      </c>
      <c r="X99" s="163" t="str">
        <f t="shared" si="8"/>
        <v/>
      </c>
      <c r="Z99" s="37" t="str">
        <f t="shared" ref="Z99" si="23">IF(K99="","",IF(OR(K99="Aktif",K99="Cuti"),"A","B"))</f>
        <v/>
      </c>
      <c r="AA99" s="37" t="str">
        <f>Z99&amp;COUNTIFS(Z$6:Z99,Z99)</f>
        <v>81</v>
      </c>
      <c r="AB99" s="37">
        <f>COUNTIFS(AA$6:AA99,AA99)</f>
        <v>1</v>
      </c>
    </row>
    <row r="100" spans="1:28" ht="15.5" x14ac:dyDescent="0.35">
      <c r="A100" t="str">
        <f t="shared" ref="A100" si="24">AA100</f>
        <v>82</v>
      </c>
      <c r="B100" s="9"/>
      <c r="C100" s="8"/>
      <c r="D100" s="13"/>
      <c r="E100" s="10" t="s">
        <v>585</v>
      </c>
      <c r="F100" s="13"/>
      <c r="G100" s="8"/>
      <c r="H100" s="8"/>
      <c r="I100" s="8"/>
      <c r="J100" s="10"/>
      <c r="K100" s="44"/>
      <c r="L100" s="158" t="str">
        <f>IF(C100="","",IF(M100="--",M100,VLOOKUP(M100,'Draft SK'!AF:AI,3,FALSE)))</f>
        <v/>
      </c>
      <c r="M100" s="159" t="str">
        <f>IF(C100="","",IF(B100="","--",IFERROR(VLOOKUP("1GPTT"&amp;B100,'Draft SK'!AD:AF,3,FALSE),VLOOKUP("1UMUM"&amp;B100,'Draft SK'!AD:AF,3,FALSE))))</f>
        <v/>
      </c>
      <c r="N100" s="158" t="str">
        <f>IF(C100="","",IF(M100="--","--",VLOOKUP(M100,'Draft SK'!AF:AI,2,FALSE)))</f>
        <v/>
      </c>
      <c r="O100" s="160" t="str">
        <f>IF(C100="","",IFERROR(VLOOKUP("1GPTY"&amp;B100,'Draft SK'!AD:AF,3,FALSE),"--"))</f>
        <v/>
      </c>
      <c r="P100" s="161" t="str">
        <f>IF(C100="","",IF(O100="--","--",VLOOKUP(O100,'Draft SK'!AF:AI,2,FALSE)))</f>
        <v/>
      </c>
      <c r="Q100" s="162" t="str">
        <f>IF(C100="","",IFERROR(IFERROR(VLOOKUP("1GPTY"&amp;B100,'Draft SK'!AB:AG,5,FALSE),VLOOKUP("1GPTT"&amp;B100,'Draft SK'!AB:AG,5,FALSE)),"--"))</f>
        <v/>
      </c>
      <c r="R100" s="162" t="str">
        <f>IF(C100="","",IF(Q100="--","--",VLOOKUP(Q100,'Draft SK'!AF:AI,2,FALSE)))</f>
        <v/>
      </c>
      <c r="S100" s="15"/>
      <c r="T100" s="15"/>
      <c r="U100" s="42">
        <v>45513</v>
      </c>
      <c r="V100" s="6" t="s">
        <v>12</v>
      </c>
      <c r="W100" s="83" t="str">
        <f t="shared" ref="W100" si="25">IF(C100="","",LEFT(G100,FIND("#",SUBSTITUTE(G100,",","#",1))-1))</f>
        <v/>
      </c>
      <c r="X100" s="163" t="str">
        <f t="shared" ref="X100" si="26">IF(C100="","",TRIM(MID(G100,FIND("#",SUBSTITUTE(G100,",","#",1))+1,255)))</f>
        <v/>
      </c>
      <c r="Z100" s="37" t="str">
        <f t="shared" ref="Z100" si="27">IF(K100="","",IF(OR(K100="Aktif",K100="Cuti"),"A","B"))</f>
        <v/>
      </c>
      <c r="AA100" s="37" t="str">
        <f>Z100&amp;COUNTIFS(Z$6:Z100,Z100)</f>
        <v>82</v>
      </c>
      <c r="AB100" s="37">
        <f>COUNTIFS(AA$6:AA100,AA100)</f>
        <v>1</v>
      </c>
    </row>
    <row r="101" spans="1:28" ht="15.5" x14ac:dyDescent="0.35">
      <c r="A101" t="str">
        <f t="shared" si="6"/>
        <v>83</v>
      </c>
      <c r="B101" s="9"/>
      <c r="C101" s="8"/>
      <c r="D101" s="10"/>
      <c r="E101" s="8"/>
      <c r="F101" s="10"/>
      <c r="G101" s="8"/>
      <c r="H101" s="8"/>
      <c r="I101" s="12"/>
      <c r="J101" s="10"/>
      <c r="K101" s="44"/>
      <c r="L101" s="158" t="str">
        <f>IF(C101="","",IF(M101="--",M101,VLOOKUP(M101,'Draft SK'!AF:AI,3,FALSE)))</f>
        <v/>
      </c>
      <c r="M101" s="159" t="str">
        <f>IF(C101="","",IF(B101="","--",IFERROR(VLOOKUP("1GPTT"&amp;B101,'Draft SK'!AD:AF,3,FALSE),VLOOKUP("1UMUM"&amp;B101,'Draft SK'!AD:AF,3,FALSE))))</f>
        <v/>
      </c>
      <c r="N101" s="158" t="str">
        <f>IF(C101="","",IF(M101="--","--",VLOOKUP(M101,'Draft SK'!AF:AI,2,FALSE)))</f>
        <v/>
      </c>
      <c r="O101" s="160" t="str">
        <f>IF(C101="","",IFERROR(VLOOKUP("1GPTY"&amp;B101,'Draft SK'!AD:AF,3,FALSE),"--"))</f>
        <v/>
      </c>
      <c r="P101" s="161" t="str">
        <f>IF(C101="","",IF(O101="--","--",VLOOKUP(O101,'Draft SK'!AF:AI,2,FALSE)))</f>
        <v/>
      </c>
      <c r="Q101" s="162" t="str">
        <f>IF(C101="","",IFERROR(IFERROR(VLOOKUP("1GPTY"&amp;B101,'Draft SK'!AB:AG,5,FALSE),VLOOKUP("1GPTT"&amp;B101,'Draft SK'!AB:AG,5,FALSE)),"--"))</f>
        <v/>
      </c>
      <c r="R101" s="162" t="str">
        <f>IF(C101="","",IF(Q101="--","--",VLOOKUP(Q101,'Draft SK'!AF:AI,2,FALSE)))</f>
        <v/>
      </c>
      <c r="S101" s="11"/>
      <c r="T101" s="6"/>
      <c r="U101" s="10"/>
      <c r="V101" s="6" t="s">
        <v>12</v>
      </c>
      <c r="W101" s="83" t="str">
        <f t="shared" si="7"/>
        <v/>
      </c>
      <c r="X101" s="163" t="str">
        <f t="shared" si="8"/>
        <v/>
      </c>
      <c r="Z101" s="37" t="str">
        <f>IF(K101="","",IF(OR(K101="Aktif",K101="Cuti"),"A","B"))</f>
        <v/>
      </c>
      <c r="AA101" s="37" t="str">
        <f>Z101&amp;COUNTIFS(Z$6:Z101,Z101)</f>
        <v>83</v>
      </c>
      <c r="AB101" s="37">
        <f>COUNTIFS(AA$6:AA101,AA101)</f>
        <v>1</v>
      </c>
    </row>
    <row r="102" spans="1:28" ht="15.5" x14ac:dyDescent="0.35">
      <c r="E102" s="164"/>
      <c r="L102" s="55" t="str">
        <f>IF(C102="","",IF(M102="--",M102,VLOOKUP(M102,'Draft SK'!AF:AI,3,FALSE)))</f>
        <v/>
      </c>
      <c r="N102" s="55" t="str">
        <f>IF(C102="","",IF(M102="--","--",VLOOKUP(M102,'Draft SK'!AF:AI,2,FALSE)))</f>
        <v/>
      </c>
      <c r="O102" s="53" t="str">
        <f>IF(C102="","",IFERROR(VLOOKUP("1GPTY"&amp;B102,'Draft SK'!AD:AF,3,FALSE),"--"))</f>
        <v/>
      </c>
      <c r="P102" s="55" t="str">
        <f>IF(C102="","",IF(O102="--","--",VLOOKUP(O102,'Draft SK'!AF:AI,2,FALSE)))</f>
        <v/>
      </c>
      <c r="Q102" s="55" t="str">
        <f>IF(C102="","",IFERROR(IFERROR(VLOOKUP("1GPTY"&amp;B102,'Draft SK'!AB:AG,5,FALSE),VLOOKUP("1GPTT"&amp;B102,'Draft SK'!AB:AG,5,FALSE)),"--"))</f>
        <v/>
      </c>
      <c r="R102" s="55" t="str">
        <f>IF(C102="","",IF(Q102="--","--",VLOOKUP(Q102,'Draft SK'!AF:AI,2,FALSE)))</f>
        <v/>
      </c>
      <c r="V102" s="6"/>
      <c r="W102" s="83" t="str">
        <f t="shared" si="7"/>
        <v/>
      </c>
      <c r="X102" s="18" t="str">
        <f t="shared" si="8"/>
        <v/>
      </c>
    </row>
    <row r="103" spans="1:28" ht="15.5" x14ac:dyDescent="0.35">
      <c r="E103" s="164"/>
      <c r="L103" s="55" t="str">
        <f>IF(C103="","",IF(M103="--",M103,VLOOKUP(M103,'Draft SK'!AF:AI,3,FALSE)))</f>
        <v/>
      </c>
      <c r="N103" s="55" t="str">
        <f>IF(C103="","",IF(M103="--","--",VLOOKUP(M103,'Draft SK'!AF:AI,2,FALSE)))</f>
        <v/>
      </c>
      <c r="O103" s="53" t="str">
        <f>IF(C103="","",IFERROR(VLOOKUP("1GPTY"&amp;B103,'Draft SK'!AD:AF,3,FALSE),"--"))</f>
        <v/>
      </c>
      <c r="P103" s="55" t="str">
        <f>IF(C103="","",IF(O103="--","--",VLOOKUP(O103,'Draft SK'!AF:AI,2,FALSE)))</f>
        <v/>
      </c>
      <c r="Q103" s="55" t="str">
        <f>IF(C103="","",IFERROR(IFERROR(VLOOKUP("1GPTY"&amp;B103,'Draft SK'!AB:AG,5,FALSE),VLOOKUP("1GPTT"&amp;B103,'Draft SK'!AB:AG,5,FALSE)),"--"))</f>
        <v/>
      </c>
      <c r="R103" s="55" t="str">
        <f>IF(C103="","",IF(Q103="--","--",VLOOKUP(Q103,'Draft SK'!AF:AI,2,FALSE)))</f>
        <v/>
      </c>
      <c r="V103" s="6"/>
      <c r="W103" s="83" t="str">
        <f t="shared" si="7"/>
        <v/>
      </c>
      <c r="X103" s="18" t="str">
        <f t="shared" si="8"/>
        <v/>
      </c>
    </row>
    <row r="104" spans="1:28" ht="15.5" x14ac:dyDescent="0.35">
      <c r="E104" s="164"/>
      <c r="L104" s="55" t="str">
        <f>IF(C104="","",IF(M104="--",M104,VLOOKUP(M104,'Draft SK'!AF:AI,3,FALSE)))</f>
        <v/>
      </c>
      <c r="N104" s="55" t="str">
        <f>IF(C104="","",IF(M104="--","--",VLOOKUP(M104,'Draft SK'!AF:AI,2,FALSE)))</f>
        <v/>
      </c>
      <c r="O104" s="53" t="str">
        <f>IF(C104="","",IFERROR(VLOOKUP("1GPTY"&amp;B104,'Draft SK'!AD:AF,3,FALSE),"--"))</f>
        <v/>
      </c>
      <c r="P104" s="55" t="str">
        <f>IF(C104="","",IF(O104="--","--",VLOOKUP(O104,'Draft SK'!AF:AI,2,FALSE)))</f>
        <v/>
      </c>
      <c r="Q104" s="55" t="str">
        <f>IF(C104="","",IFERROR(IFERROR(VLOOKUP("1GPTY"&amp;B104,'Draft SK'!AB:AG,5,FALSE),VLOOKUP("1GPTT"&amp;B104,'Draft SK'!AB:AG,5,FALSE)),"--"))</f>
        <v/>
      </c>
      <c r="R104" s="55" t="str">
        <f>IF(C104="","",IF(Q104="--","--",VLOOKUP(Q104,'Draft SK'!AF:AI,2,FALSE)))</f>
        <v/>
      </c>
      <c r="V104" s="6"/>
      <c r="W104" s="83" t="str">
        <f t="shared" si="7"/>
        <v/>
      </c>
      <c r="X104" s="18" t="str">
        <f t="shared" si="8"/>
        <v/>
      </c>
    </row>
    <row r="105" spans="1:28" ht="15.5" x14ac:dyDescent="0.35">
      <c r="E105" s="164"/>
      <c r="L105" s="55" t="str">
        <f>IF(C105="","",IF(M105="--",M105,VLOOKUP(M105,'Draft SK'!AF:AI,3,FALSE)))</f>
        <v/>
      </c>
      <c r="N105" s="55" t="str">
        <f>IF(C105="","",IF(M105="--","--",VLOOKUP(M105,'Draft SK'!AF:AI,2,FALSE)))</f>
        <v/>
      </c>
      <c r="O105" s="53" t="str">
        <f>IF(C105="","",IFERROR(VLOOKUP("1GPTY"&amp;B105,'Draft SK'!AD:AF,3,FALSE),"--"))</f>
        <v/>
      </c>
      <c r="P105" s="55" t="str">
        <f>IF(C105="","",IF(O105="--","--",VLOOKUP(O105,'Draft SK'!AF:AI,2,FALSE)))</f>
        <v/>
      </c>
      <c r="Q105" s="55" t="str">
        <f>IF(C105="","",IFERROR(IFERROR(VLOOKUP("1GPTY"&amp;B105,'Draft SK'!AB:AG,5,FALSE),VLOOKUP("1GPTT"&amp;B105,'Draft SK'!AB:AG,5,FALSE)),"--"))</f>
        <v/>
      </c>
      <c r="R105" s="55" t="str">
        <f>IF(C105="","",IF(Q105="--","--",VLOOKUP(Q105,'Draft SK'!AF:AI,2,FALSE)))</f>
        <v/>
      </c>
      <c r="V105" s="6"/>
      <c r="W105" s="83" t="str">
        <f t="shared" si="7"/>
        <v/>
      </c>
      <c r="X105" s="18" t="str">
        <f t="shared" si="8"/>
        <v/>
      </c>
    </row>
  </sheetData>
  <autoFilter ref="A5:V105" xr:uid="{00000000-0001-0000-0200-000000000000}"/>
  <mergeCells count="3">
    <mergeCell ref="L4:N4"/>
    <mergeCell ref="O4:P4"/>
    <mergeCell ref="Q4:R4"/>
  </mergeCells>
  <phoneticPr fontId="8" type="noConversion"/>
  <conditionalFormatting sqref="B2:B3">
    <cfRule type="expression" dxfId="27" priority="125">
      <formula>$K1="Cuti"</formula>
    </cfRule>
    <cfRule type="expression" dxfId="26" priority="126">
      <formula>$K1="Non Aktif"</formula>
    </cfRule>
  </conditionalFormatting>
  <conditionalFormatting sqref="B1:AC2 B3:X3 Z3:AC3 B4:AC4 B5:X5 Z5:AC5 B6:AC1048576">
    <cfRule type="expression" dxfId="25" priority="1">
      <formula>$K1="Cuti"</formula>
    </cfRule>
    <cfRule type="expression" dxfId="24" priority="2">
      <formula>$K1="Non Aktif"</formula>
    </cfRule>
  </conditionalFormatting>
  <conditionalFormatting sqref="Y5">
    <cfRule type="expression" dxfId="23" priority="121">
      <formula>$K3="Cuti"</formula>
    </cfRule>
    <cfRule type="expression" dxfId="22" priority="122">
      <formula>$K3="Non Aktif"</formula>
    </cfRule>
  </conditionalFormatting>
  <dataValidations count="1">
    <dataValidation type="list" allowBlank="1" showInputMessage="1" showErrorMessage="1" sqref="K6:K101" xr:uid="{00000000-0002-0000-0200-000000000000}">
      <formula1>"Aktif,Non Aktif,Cuti"</formula1>
    </dataValidation>
  </dataValidations>
  <pageMargins left="0.62992125984251968" right="0.23622047244094491" top="0.55118110236220474" bottom="0.35433070866141736" header="0.31496062992125984" footer="0.31496062992125984"/>
  <pageSetup paperSize="9" scale="5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108"/>
  <sheetViews>
    <sheetView showGridLines="0" tabSelected="1" topLeftCell="A3" zoomScale="73" workbookViewId="0">
      <selection activeCell="A11" sqref="A11"/>
    </sheetView>
  </sheetViews>
  <sheetFormatPr defaultColWidth="8.7265625" defaultRowHeight="14.5" outlineLevelRow="1" outlineLevelCol="2" x14ac:dyDescent="0.35"/>
  <cols>
    <col min="1" max="1" width="5.7265625" style="22" customWidth="1"/>
    <col min="2" max="2" width="27.36328125" style="131" customWidth="1"/>
    <col min="3" max="3" width="15.36328125" style="132" bestFit="1" customWidth="1" outlineLevel="1"/>
    <col min="4" max="4" width="20.1796875" style="47" customWidth="1" outlineLevel="1"/>
    <col min="5" max="5" width="11.81640625" style="138" bestFit="1" customWidth="1"/>
    <col min="6" max="6" width="19.453125" style="138" customWidth="1"/>
    <col min="7" max="7" width="6.26953125" style="131" customWidth="1"/>
    <col min="8" max="8" width="12.08984375" style="47" customWidth="1"/>
    <col min="9" max="9" width="62.26953125" style="47" hidden="1" customWidth="1" outlineLevel="1"/>
    <col min="10" max="10" width="49.26953125" style="47" customWidth="1" collapsed="1"/>
    <col min="11" max="11" width="13.1796875" style="132" customWidth="1" outlineLevel="1"/>
    <col min="12" max="12" width="6.90625" style="132" customWidth="1"/>
    <col min="13" max="13" width="19.08984375" style="93" bestFit="1" customWidth="1"/>
    <col min="14" max="14" width="15.6328125" style="132" customWidth="1" outlineLevel="1"/>
    <col min="15" max="15" width="15.6328125" style="145" customWidth="1" outlineLevel="1"/>
    <col min="16" max="19" width="15.6328125" style="132" customWidth="1" outlineLevel="1"/>
    <col min="20" max="20" width="15.36328125" style="47" hidden="1" customWidth="1" outlineLevel="2"/>
    <col min="21" max="21" width="37.54296875" style="22" hidden="1" customWidth="1" outlineLevel="2" collapsed="1"/>
    <col min="22" max="22" width="8.7265625" style="22" hidden="1" customWidth="1" outlineLevel="2"/>
    <col min="23" max="23" width="10.90625" style="22" customWidth="1" outlineLevel="1" collapsed="1"/>
    <col min="24" max="24" width="8.7265625" style="22"/>
    <col min="25" max="26" width="8.7265625" style="47"/>
    <col min="27" max="28" width="8.7265625" style="47" hidden="1" customWidth="1" outlineLevel="1"/>
    <col min="29" max="29" width="8.7265625" style="22" collapsed="1"/>
    <col min="30" max="16384" width="8.7265625" style="22"/>
  </cols>
  <sheetData>
    <row r="1" spans="1:28" ht="21" x14ac:dyDescent="0.5">
      <c r="A1" s="126" t="s">
        <v>634</v>
      </c>
      <c r="D1" s="48"/>
      <c r="E1" s="137"/>
      <c r="F1" s="137"/>
      <c r="G1" s="141"/>
      <c r="H1" s="48"/>
      <c r="I1" s="48"/>
      <c r="J1" s="48"/>
      <c r="K1" s="143"/>
      <c r="L1" s="143"/>
      <c r="M1" s="92"/>
      <c r="N1" s="143"/>
      <c r="O1" s="144"/>
      <c r="P1" s="143"/>
      <c r="Q1" s="143"/>
      <c r="R1" s="143"/>
      <c r="S1" s="143"/>
      <c r="T1" s="48"/>
    </row>
    <row r="2" spans="1:28" ht="15.5" x14ac:dyDescent="0.35">
      <c r="A2" s="7" t="s">
        <v>636</v>
      </c>
      <c r="D2" s="48"/>
      <c r="E2" s="137"/>
      <c r="F2" s="137"/>
      <c r="G2" s="141"/>
      <c r="H2" s="48"/>
      <c r="I2" s="48"/>
      <c r="J2" s="48"/>
      <c r="K2" s="143"/>
      <c r="L2" s="143"/>
      <c r="M2" s="92"/>
      <c r="N2" s="143"/>
      <c r="O2" s="144"/>
      <c r="P2" s="143"/>
      <c r="Q2" s="143"/>
      <c r="R2" s="143"/>
      <c r="S2" s="143"/>
      <c r="T2" s="48"/>
      <c r="AA2" s="51" t="s">
        <v>0</v>
      </c>
      <c r="AB2" s="51" t="s">
        <v>515</v>
      </c>
    </row>
    <row r="3" spans="1:28" x14ac:dyDescent="0.35">
      <c r="P3" s="143"/>
      <c r="Q3" s="143"/>
      <c r="R3" s="143"/>
      <c r="S3" s="143"/>
      <c r="AA3" s="51">
        <v>1</v>
      </c>
      <c r="AB3" s="51">
        <f>COUNTIFS(C$6:X$6,AA3)</f>
        <v>0</v>
      </c>
    </row>
    <row r="4" spans="1:28" x14ac:dyDescent="0.35">
      <c r="A4" s="39" t="s">
        <v>511</v>
      </c>
      <c r="B4" s="133"/>
      <c r="C4" s="82" t="s">
        <v>512</v>
      </c>
      <c r="D4" s="49" t="s">
        <v>70</v>
      </c>
      <c r="E4" s="90" t="str">
        <f>IF(D4="Non Aktif","B",IF(D4="Aktif","A",""))</f>
        <v>A</v>
      </c>
      <c r="G4" s="142"/>
      <c r="H4" s="50"/>
      <c r="I4" s="50"/>
      <c r="J4" s="50"/>
      <c r="K4" s="146"/>
      <c r="L4" s="146"/>
      <c r="M4" s="94"/>
      <c r="N4" s="146"/>
      <c r="O4" s="147"/>
      <c r="P4" s="143"/>
      <c r="Q4" s="143"/>
      <c r="R4" s="143"/>
      <c r="S4" s="143"/>
      <c r="T4" s="50"/>
      <c r="AA4" s="51">
        <v>2</v>
      </c>
      <c r="AB4" s="51">
        <f t="shared" ref="AB4:AB27" si="0">COUNTIFS(C$6:X$6,AA4)</f>
        <v>0</v>
      </c>
    </row>
    <row r="5" spans="1:28" ht="7" customHeight="1" x14ac:dyDescent="0.35">
      <c r="A5" s="39"/>
      <c r="B5" s="133"/>
      <c r="C5" s="134"/>
      <c r="D5" s="49"/>
      <c r="E5" s="139"/>
      <c r="G5" s="142"/>
      <c r="H5" s="50"/>
      <c r="I5" s="50"/>
      <c r="J5" s="50"/>
      <c r="K5" s="146"/>
      <c r="L5" s="146"/>
      <c r="M5" s="94"/>
      <c r="N5" s="146"/>
      <c r="O5" s="147"/>
      <c r="P5" s="143"/>
      <c r="Q5" s="143"/>
      <c r="R5" s="143"/>
      <c r="S5" s="143"/>
      <c r="T5" s="50"/>
      <c r="AA5" s="51">
        <v>3</v>
      </c>
      <c r="AB5" s="51">
        <f t="shared" si="0"/>
        <v>0</v>
      </c>
    </row>
    <row r="6" spans="1:28" s="84" customFormat="1" hidden="1" outlineLevel="1" x14ac:dyDescent="0.35">
      <c r="B6" s="96">
        <v>3</v>
      </c>
      <c r="C6" s="96">
        <v>5</v>
      </c>
      <c r="D6" s="96">
        <v>22</v>
      </c>
      <c r="E6" s="96">
        <v>23</v>
      </c>
      <c r="F6" s="96">
        <v>24</v>
      </c>
      <c r="G6" s="96">
        <v>6</v>
      </c>
      <c r="H6" s="84">
        <v>8</v>
      </c>
      <c r="I6" s="96">
        <v>19</v>
      </c>
      <c r="J6" s="96">
        <v>20</v>
      </c>
      <c r="K6" s="96">
        <v>21</v>
      </c>
      <c r="L6" s="96">
        <v>10</v>
      </c>
      <c r="M6" s="95">
        <v>9</v>
      </c>
      <c r="N6" s="96">
        <v>12</v>
      </c>
      <c r="O6" s="96">
        <v>13</v>
      </c>
      <c r="P6" s="96">
        <v>16</v>
      </c>
      <c r="Q6" s="96">
        <v>15</v>
      </c>
      <c r="R6" s="96">
        <v>18</v>
      </c>
      <c r="S6" s="96">
        <v>17</v>
      </c>
      <c r="T6" s="84">
        <v>25</v>
      </c>
      <c r="Y6" s="47"/>
      <c r="AA6" s="105">
        <v>4</v>
      </c>
      <c r="AB6" s="51">
        <f t="shared" si="0"/>
        <v>0</v>
      </c>
    </row>
    <row r="7" spans="1:28" s="84" customFormat="1" ht="31" customHeight="1" collapsed="1" x14ac:dyDescent="0.35">
      <c r="A7" s="177" t="s">
        <v>0</v>
      </c>
      <c r="B7" s="177" t="str">
        <f>VLOOKUP($A7,'Data Induk Pegawai'!$A5:$AA5,B6,FALSE)</f>
        <v>Nama Pegawai</v>
      </c>
      <c r="C7" s="177" t="str">
        <f>VLOOKUP($A7,'Data Induk Pegawai'!$A5:$AA5,C6,FALSE)</f>
        <v>NIPY</v>
      </c>
      <c r="D7" s="177" t="str">
        <f>VLOOKUP($A7,'Data Induk Pegawai'!$A5:$AA5,D6,FALSE)</f>
        <v>NUPTK</v>
      </c>
      <c r="E7" s="179" t="s">
        <v>517</v>
      </c>
      <c r="F7" s="180"/>
      <c r="G7" s="177" t="str">
        <f>VLOOKUP($A7,'Data Induk Pegawai'!$A5:$AA5,G6,FALSE)</f>
        <v>L/P</v>
      </c>
      <c r="H7" s="181" t="str">
        <f>VLOOKUP($A7,'Data Induk Pegawai'!$A5:$AA5,H6,FALSE)</f>
        <v>Pendidikan Terakhir</v>
      </c>
      <c r="I7" s="20" t="str">
        <f>VLOOKUP($A7,'Data Induk Pegawai'!$A5:$AA5,I6,FALSE)</f>
        <v>Nama Sekolah / Perguruan Tinggi Terakhir</v>
      </c>
      <c r="J7" s="177" t="str">
        <f>VLOOKUP($A7,'Data Induk Pegawai'!$A5:$AA5,J6,FALSE)</f>
        <v>Jurusan / Program Studi</v>
      </c>
      <c r="K7" s="177" t="str">
        <f>VLOOKUP($A7,'Data Induk Pegawai'!$A5:$AA5,K6,FALSE)</f>
        <v>Perkiraan Mulai Bekerja</v>
      </c>
      <c r="L7" s="177" t="str">
        <f>VLOOKUP($A7,'Data Induk Pegawai'!$A5:$AA5,L6,FALSE)</f>
        <v>Status</v>
      </c>
      <c r="M7" s="177" t="str">
        <f>VLOOKUP($A7,'Data Induk Pegawai'!$A5:$AA5,M6,FALSE)</f>
        <v>Jabatan</v>
      </c>
      <c r="N7" s="179" t="s">
        <v>519</v>
      </c>
      <c r="O7" s="180"/>
      <c r="P7" s="179" t="s">
        <v>520</v>
      </c>
      <c r="Q7" s="180"/>
      <c r="R7" s="179" t="s">
        <v>567</v>
      </c>
      <c r="S7" s="180"/>
      <c r="T7" s="20"/>
      <c r="Y7" s="47"/>
      <c r="AA7" s="51"/>
      <c r="AB7" s="51"/>
    </row>
    <row r="8" spans="1:28" s="47" customFormat="1" ht="31" customHeight="1" x14ac:dyDescent="0.35">
      <c r="A8" s="178"/>
      <c r="B8" s="178"/>
      <c r="C8" s="178"/>
      <c r="D8" s="178"/>
      <c r="E8" s="149" t="str">
        <f>VLOOKUP($A7,'Data Induk Pegawai'!$A5:$AA5,E6,FALSE)</f>
        <v>Tempat</v>
      </c>
      <c r="F8" s="149" t="str">
        <f>VLOOKUP($A7,'Data Induk Pegawai'!$A5:$AA5,F6,FALSE)</f>
        <v>Tanggal</v>
      </c>
      <c r="G8" s="178"/>
      <c r="H8" s="182"/>
      <c r="I8" s="149"/>
      <c r="J8" s="178"/>
      <c r="K8" s="178"/>
      <c r="L8" s="178"/>
      <c r="M8" s="178"/>
      <c r="N8" s="149" t="str">
        <f>VLOOKUP($A7,'Data Induk Pegawai'!$A5:$AA5,N6,FALSE)</f>
        <v>TMT GTT</v>
      </c>
      <c r="O8" s="149" t="str">
        <f>VLOOKUP($A7,'Data Induk Pegawai'!$A5:$AA5,O6,FALSE)</f>
        <v>No. SK GTT</v>
      </c>
      <c r="P8" s="149" t="str">
        <f>VLOOKUP($A7,'Data Induk Pegawai'!$A5:$AA5,P6,FALSE)</f>
        <v>Tgl SK GTY</v>
      </c>
      <c r="Q8" s="149" t="str">
        <f>VLOOKUP($A7,'Data Induk Pegawai'!$A5:$AA5,Q6,FALSE)</f>
        <v>No. SK GTY</v>
      </c>
      <c r="R8" s="149" t="str">
        <f>VLOOKUP($A7,'Data Induk Pegawai'!$A5:$AA5,R6,FALSE)</f>
        <v>Tgl SK</v>
      </c>
      <c r="S8" s="149" t="str">
        <f>VLOOKUP($A7,'Data Induk Pegawai'!$A5:$AA5,S6,FALSE)</f>
        <v>No. SK</v>
      </c>
      <c r="T8" s="149"/>
      <c r="U8" s="21" t="s">
        <v>102</v>
      </c>
      <c r="V8" s="21" t="s">
        <v>103</v>
      </c>
      <c r="AA8" s="51">
        <v>6</v>
      </c>
      <c r="AB8" s="51">
        <f t="shared" si="0"/>
        <v>1</v>
      </c>
    </row>
    <row r="9" spans="1:28" ht="15.5" x14ac:dyDescent="0.35">
      <c r="A9" s="51">
        <v>1</v>
      </c>
      <c r="B9" s="52" t="str">
        <f>IFERROR(VLOOKUP($E$4&amp;$A9,'Data Induk Pegawai'!$A:$Z,B$6,FALSE),"-")</f>
        <v>Joko Susilo Yudoyono</v>
      </c>
      <c r="C9" s="53" t="str">
        <f>IFERROR(VLOOKUP($E$4&amp;$A9,'Data Induk Pegawai'!$A:$Z,C$6,FALSE),"-")</f>
        <v>2020.01.001</v>
      </c>
      <c r="D9" s="53">
        <f>IFERROR(VLOOKUP($E$4&amp;$A9,'Data Induk Pegawai'!$A:$Z,D$6,FALSE),"-")</f>
        <v>12345</v>
      </c>
      <c r="E9" s="150" t="str">
        <f>IFERROR(VLOOKUP($E$4&amp;$A9,'Data Induk Pegawai'!$A:$Z,E$6,FALSE),"-")</f>
        <v>Pluto</v>
      </c>
      <c r="F9" s="150" t="str">
        <f>IFERROR(VLOOKUP($E$4&amp;$A9,'Data Induk Pegawai'!$A:$Z,F$6,FALSE),"-")</f>
        <v>11 Januari 1970</v>
      </c>
      <c r="G9" s="53" t="str">
        <f>IFERROR(VLOOKUP($E$4&amp;$A9,'Data Induk Pegawai'!$A:$Z,G$6,FALSE),"-")</f>
        <v>L</v>
      </c>
      <c r="H9" s="53" t="str">
        <f>IFERROR(LEFT(VLOOKUP($E$4&amp;$A9,'Data Induk Pegawai'!$A:$Z,H$6,FALSE),3),"-")</f>
        <v xml:space="preserve">S3 </v>
      </c>
      <c r="I9" s="53" t="str">
        <f>IFERROR(VLOOKUP($E$4&amp;$A9,'Data Induk Pegawai'!$A:$Z,I$6,FALSE),"-")</f>
        <v>Universitas Gajah Mada</v>
      </c>
      <c r="J9" s="91" t="str">
        <f>IFERROR(VLOOKUP($E$4&amp;$A9,'Data Induk Pegawai'!$A:$Z,J$6,FALSE),"-")</f>
        <v>Manajemen Pendidikan</v>
      </c>
      <c r="K9" s="54">
        <f>IFERROR(VLOOKUP($E$4&amp;$A9,'Data Induk Pegawai'!$A:$Z,K$6,FALSE),"-")</f>
        <v>44013</v>
      </c>
      <c r="L9" s="54" t="str">
        <f>IFERROR(VLOOKUP($E$4&amp;$A9,'Data Induk Pegawai'!$A:$Z,L$6,FALSE),"-")</f>
        <v>GTY</v>
      </c>
      <c r="M9" s="91" t="str">
        <f>IFERROR(VLOOKUP($E$4&amp;$A9,'Data Induk Pegawai'!$A:$Z,M$6,FALSE),"-")</f>
        <v>Kepala Sekolah</v>
      </c>
      <c r="N9" s="54" t="str">
        <f>IFERROR(VLOOKUP($E$4&amp;$A9,'Data Induk Pegawai'!$A:$Z,N$6,FALSE),"-")</f>
        <v>-</v>
      </c>
      <c r="O9" s="54" t="str">
        <f>IFERROR(VLOOKUP($E$4&amp;$A9,'Data Induk Pegawai'!$A:$Z,O$6,FALSE),"-")</f>
        <v>-</v>
      </c>
      <c r="P9" s="54" t="str">
        <f>IFERROR(VLOOKUP($E$4&amp;$A9,'Data Induk Pegawai'!$A:$Z,P$6,FALSE),"-")</f>
        <v>--</v>
      </c>
      <c r="Q9" s="53" t="str">
        <f>IFERROR(VLOOKUP($E$4&amp;$A9,'Data Induk Pegawai'!$A:$Z,Q$6,FALSE),"-")</f>
        <v>--</v>
      </c>
      <c r="R9" s="54" t="str">
        <f>IFERROR(VLOOKUP($E$4&amp;$A9,'Data Induk Pegawai'!$A:$Z,R$6,FALSE),"-")</f>
        <v>--</v>
      </c>
      <c r="S9" s="54" t="str">
        <f>IFERROR(VLOOKUP($E$4&amp;$A9,'Data Induk Pegawai'!$A:$Z,S$6,FALSE),"-")</f>
        <v>--</v>
      </c>
      <c r="T9" s="53">
        <f>IFERROR(VLOOKUP($E$4&amp;$A9,'Data Induk Pegawai'!$A:$Z,T$6,FALSE),"-")</f>
        <v>0</v>
      </c>
      <c r="U9" s="53" t="str">
        <f>IFERROR(VLOOKUP($E$4&amp;$A9,'Data Induk Pegawai'!$A:$Z,U$6,FALSE),"-")</f>
        <v>-</v>
      </c>
      <c r="V9" s="53" t="str">
        <f>IFERROR(VLOOKUP($E$4&amp;$A9,'Data Induk Pegawai'!$A:$Z,V$6,FALSE),"-")</f>
        <v>-</v>
      </c>
      <c r="AA9" s="51">
        <v>7</v>
      </c>
      <c r="AB9" s="51">
        <f t="shared" si="0"/>
        <v>0</v>
      </c>
    </row>
    <row r="10" spans="1:28" ht="15.5" x14ac:dyDescent="0.35">
      <c r="A10" s="51">
        <f>IF(B9="","",A9+1)</f>
        <v>2</v>
      </c>
      <c r="B10" s="52" t="str">
        <f>IFERROR(VLOOKUP($E$4&amp;$A10,'Data Induk Pegawai'!$A:$Z,B$6,FALSE),"-")</f>
        <v>Satrio Sadewo</v>
      </c>
      <c r="C10" s="53" t="str">
        <f>IFERROR(VLOOKUP($E$4&amp;$A10,'Data Induk Pegawai'!$A:$Z,C$6,FALSE),"-")</f>
        <v>2020.01.002</v>
      </c>
      <c r="D10" s="53">
        <f>IFERROR(VLOOKUP($E$4&amp;$A10,'Data Induk Pegawai'!$A:$Z,D$6,FALSE),"-")</f>
        <v>23456</v>
      </c>
      <c r="E10" s="150" t="str">
        <f>IFERROR(VLOOKUP($E$4&amp;$A10,'Data Induk Pegawai'!$A:$Z,E$6,FALSE),"-")</f>
        <v>Malang</v>
      </c>
      <c r="F10" s="150" t="str">
        <f>IFERROR(VLOOKUP($E$4&amp;$A10,'Data Induk Pegawai'!$A:$Z,F$6,FALSE),"-")</f>
        <v>12 Februari 1972</v>
      </c>
      <c r="G10" s="53" t="str">
        <f>IFERROR(VLOOKUP($E$4&amp;$A10,'Data Induk Pegawai'!$A:$Z,G$6,FALSE),"-")</f>
        <v>L</v>
      </c>
      <c r="H10" s="53" t="str">
        <f>IFERROR(LEFT(VLOOKUP($E$4&amp;$A10,'Data Induk Pegawai'!$A:$Z,H$6,FALSE),3),"-")</f>
        <v xml:space="preserve">S2 </v>
      </c>
      <c r="I10" s="53" t="str">
        <f>IFERROR(VLOOKUP($E$4&amp;$A10,'Data Induk Pegawai'!$A:$Z,I$6,FALSE),"-")</f>
        <v>Universitas Indonesia</v>
      </c>
      <c r="J10" s="91" t="str">
        <f>IFERROR(VLOOKUP($E$4&amp;$A10,'Data Induk Pegawai'!$A:$Z,J$6,FALSE),"-")</f>
        <v>Manajemen Keuangan</v>
      </c>
      <c r="K10" s="54">
        <f>IFERROR(VLOOKUP($E$4&amp;$A10,'Data Induk Pegawai'!$A:$Z,K$6,FALSE),"-")</f>
        <v>44013</v>
      </c>
      <c r="L10" s="54" t="str">
        <f>IFERROR(VLOOKUP($E$4&amp;$A10,'Data Induk Pegawai'!$A:$Z,L$6,FALSE),"-")</f>
        <v>GTY</v>
      </c>
      <c r="M10" s="91" t="str">
        <f>IFERROR(VLOOKUP($E$4&amp;$A10,'Data Induk Pegawai'!$A:$Z,M$6,FALSE),"-")</f>
        <v>Wakil Kepala Sekolah</v>
      </c>
      <c r="N10" s="54" t="str">
        <f>IFERROR(VLOOKUP($E$4&amp;$A10,'Data Induk Pegawai'!$A:$Z,N$6,FALSE),"-")</f>
        <v>-</v>
      </c>
      <c r="O10" s="54" t="str">
        <f>IFERROR(VLOOKUP($E$4&amp;$A10,'Data Induk Pegawai'!$A:$Z,O$6,FALSE),"-")</f>
        <v>-</v>
      </c>
      <c r="P10" s="54" t="str">
        <f>IFERROR(VLOOKUP($E$4&amp;$A10,'Data Induk Pegawai'!$A:$Z,P$6,FALSE),"-")</f>
        <v>--</v>
      </c>
      <c r="Q10" s="53" t="str">
        <f>IFERROR(VLOOKUP($E$4&amp;$A10,'Data Induk Pegawai'!$A:$Z,Q$6,FALSE),"-")</f>
        <v>--</v>
      </c>
      <c r="R10" s="54" t="str">
        <f>IFERROR(VLOOKUP($E$4&amp;$A10,'Data Induk Pegawai'!$A:$Z,R$6,FALSE),"-")</f>
        <v>--</v>
      </c>
      <c r="S10" s="54" t="str">
        <f>IFERROR(VLOOKUP($E$4&amp;$A10,'Data Induk Pegawai'!$A:$Z,S$6,FALSE),"-")</f>
        <v>--</v>
      </c>
      <c r="T10" s="53">
        <f>IFERROR(VLOOKUP($E$4&amp;$A10,'Data Induk Pegawai'!$A:$Z,T$6,FALSE),"-")</f>
        <v>0</v>
      </c>
      <c r="U10" s="53" t="str">
        <f>IFERROR(VLOOKUP($E$4&amp;$A10,'Data Induk Pegawai'!$A:$Z,U$6,FALSE),"-")</f>
        <v>-</v>
      </c>
      <c r="V10" s="53" t="str">
        <f>IFERROR(VLOOKUP($E$4&amp;$A10,'Data Induk Pegawai'!$A:$Z,V$6,FALSE),"-")</f>
        <v>-</v>
      </c>
      <c r="AA10" s="51">
        <v>8</v>
      </c>
      <c r="AB10" s="51">
        <f t="shared" si="0"/>
        <v>1</v>
      </c>
    </row>
    <row r="11" spans="1:28" ht="15.5" x14ac:dyDescent="0.35">
      <c r="A11" s="51">
        <v>3</v>
      </c>
      <c r="B11" s="52" t="str">
        <f>IFERROR(VLOOKUP($E$4&amp;$A11,'Data Induk Pegawai'!$A:$Z,B$6,FALSE),"-")</f>
        <v>Sugiharto Sedunyo</v>
      </c>
      <c r="C11" s="53" t="str">
        <f>IFERROR(VLOOKUP($E$4&amp;$A11,'Data Induk Pegawai'!$A:$Z,C$6,FALSE),"-")</f>
        <v>2021.01.003</v>
      </c>
      <c r="D11" s="53">
        <f>IFERROR(VLOOKUP($E$4&amp;$A11,'Data Induk Pegawai'!$A:$Z,D$6,FALSE),"-")</f>
        <v>34567</v>
      </c>
      <c r="E11" s="150" t="str">
        <f>IFERROR(VLOOKUP($E$4&amp;$A11,'Data Induk Pegawai'!$A:$Z,E$6,FALSE),"-")</f>
        <v>Semarang</v>
      </c>
      <c r="F11" s="150" t="str">
        <f>IFERROR(VLOOKUP($E$4&amp;$A11,'Data Induk Pegawai'!$A:$Z,F$6,FALSE),"-")</f>
        <v>30 Maret 1973</v>
      </c>
      <c r="G11" s="53" t="str">
        <f>IFERROR(VLOOKUP($E$4&amp;$A11,'Data Induk Pegawai'!$A:$Z,G$6,FALSE),"-")</f>
        <v>L</v>
      </c>
      <c r="H11" s="53" t="str">
        <f>IFERROR(LEFT(VLOOKUP($E$4&amp;$A11,'Data Induk Pegawai'!$A:$Z,H$6,FALSE),3),"-")</f>
        <v xml:space="preserve">S2 </v>
      </c>
      <c r="I11" s="53" t="str">
        <f>IFERROR(VLOOKUP($E$4&amp;$A11,'Data Induk Pegawai'!$A:$Z,I$6,FALSE),"-")</f>
        <v>Institut Pertanian Bogor</v>
      </c>
      <c r="J11" s="91" t="str">
        <f>IFERROR(VLOOKUP($E$4&amp;$A11,'Data Induk Pegawai'!$A:$Z,J$6,FALSE),"-")</f>
        <v>Akuntansi</v>
      </c>
      <c r="K11" s="54">
        <f>IFERROR(VLOOKUP($E$4&amp;$A11,'Data Induk Pegawai'!$A:$Z,K$6,FALSE),"-")</f>
        <v>44378</v>
      </c>
      <c r="L11" s="54" t="str">
        <f>IFERROR(VLOOKUP($E$4&amp;$A11,'Data Induk Pegawai'!$A:$Z,L$6,FALSE),"-")</f>
        <v>GTY</v>
      </c>
      <c r="M11" s="91" t="str">
        <f>IFERROR(VLOOKUP($E$4&amp;$A11,'Data Induk Pegawai'!$A:$Z,M$6,FALSE),"-")</f>
        <v>Bendahara Sekolah</v>
      </c>
      <c r="N11" s="54" t="str">
        <f>IFERROR(VLOOKUP($E$4&amp;$A11,'Data Induk Pegawai'!$A:$Z,N$6,FALSE),"-")</f>
        <v>-</v>
      </c>
      <c r="O11" s="54" t="str">
        <f>IFERROR(VLOOKUP($E$4&amp;$A11,'Data Induk Pegawai'!$A:$Z,O$6,FALSE),"-")</f>
        <v>-</v>
      </c>
      <c r="P11" s="54" t="str">
        <f>IFERROR(VLOOKUP($E$4&amp;$A11,'Data Induk Pegawai'!$A:$Z,P$6,FALSE),"-")</f>
        <v>--</v>
      </c>
      <c r="Q11" s="53" t="str">
        <f>IFERROR(VLOOKUP($E$4&amp;$A11,'Data Induk Pegawai'!$A:$Z,Q$6,FALSE),"-")</f>
        <v>--</v>
      </c>
      <c r="R11" s="54" t="str">
        <f>IFERROR(VLOOKUP($E$4&amp;$A11,'Data Induk Pegawai'!$A:$Z,R$6,FALSE),"-")</f>
        <v>--</v>
      </c>
      <c r="S11" s="54" t="str">
        <f>IFERROR(VLOOKUP($E$4&amp;$A11,'Data Induk Pegawai'!$A:$Z,S$6,FALSE),"-")</f>
        <v>--</v>
      </c>
      <c r="T11" s="53">
        <f>IFERROR(VLOOKUP($E$4&amp;$A11,'Data Induk Pegawai'!$A:$Z,T$6,FALSE),"-")</f>
        <v>0</v>
      </c>
      <c r="U11" s="53" t="str">
        <f>IFERROR(VLOOKUP($E$4&amp;$A11,'Data Induk Pegawai'!$A:$Z,U$6,FALSE),"-")</f>
        <v>-</v>
      </c>
      <c r="V11" s="53" t="str">
        <f>IFERROR(VLOOKUP($E$4&amp;$A11,'Data Induk Pegawai'!$A:$Z,V$6,FALSE),"-")</f>
        <v>-</v>
      </c>
      <c r="AA11" s="51">
        <v>9</v>
      </c>
      <c r="AB11" s="51">
        <f t="shared" si="0"/>
        <v>1</v>
      </c>
    </row>
    <row r="12" spans="1:28" ht="15.5" x14ac:dyDescent="0.35">
      <c r="A12" s="51">
        <v>4</v>
      </c>
      <c r="B12" s="52" t="str">
        <f>IFERROR(VLOOKUP($E$4&amp;$A12,'Data Induk Pegawai'!$A:$Z,B$6,FALSE),"-")</f>
        <v>Pegawai 1</v>
      </c>
      <c r="C12" s="53" t="str">
        <f>IFERROR(VLOOKUP($E$4&amp;$A12,'Data Induk Pegawai'!$A:$Z,C$6,FALSE),"-")</f>
        <v>2021.01.004</v>
      </c>
      <c r="D12" s="53">
        <f>IFERROR(VLOOKUP($E$4&amp;$A12,'Data Induk Pegawai'!$A:$Z,D$6,FALSE),"-")</f>
        <v>45678</v>
      </c>
      <c r="E12" s="150" t="str">
        <f>IFERROR(VLOOKUP($E$4&amp;$A12,'Data Induk Pegawai'!$A:$Z,E$6,FALSE),"-")</f>
        <v>Pemalang</v>
      </c>
      <c r="F12" s="150" t="str">
        <f>IFERROR(VLOOKUP($E$4&amp;$A12,'Data Induk Pegawai'!$A:$Z,F$6,FALSE),"-")</f>
        <v>10 Juni 1985</v>
      </c>
      <c r="G12" s="53" t="str">
        <f>IFERROR(VLOOKUP($E$4&amp;$A12,'Data Induk Pegawai'!$A:$Z,G$6,FALSE),"-")</f>
        <v>P</v>
      </c>
      <c r="H12" s="53" t="str">
        <f>IFERROR(LEFT(VLOOKUP($E$4&amp;$A12,'Data Induk Pegawai'!$A:$Z,H$6,FALSE),3),"-")</f>
        <v xml:space="preserve">S1 </v>
      </c>
      <c r="I12" s="53" t="str">
        <f>IFERROR(VLOOKUP($E$4&amp;$A12,'Data Induk Pegawai'!$A:$Z,I$6,FALSE),"-")</f>
        <v>Institut Agama Islam Pemalang</v>
      </c>
      <c r="J12" s="91" t="str">
        <f>IFERROR(VLOOKUP($E$4&amp;$A12,'Data Induk Pegawai'!$A:$Z,J$6,FALSE),"-")</f>
        <v>Pendidikan Agama Islam</v>
      </c>
      <c r="K12" s="54">
        <f>IFERROR(VLOOKUP($E$4&amp;$A12,'Data Induk Pegawai'!$A:$Z,K$6,FALSE),"-")</f>
        <v>44378</v>
      </c>
      <c r="L12" s="54" t="str">
        <f>IFERROR(VLOOKUP($E$4&amp;$A12,'Data Induk Pegawai'!$A:$Z,L$6,FALSE),"-")</f>
        <v>GTY</v>
      </c>
      <c r="M12" s="91" t="str">
        <f>IFERROR(VLOOKUP($E$4&amp;$A12,'Data Induk Pegawai'!$A:$Z,M$6,FALSE),"-")</f>
        <v>Waka Kurikulum</v>
      </c>
      <c r="N12" s="54" t="str">
        <f>IFERROR(VLOOKUP($E$4&amp;$A12,'Data Induk Pegawai'!$A:$Z,N$6,FALSE),"-")</f>
        <v>-</v>
      </c>
      <c r="O12" s="54" t="str">
        <f>IFERROR(VLOOKUP($E$4&amp;$A12,'Data Induk Pegawai'!$A:$Z,O$6,FALSE),"-")</f>
        <v>-</v>
      </c>
      <c r="P12" s="54" t="str">
        <f>IFERROR(VLOOKUP($E$4&amp;$A12,'Data Induk Pegawai'!$A:$Z,P$6,FALSE),"-")</f>
        <v>--</v>
      </c>
      <c r="Q12" s="53" t="str">
        <f>IFERROR(VLOOKUP($E$4&amp;$A12,'Data Induk Pegawai'!$A:$Z,Q$6,FALSE),"-")</f>
        <v>--</v>
      </c>
      <c r="R12" s="54" t="str">
        <f>IFERROR(VLOOKUP($E$4&amp;$A12,'Data Induk Pegawai'!$A:$Z,R$6,FALSE),"-")</f>
        <v>--</v>
      </c>
      <c r="S12" s="54" t="str">
        <f>IFERROR(VLOOKUP($E$4&amp;$A12,'Data Induk Pegawai'!$A:$Z,S$6,FALSE),"-")</f>
        <v>--</v>
      </c>
      <c r="T12" s="53">
        <f>IFERROR(VLOOKUP($E$4&amp;$A12,'Data Induk Pegawai'!$A:$Z,T$6,FALSE),"-")</f>
        <v>0</v>
      </c>
      <c r="U12" s="53" t="str">
        <f>IFERROR(VLOOKUP($E$4&amp;$A12,'Data Induk Pegawai'!$A:$Z,U$6,FALSE),"-")</f>
        <v>-</v>
      </c>
      <c r="V12" s="53" t="str">
        <f>IFERROR(VLOOKUP($E$4&amp;$A12,'Data Induk Pegawai'!$A:$Z,V$6,FALSE),"-")</f>
        <v>-</v>
      </c>
      <c r="AA12" s="51">
        <v>10</v>
      </c>
      <c r="AB12" s="51">
        <f t="shared" si="0"/>
        <v>1</v>
      </c>
    </row>
    <row r="13" spans="1:28" ht="15.5" x14ac:dyDescent="0.35">
      <c r="A13" s="51">
        <v>5</v>
      </c>
      <c r="B13" s="52" t="str">
        <f>IFERROR(VLOOKUP($E$4&amp;$A13,'Data Induk Pegawai'!$A:$Z,B$6,FALSE),"-")</f>
        <v>Pegawai 2</v>
      </c>
      <c r="C13" s="53" t="str">
        <f>IFERROR(VLOOKUP($E$4&amp;$A13,'Data Induk Pegawai'!$A:$Z,C$6,FALSE),"-")</f>
        <v>2021.01.005</v>
      </c>
      <c r="D13" s="53">
        <f>IFERROR(VLOOKUP($E$4&amp;$A13,'Data Induk Pegawai'!$A:$Z,D$6,FALSE),"-")</f>
        <v>56789</v>
      </c>
      <c r="E13" s="150" t="str">
        <f>IFERROR(VLOOKUP($E$4&amp;$A13,'Data Induk Pegawai'!$A:$Z,E$6,FALSE),"-")</f>
        <v>Pemalang</v>
      </c>
      <c r="F13" s="150" t="str">
        <f>IFERROR(VLOOKUP($E$4&amp;$A13,'Data Induk Pegawai'!$A:$Z,F$6,FALSE),"-")</f>
        <v>15 Juli 1987</v>
      </c>
      <c r="G13" s="53" t="str">
        <f>IFERROR(VLOOKUP($E$4&amp;$A13,'Data Induk Pegawai'!$A:$Z,G$6,FALSE),"-")</f>
        <v>P</v>
      </c>
      <c r="H13" s="53" t="str">
        <f>IFERROR(LEFT(VLOOKUP($E$4&amp;$A13,'Data Induk Pegawai'!$A:$Z,H$6,FALSE),3),"-")</f>
        <v>SMA</v>
      </c>
      <c r="I13" s="53" t="str">
        <f>IFERROR(VLOOKUP($E$4&amp;$A13,'Data Induk Pegawai'!$A:$Z,I$6,FALSE),"-")</f>
        <v>SMAN 1 Randudongkal</v>
      </c>
      <c r="J13" s="91" t="str">
        <f>IFERROR(VLOOKUP($E$4&amp;$A13,'Data Induk Pegawai'!$A:$Z,J$6,FALSE),"-")</f>
        <v>IPS</v>
      </c>
      <c r="K13" s="54">
        <f>IFERROR(VLOOKUP($E$4&amp;$A13,'Data Induk Pegawai'!$A:$Z,K$6,FALSE),"-")</f>
        <v>44378</v>
      </c>
      <c r="L13" s="54" t="str">
        <f>IFERROR(VLOOKUP($E$4&amp;$A13,'Data Induk Pegawai'!$A:$Z,L$6,FALSE),"-")</f>
        <v>PTY</v>
      </c>
      <c r="M13" s="91" t="str">
        <f>IFERROR(VLOOKUP($E$4&amp;$A13,'Data Induk Pegawai'!$A:$Z,M$6,FALSE),"-")</f>
        <v>Tenaga K3</v>
      </c>
      <c r="N13" s="54" t="str">
        <f>IFERROR(VLOOKUP($E$4&amp;$A13,'Data Induk Pegawai'!$A:$Z,N$6,FALSE),"-")</f>
        <v>-</v>
      </c>
      <c r="O13" s="54" t="str">
        <f>IFERROR(VLOOKUP($E$4&amp;$A13,'Data Induk Pegawai'!$A:$Z,O$6,FALSE),"-")</f>
        <v>-</v>
      </c>
      <c r="P13" s="54" t="str">
        <f>IFERROR(VLOOKUP($E$4&amp;$A13,'Data Induk Pegawai'!$A:$Z,P$6,FALSE),"-")</f>
        <v>--</v>
      </c>
      <c r="Q13" s="53" t="str">
        <f>IFERROR(VLOOKUP($E$4&amp;$A13,'Data Induk Pegawai'!$A:$Z,Q$6,FALSE),"-")</f>
        <v>--</v>
      </c>
      <c r="R13" s="54" t="str">
        <f>IFERROR(VLOOKUP($E$4&amp;$A13,'Data Induk Pegawai'!$A:$Z,R$6,FALSE),"-")</f>
        <v>--</v>
      </c>
      <c r="S13" s="54" t="str">
        <f>IFERROR(VLOOKUP($E$4&amp;$A13,'Data Induk Pegawai'!$A:$Z,S$6,FALSE),"-")</f>
        <v>--</v>
      </c>
      <c r="T13" s="53">
        <f>IFERROR(VLOOKUP($E$4&amp;$A13,'Data Induk Pegawai'!$A:$Z,T$6,FALSE),"-")</f>
        <v>0</v>
      </c>
      <c r="U13" s="53" t="str">
        <f>IFERROR(VLOOKUP($E$4&amp;$A13,'Data Induk Pegawai'!$A:$Z,U$6,FALSE),"-")</f>
        <v>-</v>
      </c>
      <c r="V13" s="53" t="str">
        <f>IFERROR(VLOOKUP($E$4&amp;$A13,'Data Induk Pegawai'!$A:$Z,V$6,FALSE),"-")</f>
        <v>-</v>
      </c>
      <c r="AA13" s="51">
        <v>11</v>
      </c>
      <c r="AB13" s="51">
        <f t="shared" si="0"/>
        <v>0</v>
      </c>
    </row>
    <row r="14" spans="1:28" ht="15.5" x14ac:dyDescent="0.35">
      <c r="A14" s="51">
        <v>6</v>
      </c>
      <c r="B14" s="52" t="str">
        <f>IFERROR(VLOOKUP($E$4&amp;$A14,'Data Induk Pegawai'!$A:$Z,B$6,FALSE),"-")</f>
        <v>Pegawai 4</v>
      </c>
      <c r="C14" s="53" t="str">
        <f>IFERROR(VLOOKUP($E$4&amp;$A14,'Data Induk Pegawai'!$A:$Z,C$6,FALSE),"-")</f>
        <v>2022.01.007</v>
      </c>
      <c r="D14" s="53">
        <f>IFERROR(VLOOKUP($E$4&amp;$A14,'Data Induk Pegawai'!$A:$Z,D$6,FALSE),"-")</f>
        <v>78901</v>
      </c>
      <c r="E14" s="150" t="str">
        <f>IFERROR(VLOOKUP($E$4&amp;$A14,'Data Induk Pegawai'!$A:$Z,E$6,FALSE),"-")</f>
        <v>Pemalang</v>
      </c>
      <c r="F14" s="150" t="str">
        <f>IFERROR(VLOOKUP($E$4&amp;$A14,'Data Induk Pegawai'!$A:$Z,F$6,FALSE),"-")</f>
        <v>20 Mei 1986</v>
      </c>
      <c r="G14" s="53" t="str">
        <f>IFERROR(VLOOKUP($E$4&amp;$A14,'Data Induk Pegawai'!$A:$Z,G$6,FALSE),"-")</f>
        <v>L</v>
      </c>
      <c r="H14" s="53" t="str">
        <f>IFERROR(LEFT(VLOOKUP($E$4&amp;$A14,'Data Induk Pegawai'!$A:$Z,H$6,FALSE),3),"-")</f>
        <v xml:space="preserve">S1 </v>
      </c>
      <c r="I14" s="53" t="str">
        <f>IFERROR(VLOOKUP($E$4&amp;$A14,'Data Induk Pegawai'!$A:$Z,I$6,FALSE),"-")</f>
        <v>Universitas Tegal</v>
      </c>
      <c r="J14" s="91" t="str">
        <f>IFERROR(VLOOKUP($E$4&amp;$A14,'Data Induk Pegawai'!$A:$Z,J$6,FALSE),"-")</f>
        <v>Pendidikan Guru</v>
      </c>
      <c r="K14" s="54">
        <f>IFERROR(VLOOKUP($E$4&amp;$A14,'Data Induk Pegawai'!$A:$Z,K$6,FALSE),"-")</f>
        <v>44743</v>
      </c>
      <c r="L14" s="54" t="str">
        <f>IFERROR(VLOOKUP($E$4&amp;$A14,'Data Induk Pegawai'!$A:$Z,L$6,FALSE),"-")</f>
        <v>GTT</v>
      </c>
      <c r="M14" s="91" t="str">
        <f>IFERROR(VLOOKUP($E$4&amp;$A14,'Data Induk Pegawai'!$A:$Z,M$6,FALSE),"-")</f>
        <v>Guru</v>
      </c>
      <c r="N14" s="54" t="str">
        <f>IFERROR(VLOOKUP($E$4&amp;$A14,'Data Induk Pegawai'!$A:$Z,N$6,FALSE),"-")</f>
        <v>-</v>
      </c>
      <c r="O14" s="54" t="str">
        <f>IFERROR(VLOOKUP($E$4&amp;$A14,'Data Induk Pegawai'!$A:$Z,O$6,FALSE),"-")</f>
        <v>-</v>
      </c>
      <c r="P14" s="54" t="str">
        <f>IFERROR(VLOOKUP($E$4&amp;$A14,'Data Induk Pegawai'!$A:$Z,P$6,FALSE),"-")</f>
        <v>--</v>
      </c>
      <c r="Q14" s="53" t="str">
        <f>IFERROR(VLOOKUP($E$4&amp;$A14,'Data Induk Pegawai'!$A:$Z,Q$6,FALSE),"-")</f>
        <v>--</v>
      </c>
      <c r="R14" s="54" t="str">
        <f>IFERROR(VLOOKUP($E$4&amp;$A14,'Data Induk Pegawai'!$A:$Z,R$6,FALSE),"-")</f>
        <v>--</v>
      </c>
      <c r="S14" s="54" t="str">
        <f>IFERROR(VLOOKUP($E$4&amp;$A14,'Data Induk Pegawai'!$A:$Z,S$6,FALSE),"-")</f>
        <v>--</v>
      </c>
      <c r="T14" s="53">
        <f>IFERROR(VLOOKUP($E$4&amp;$A14,'Data Induk Pegawai'!$A:$Z,T$6,FALSE),"-")</f>
        <v>0</v>
      </c>
      <c r="U14" s="53" t="str">
        <f>IFERROR(VLOOKUP($E$4&amp;$A14,'Data Induk Pegawai'!$A:$Z,U$6,FALSE),"-")</f>
        <v>-</v>
      </c>
      <c r="V14" s="53" t="str">
        <f>IFERROR(VLOOKUP($E$4&amp;$A14,'Data Induk Pegawai'!$A:$Z,V$6,FALSE),"-")</f>
        <v>-</v>
      </c>
      <c r="AA14" s="51">
        <v>12</v>
      </c>
      <c r="AB14" s="51">
        <f t="shared" si="0"/>
        <v>1</v>
      </c>
    </row>
    <row r="15" spans="1:28" ht="15.5" x14ac:dyDescent="0.35">
      <c r="A15" s="51">
        <v>7</v>
      </c>
      <c r="B15" s="52" t="str">
        <f>IFERROR(VLOOKUP($E$4&amp;$A15,'Data Induk Pegawai'!$A:$Z,B$6,FALSE),"-")</f>
        <v>Pegawai 5</v>
      </c>
      <c r="C15" s="53" t="str">
        <f>IFERROR(VLOOKUP($E$4&amp;$A15,'Data Induk Pegawai'!$A:$Z,C$6,FALSE),"-")</f>
        <v>2022.01.008</v>
      </c>
      <c r="D15" s="53">
        <f>IFERROR(VLOOKUP($E$4&amp;$A15,'Data Induk Pegawai'!$A:$Z,D$6,FALSE),"-")</f>
        <v>89012</v>
      </c>
      <c r="E15" s="150" t="str">
        <f>IFERROR(VLOOKUP($E$4&amp;$A15,'Data Induk Pegawai'!$A:$Z,E$6,FALSE),"-")</f>
        <v>Pemalang</v>
      </c>
      <c r="F15" s="150" t="str">
        <f>IFERROR(VLOOKUP($E$4&amp;$A15,'Data Induk Pegawai'!$A:$Z,F$6,FALSE),"-")</f>
        <v>30 September 1986</v>
      </c>
      <c r="G15" s="53" t="str">
        <f>IFERROR(VLOOKUP($E$4&amp;$A15,'Data Induk Pegawai'!$A:$Z,G$6,FALSE),"-")</f>
        <v>P</v>
      </c>
      <c r="H15" s="53" t="str">
        <f>IFERROR(LEFT(VLOOKUP($E$4&amp;$A15,'Data Induk Pegawai'!$A:$Z,H$6,FALSE),3),"-")</f>
        <v>SMK</v>
      </c>
      <c r="I15" s="53" t="str">
        <f>IFERROR(VLOOKUP($E$4&amp;$A15,'Data Induk Pegawai'!$A:$Z,I$6,FALSE),"-")</f>
        <v>SMkN 1 Moga</v>
      </c>
      <c r="J15" s="91" t="str">
        <f>IFERROR(VLOOKUP($E$4&amp;$A15,'Data Induk Pegawai'!$A:$Z,J$6,FALSE),"-")</f>
        <v>TKJ</v>
      </c>
      <c r="K15" s="54">
        <f>IFERROR(VLOOKUP($E$4&amp;$A15,'Data Induk Pegawai'!$A:$Z,K$6,FALSE),"-")</f>
        <v>44743</v>
      </c>
      <c r="L15" s="54" t="str">
        <f>IFERROR(VLOOKUP($E$4&amp;$A15,'Data Induk Pegawai'!$A:$Z,L$6,FALSE),"-")</f>
        <v>PTT</v>
      </c>
      <c r="M15" s="91" t="str">
        <f>IFERROR(VLOOKUP($E$4&amp;$A15,'Data Induk Pegawai'!$A:$Z,M$6,FALSE),"-")</f>
        <v>Pegawai</v>
      </c>
      <c r="N15" s="54" t="str">
        <f>IFERROR(VLOOKUP($E$4&amp;$A15,'Data Induk Pegawai'!$A:$Z,N$6,FALSE),"-")</f>
        <v>-</v>
      </c>
      <c r="O15" s="54" t="str">
        <f>IFERROR(VLOOKUP($E$4&amp;$A15,'Data Induk Pegawai'!$A:$Z,O$6,FALSE),"-")</f>
        <v>-</v>
      </c>
      <c r="P15" s="54" t="str">
        <f>IFERROR(VLOOKUP($E$4&amp;$A15,'Data Induk Pegawai'!$A:$Z,P$6,FALSE),"-")</f>
        <v>--</v>
      </c>
      <c r="Q15" s="53" t="str">
        <f>IFERROR(VLOOKUP($E$4&amp;$A15,'Data Induk Pegawai'!$A:$Z,Q$6,FALSE),"-")</f>
        <v>--</v>
      </c>
      <c r="R15" s="54" t="str">
        <f>IFERROR(VLOOKUP($E$4&amp;$A15,'Data Induk Pegawai'!$A:$Z,R$6,FALSE),"-")</f>
        <v>--</v>
      </c>
      <c r="S15" s="54" t="str">
        <f>IFERROR(VLOOKUP($E$4&amp;$A15,'Data Induk Pegawai'!$A:$Z,S$6,FALSE),"-")</f>
        <v>--</v>
      </c>
      <c r="T15" s="53">
        <f>IFERROR(VLOOKUP($E$4&amp;$A15,'Data Induk Pegawai'!$A:$Z,T$6,FALSE),"-")</f>
        <v>0</v>
      </c>
      <c r="U15" s="53" t="str">
        <f>IFERROR(VLOOKUP($E$4&amp;$A15,'Data Induk Pegawai'!$A:$Z,U$6,FALSE),"-")</f>
        <v>-</v>
      </c>
      <c r="V15" s="53" t="str">
        <f>IFERROR(VLOOKUP($E$4&amp;$A15,'Data Induk Pegawai'!$A:$Z,V$6,FALSE),"-")</f>
        <v>-</v>
      </c>
      <c r="AA15" s="51">
        <v>13</v>
      </c>
      <c r="AB15" s="51">
        <f t="shared" si="0"/>
        <v>1</v>
      </c>
    </row>
    <row r="16" spans="1:28" ht="15.5" x14ac:dyDescent="0.35">
      <c r="A16" s="51">
        <v>8</v>
      </c>
      <c r="B16" s="52" t="str">
        <f>IFERROR(VLOOKUP($E$4&amp;$A16,'Data Induk Pegawai'!$A:$Z,B$6,FALSE),"-")</f>
        <v>Pegawai 6</v>
      </c>
      <c r="C16" s="53" t="str">
        <f>IFERROR(VLOOKUP($E$4&amp;$A16,'Data Induk Pegawai'!$A:$Z,C$6,FALSE),"-")</f>
        <v>2023.01.009</v>
      </c>
      <c r="D16" s="53">
        <f>IFERROR(VLOOKUP($E$4&amp;$A16,'Data Induk Pegawai'!$A:$Z,D$6,FALSE),"-")</f>
        <v>90123</v>
      </c>
      <c r="E16" s="150" t="str">
        <f>IFERROR(VLOOKUP($E$4&amp;$A16,'Data Induk Pegawai'!$A:$Z,E$6,FALSE),"-")</f>
        <v>Pemalang</v>
      </c>
      <c r="F16" s="150" t="str">
        <f>IFERROR(VLOOKUP($E$4&amp;$A16,'Data Induk Pegawai'!$A:$Z,F$6,FALSE),"-")</f>
        <v>4 November 1990</v>
      </c>
      <c r="G16" s="53" t="str">
        <f>IFERROR(VLOOKUP($E$4&amp;$A16,'Data Induk Pegawai'!$A:$Z,G$6,FALSE),"-")</f>
        <v>L</v>
      </c>
      <c r="H16" s="53" t="str">
        <f>IFERROR(LEFT(VLOOKUP($E$4&amp;$A16,'Data Induk Pegawai'!$A:$Z,H$6,FALSE),3),"-")</f>
        <v xml:space="preserve">S1 </v>
      </c>
      <c r="I16" s="53" t="str">
        <f>IFERROR(VLOOKUP($E$4&amp;$A16,'Data Induk Pegawai'!$A:$Z,I$6,FALSE),"-")</f>
        <v>Universitas Pekalongan</v>
      </c>
      <c r="J16" s="91" t="str">
        <f>IFERROR(VLOOKUP($E$4&amp;$A16,'Data Induk Pegawai'!$A:$Z,J$6,FALSE),"-")</f>
        <v>Pendidikan Guru</v>
      </c>
      <c r="K16" s="54">
        <f>IFERROR(VLOOKUP($E$4&amp;$A16,'Data Induk Pegawai'!$A:$Z,K$6,FALSE),"-")</f>
        <v>45108</v>
      </c>
      <c r="L16" s="54" t="str">
        <f>IFERROR(VLOOKUP($E$4&amp;$A16,'Data Induk Pegawai'!$A:$Z,L$6,FALSE),"-")</f>
        <v>GTT</v>
      </c>
      <c r="M16" s="91" t="str">
        <f>IFERROR(VLOOKUP($E$4&amp;$A16,'Data Induk Pegawai'!$A:$Z,M$6,FALSE),"-")</f>
        <v>Guru</v>
      </c>
      <c r="N16" s="54" t="str">
        <f>IFERROR(VLOOKUP($E$4&amp;$A16,'Data Induk Pegawai'!$A:$Z,N$6,FALSE),"-")</f>
        <v>-</v>
      </c>
      <c r="O16" s="54" t="str">
        <f>IFERROR(VLOOKUP($E$4&amp;$A16,'Data Induk Pegawai'!$A:$Z,O$6,FALSE),"-")</f>
        <v>-</v>
      </c>
      <c r="P16" s="54" t="str">
        <f>IFERROR(VLOOKUP($E$4&amp;$A16,'Data Induk Pegawai'!$A:$Z,P$6,FALSE),"-")</f>
        <v>--</v>
      </c>
      <c r="Q16" s="53" t="str">
        <f>IFERROR(VLOOKUP($E$4&amp;$A16,'Data Induk Pegawai'!$A:$Z,Q$6,FALSE),"-")</f>
        <v>--</v>
      </c>
      <c r="R16" s="54" t="str">
        <f>IFERROR(VLOOKUP($E$4&amp;$A16,'Data Induk Pegawai'!$A:$Z,R$6,FALSE),"-")</f>
        <v>--</v>
      </c>
      <c r="S16" s="54" t="str">
        <f>IFERROR(VLOOKUP($E$4&amp;$A16,'Data Induk Pegawai'!$A:$Z,S$6,FALSE),"-")</f>
        <v>--</v>
      </c>
      <c r="T16" s="53">
        <f>IFERROR(VLOOKUP($E$4&amp;$A16,'Data Induk Pegawai'!$A:$Z,T$6,FALSE),"-")</f>
        <v>0</v>
      </c>
      <c r="U16" s="53" t="str">
        <f>IFERROR(VLOOKUP($E$4&amp;$A16,'Data Induk Pegawai'!$A:$Z,U$6,FALSE),"-")</f>
        <v>-</v>
      </c>
      <c r="V16" s="53" t="str">
        <f>IFERROR(VLOOKUP($E$4&amp;$A16,'Data Induk Pegawai'!$A:$Z,V$6,FALSE),"-")</f>
        <v>-</v>
      </c>
      <c r="AA16" s="51">
        <v>14</v>
      </c>
      <c r="AB16" s="51">
        <f t="shared" si="0"/>
        <v>0</v>
      </c>
    </row>
    <row r="17" spans="1:28" ht="15.5" x14ac:dyDescent="0.35">
      <c r="A17" s="51">
        <v>9</v>
      </c>
      <c r="B17" s="52" t="str">
        <f>IFERROR(VLOOKUP($E$4&amp;$A17,'Data Induk Pegawai'!$A:$Z,B$6,FALSE),"-")</f>
        <v>Pegawai 8</v>
      </c>
      <c r="C17" s="53" t="str">
        <f>IFERROR(VLOOKUP($E$4&amp;$A17,'Data Induk Pegawai'!$A:$Z,C$6,FALSE),"-")</f>
        <v>2023.01.011</v>
      </c>
      <c r="D17" s="53">
        <f>IFERROR(VLOOKUP($E$4&amp;$A17,'Data Induk Pegawai'!$A:$Z,D$6,FALSE),"-")</f>
        <v>11223</v>
      </c>
      <c r="E17" s="150" t="str">
        <f>IFERROR(VLOOKUP($E$4&amp;$A17,'Data Induk Pegawai'!$A:$Z,E$6,FALSE),"-")</f>
        <v>Pemalang</v>
      </c>
      <c r="F17" s="150" t="str">
        <f>IFERROR(VLOOKUP($E$4&amp;$A17,'Data Induk Pegawai'!$A:$Z,F$6,FALSE),"-")</f>
        <v>18 Juni 1992</v>
      </c>
      <c r="G17" s="53" t="str">
        <f>IFERROR(VLOOKUP($E$4&amp;$A17,'Data Induk Pegawai'!$A:$Z,G$6,FALSE),"-")</f>
        <v>L</v>
      </c>
      <c r="H17" s="53" t="str">
        <f>IFERROR(LEFT(VLOOKUP($E$4&amp;$A17,'Data Induk Pegawai'!$A:$Z,H$6,FALSE),3),"-")</f>
        <v>SMK</v>
      </c>
      <c r="I17" s="53" t="str">
        <f>IFERROR(VLOOKUP($E$4&amp;$A17,'Data Induk Pegawai'!$A:$Z,I$6,FALSE),"-")</f>
        <v>SMKN 1 Ampelgading</v>
      </c>
      <c r="J17" s="91" t="str">
        <f>IFERROR(VLOOKUP($E$4&amp;$A17,'Data Induk Pegawai'!$A:$Z,J$6,FALSE),"-")</f>
        <v>TKR</v>
      </c>
      <c r="K17" s="54">
        <f>IFERROR(VLOOKUP($E$4&amp;$A17,'Data Induk Pegawai'!$A:$Z,K$6,FALSE),"-")</f>
        <v>45108</v>
      </c>
      <c r="L17" s="54" t="str">
        <f>IFERROR(VLOOKUP($E$4&amp;$A17,'Data Induk Pegawai'!$A:$Z,L$6,FALSE),"-")</f>
        <v>PTT</v>
      </c>
      <c r="M17" s="91" t="str">
        <f>IFERROR(VLOOKUP($E$4&amp;$A17,'Data Induk Pegawai'!$A:$Z,M$6,FALSE),"-")</f>
        <v>Pegawai</v>
      </c>
      <c r="N17" s="54" t="str">
        <f>IFERROR(VLOOKUP($E$4&amp;$A17,'Data Induk Pegawai'!$A:$Z,N$6,FALSE),"-")</f>
        <v>-</v>
      </c>
      <c r="O17" s="54" t="str">
        <f>IFERROR(VLOOKUP($E$4&amp;$A17,'Data Induk Pegawai'!$A:$Z,O$6,FALSE),"-")</f>
        <v>-</v>
      </c>
      <c r="P17" s="54" t="str">
        <f>IFERROR(VLOOKUP($E$4&amp;$A17,'Data Induk Pegawai'!$A:$Z,P$6,FALSE),"-")</f>
        <v>--</v>
      </c>
      <c r="Q17" s="53" t="str">
        <f>IFERROR(VLOOKUP($E$4&amp;$A17,'Data Induk Pegawai'!$A:$Z,Q$6,FALSE),"-")</f>
        <v>--</v>
      </c>
      <c r="R17" s="54" t="str">
        <f>IFERROR(VLOOKUP($E$4&amp;$A17,'Data Induk Pegawai'!$A:$Z,R$6,FALSE),"-")</f>
        <v>--</v>
      </c>
      <c r="S17" s="54" t="str">
        <f>IFERROR(VLOOKUP($E$4&amp;$A17,'Data Induk Pegawai'!$A:$Z,S$6,FALSE),"-")</f>
        <v>--</v>
      </c>
      <c r="T17" s="53">
        <f>IFERROR(VLOOKUP($E$4&amp;$A17,'Data Induk Pegawai'!$A:$Z,T$6,FALSE),"-")</f>
        <v>0</v>
      </c>
      <c r="U17" s="53" t="str">
        <f>IFERROR(VLOOKUP($E$4&amp;$A17,'Data Induk Pegawai'!$A:$Z,U$6,FALSE),"-")</f>
        <v>-</v>
      </c>
      <c r="V17" s="53" t="str">
        <f>IFERROR(VLOOKUP($E$4&amp;$A17,'Data Induk Pegawai'!$A:$Z,V$6,FALSE),"-")</f>
        <v>-</v>
      </c>
      <c r="AA17" s="51">
        <v>15</v>
      </c>
      <c r="AB17" s="51">
        <f t="shared" si="0"/>
        <v>1</v>
      </c>
    </row>
    <row r="18" spans="1:28" ht="15.5" x14ac:dyDescent="0.35">
      <c r="A18" s="51">
        <v>10</v>
      </c>
      <c r="B18" s="52" t="str">
        <f>IFERROR(VLOOKUP($E$4&amp;$A18,'Data Induk Pegawai'!$A:$Z,B$6,FALSE),"-")</f>
        <v>Pegawai 9</v>
      </c>
      <c r="C18" s="53" t="str">
        <f>IFERROR(VLOOKUP($E$4&amp;$A18,'Data Induk Pegawai'!$A:$Z,C$6,FALSE),"-")</f>
        <v>2023.01.012</v>
      </c>
      <c r="D18" s="53">
        <f>IFERROR(VLOOKUP($E$4&amp;$A18,'Data Induk Pegawai'!$A:$Z,D$6,FALSE),"-")</f>
        <v>12233</v>
      </c>
      <c r="E18" s="150" t="str">
        <f>IFERROR(VLOOKUP($E$4&amp;$A18,'Data Induk Pegawai'!$A:$Z,E$6,FALSE),"-")</f>
        <v>Pemalang</v>
      </c>
      <c r="F18" s="150" t="str">
        <f>IFERROR(VLOOKUP($E$4&amp;$A18,'Data Induk Pegawai'!$A:$Z,F$6,FALSE),"-")</f>
        <v>21 Oktober 1994</v>
      </c>
      <c r="G18" s="53" t="str">
        <f>IFERROR(VLOOKUP($E$4&amp;$A18,'Data Induk Pegawai'!$A:$Z,G$6,FALSE),"-")</f>
        <v>L</v>
      </c>
      <c r="H18" s="53" t="str">
        <f>IFERROR(LEFT(VLOOKUP($E$4&amp;$A18,'Data Induk Pegawai'!$A:$Z,H$6,FALSE),3),"-")</f>
        <v xml:space="preserve">S1 </v>
      </c>
      <c r="I18" s="53" t="str">
        <f>IFERROR(VLOOKUP($E$4&amp;$A18,'Data Induk Pegawai'!$A:$Z,I$6,FALSE),"-")</f>
        <v>Universitas Gajah Duduk</v>
      </c>
      <c r="J18" s="91" t="str">
        <f>IFERROR(VLOOKUP($E$4&amp;$A18,'Data Induk Pegawai'!$A:$Z,J$6,FALSE),"-")</f>
        <v>Pendidikan Guru</v>
      </c>
      <c r="K18" s="54">
        <f>IFERROR(VLOOKUP($E$4&amp;$A18,'Data Induk Pegawai'!$A:$Z,K$6,FALSE),"-")</f>
        <v>45108</v>
      </c>
      <c r="L18" s="54" t="str">
        <f>IFERROR(VLOOKUP($E$4&amp;$A18,'Data Induk Pegawai'!$A:$Z,L$6,FALSE),"-")</f>
        <v>GTT</v>
      </c>
      <c r="M18" s="91" t="str">
        <f>IFERROR(VLOOKUP($E$4&amp;$A18,'Data Induk Pegawai'!$A:$Z,M$6,FALSE),"-")</f>
        <v>Guru</v>
      </c>
      <c r="N18" s="54" t="str">
        <f>IFERROR(VLOOKUP($E$4&amp;$A18,'Data Induk Pegawai'!$A:$Z,N$6,FALSE),"-")</f>
        <v>-</v>
      </c>
      <c r="O18" s="54" t="str">
        <f>IFERROR(VLOOKUP($E$4&amp;$A18,'Data Induk Pegawai'!$A:$Z,O$6,FALSE),"-")</f>
        <v>-</v>
      </c>
      <c r="P18" s="54" t="str">
        <f>IFERROR(VLOOKUP($E$4&amp;$A18,'Data Induk Pegawai'!$A:$Z,P$6,FALSE),"-")</f>
        <v>--</v>
      </c>
      <c r="Q18" s="53" t="str">
        <f>IFERROR(VLOOKUP($E$4&amp;$A18,'Data Induk Pegawai'!$A:$Z,Q$6,FALSE),"-")</f>
        <v>--</v>
      </c>
      <c r="R18" s="54" t="str">
        <f>IFERROR(VLOOKUP($E$4&amp;$A18,'Data Induk Pegawai'!$A:$Z,R$6,FALSE),"-")</f>
        <v>--</v>
      </c>
      <c r="S18" s="54" t="str">
        <f>IFERROR(VLOOKUP($E$4&amp;$A18,'Data Induk Pegawai'!$A:$Z,S$6,FALSE),"-")</f>
        <v>--</v>
      </c>
      <c r="T18" s="53">
        <f>IFERROR(VLOOKUP($E$4&amp;$A18,'Data Induk Pegawai'!$A:$Z,T$6,FALSE),"-")</f>
        <v>0</v>
      </c>
      <c r="U18" s="53" t="str">
        <f>IFERROR(VLOOKUP($E$4&amp;$A18,'Data Induk Pegawai'!$A:$Z,U$6,FALSE),"-")</f>
        <v>-</v>
      </c>
      <c r="V18" s="53" t="str">
        <f>IFERROR(VLOOKUP($E$4&amp;$A18,'Data Induk Pegawai'!$A:$Z,V$6,FALSE),"-")</f>
        <v>-</v>
      </c>
      <c r="AA18" s="51">
        <v>16</v>
      </c>
      <c r="AB18" s="51">
        <f t="shared" si="0"/>
        <v>1</v>
      </c>
    </row>
    <row r="19" spans="1:28" ht="15.5" x14ac:dyDescent="0.35">
      <c r="A19" s="51">
        <v>11</v>
      </c>
      <c r="B19" s="52" t="str">
        <f>IFERROR(VLOOKUP($E$4&amp;$A19,'Data Induk Pegawai'!$A:$Z,B$6,FALSE),"-")</f>
        <v>Pegawai 10</v>
      </c>
      <c r="C19" s="53" t="str">
        <f>IFERROR(VLOOKUP($E$4&amp;$A19,'Data Induk Pegawai'!$A:$Z,C$6,FALSE),"-")</f>
        <v>2024.01.013</v>
      </c>
      <c r="D19" s="53">
        <f>IFERROR(VLOOKUP($E$4&amp;$A19,'Data Induk Pegawai'!$A:$Z,D$6,FALSE),"-")</f>
        <v>12334</v>
      </c>
      <c r="E19" s="150" t="str">
        <f>IFERROR(VLOOKUP($E$4&amp;$A19,'Data Induk Pegawai'!$A:$Z,E$6,FALSE),"-")</f>
        <v>Pemalang</v>
      </c>
      <c r="F19" s="150" t="str">
        <f>IFERROR(VLOOKUP($E$4&amp;$A19,'Data Induk Pegawai'!$A:$Z,F$6,FALSE),"-")</f>
        <v>22 Desember 1995</v>
      </c>
      <c r="G19" s="53" t="str">
        <f>IFERROR(VLOOKUP($E$4&amp;$A19,'Data Induk Pegawai'!$A:$Z,G$6,FALSE),"-")</f>
        <v>L</v>
      </c>
      <c r="H19" s="53" t="str">
        <f>IFERROR(LEFT(VLOOKUP($E$4&amp;$A19,'Data Induk Pegawai'!$A:$Z,H$6,FALSE),3),"-")</f>
        <v xml:space="preserve">S1 </v>
      </c>
      <c r="I19" s="53" t="str">
        <f>IFERROR(VLOOKUP($E$4&amp;$A19,'Data Induk Pegawai'!$A:$Z,I$6,FALSE),"-")</f>
        <v>Universitas Dimana Aja</v>
      </c>
      <c r="J19" s="91" t="str">
        <f>IFERROR(VLOOKUP($E$4&amp;$A19,'Data Induk Pegawai'!$A:$Z,J$6,FALSE),"-")</f>
        <v>Pendidikan Guru</v>
      </c>
      <c r="K19" s="54">
        <f>IFERROR(VLOOKUP($E$4&amp;$A19,'Data Induk Pegawai'!$A:$Z,K$6,FALSE),"-")</f>
        <v>45474</v>
      </c>
      <c r="L19" s="54" t="str">
        <f>IFERROR(VLOOKUP($E$4&amp;$A19,'Data Induk Pegawai'!$A:$Z,L$6,FALSE),"-")</f>
        <v>GTT</v>
      </c>
      <c r="M19" s="91" t="str">
        <f>IFERROR(VLOOKUP($E$4&amp;$A19,'Data Induk Pegawai'!$A:$Z,M$6,FALSE),"-")</f>
        <v>Guru</v>
      </c>
      <c r="N19" s="54" t="str">
        <f>IFERROR(VLOOKUP($E$4&amp;$A19,'Data Induk Pegawai'!$A:$Z,N$6,FALSE),"-")</f>
        <v>-</v>
      </c>
      <c r="O19" s="54" t="str">
        <f>IFERROR(VLOOKUP($E$4&amp;$A19,'Data Induk Pegawai'!$A:$Z,O$6,FALSE),"-")</f>
        <v>-</v>
      </c>
      <c r="P19" s="54" t="str">
        <f>IFERROR(VLOOKUP($E$4&amp;$A19,'Data Induk Pegawai'!$A:$Z,P$6,FALSE),"-")</f>
        <v>--</v>
      </c>
      <c r="Q19" s="53" t="str">
        <f>IFERROR(VLOOKUP($E$4&amp;$A19,'Data Induk Pegawai'!$A:$Z,Q$6,FALSE),"-")</f>
        <v>--</v>
      </c>
      <c r="R19" s="54" t="str">
        <f>IFERROR(VLOOKUP($E$4&amp;$A19,'Data Induk Pegawai'!$A:$Z,R$6,FALSE),"-")</f>
        <v>--</v>
      </c>
      <c r="S19" s="54" t="str">
        <f>IFERROR(VLOOKUP($E$4&amp;$A19,'Data Induk Pegawai'!$A:$Z,S$6,FALSE),"-")</f>
        <v>--</v>
      </c>
      <c r="T19" s="53">
        <f>IFERROR(VLOOKUP($E$4&amp;$A19,'Data Induk Pegawai'!$A:$Z,T$6,FALSE),"-")</f>
        <v>0</v>
      </c>
      <c r="U19" s="53" t="str">
        <f>IFERROR(VLOOKUP($E$4&amp;$A19,'Data Induk Pegawai'!$A:$Z,U$6,FALSE),"-")</f>
        <v>-</v>
      </c>
      <c r="V19" s="53" t="str">
        <f>IFERROR(VLOOKUP($E$4&amp;$A19,'Data Induk Pegawai'!$A:$Z,V$6,FALSE),"-")</f>
        <v>-</v>
      </c>
      <c r="AA19" s="51">
        <v>17</v>
      </c>
      <c r="AB19" s="51">
        <f t="shared" si="0"/>
        <v>1</v>
      </c>
    </row>
    <row r="20" spans="1:28" ht="15.5" x14ac:dyDescent="0.35">
      <c r="A20" s="51">
        <v>12</v>
      </c>
      <c r="B20" s="52" t="str">
        <f>IFERROR(VLOOKUP($E$4&amp;$A20,'Data Induk Pegawai'!$A:$Z,B$6,FALSE),"-")</f>
        <v>-</v>
      </c>
      <c r="C20" s="53" t="str">
        <f>IFERROR(VLOOKUP($E$4&amp;$A20,'Data Induk Pegawai'!$A:$Z,C$6,FALSE),"-")</f>
        <v>-</v>
      </c>
      <c r="D20" s="53" t="str">
        <f>IFERROR(VLOOKUP($E$4&amp;$A20,'Data Induk Pegawai'!$A:$Z,D$6,FALSE),"-")</f>
        <v>-</v>
      </c>
      <c r="E20" s="150" t="str">
        <f>IFERROR(VLOOKUP($E$4&amp;$A20,'Data Induk Pegawai'!$A:$Z,E$6,FALSE),"-")</f>
        <v>-</v>
      </c>
      <c r="F20" s="150" t="str">
        <f>IFERROR(VLOOKUP($E$4&amp;$A20,'Data Induk Pegawai'!$A:$Z,F$6,FALSE),"-")</f>
        <v>-</v>
      </c>
      <c r="G20" s="53" t="str">
        <f>IFERROR(VLOOKUP($E$4&amp;$A20,'Data Induk Pegawai'!$A:$Z,G$6,FALSE),"-")</f>
        <v>-</v>
      </c>
      <c r="H20" s="53" t="str">
        <f>IFERROR(LEFT(VLOOKUP($E$4&amp;$A20,'Data Induk Pegawai'!$A:$Z,H$6,FALSE),3),"-")</f>
        <v>-</v>
      </c>
      <c r="I20" s="53" t="str">
        <f>IFERROR(VLOOKUP($E$4&amp;$A20,'Data Induk Pegawai'!$A:$Z,I$6,FALSE),"-")</f>
        <v>-</v>
      </c>
      <c r="J20" s="91" t="str">
        <f>IFERROR(VLOOKUP($E$4&amp;$A20,'Data Induk Pegawai'!$A:$Z,J$6,FALSE),"-")</f>
        <v>-</v>
      </c>
      <c r="K20" s="54" t="str">
        <f>IFERROR(VLOOKUP($E$4&amp;$A20,'Data Induk Pegawai'!$A:$Z,K$6,FALSE),"-")</f>
        <v>-</v>
      </c>
      <c r="L20" s="54" t="str">
        <f>IFERROR(VLOOKUP($E$4&amp;$A20,'Data Induk Pegawai'!$A:$Z,L$6,FALSE),"-")</f>
        <v>-</v>
      </c>
      <c r="M20" s="91" t="str">
        <f>IFERROR(VLOOKUP($E$4&amp;$A20,'Data Induk Pegawai'!$A:$Z,M$6,FALSE),"-")</f>
        <v>-</v>
      </c>
      <c r="N20" s="54" t="str">
        <f>IFERROR(VLOOKUP($E$4&amp;$A20,'Data Induk Pegawai'!$A:$Z,N$6,FALSE),"-")</f>
        <v>-</v>
      </c>
      <c r="O20" s="54" t="str">
        <f>IFERROR(VLOOKUP($E$4&amp;$A20,'Data Induk Pegawai'!$A:$Z,O$6,FALSE),"-")</f>
        <v>-</v>
      </c>
      <c r="P20" s="54" t="str">
        <f>IFERROR(VLOOKUP($E$4&amp;$A20,'Data Induk Pegawai'!$A:$Z,P$6,FALSE),"-")</f>
        <v>-</v>
      </c>
      <c r="Q20" s="53" t="str">
        <f>IFERROR(VLOOKUP($E$4&amp;$A20,'Data Induk Pegawai'!$A:$Z,Q$6,FALSE),"-")</f>
        <v>-</v>
      </c>
      <c r="R20" s="54" t="str">
        <f>IFERROR(VLOOKUP($E$4&amp;$A20,'Data Induk Pegawai'!$A:$Z,R$6,FALSE),"-")</f>
        <v>-</v>
      </c>
      <c r="S20" s="54" t="str">
        <f>IFERROR(VLOOKUP($E$4&amp;$A20,'Data Induk Pegawai'!$A:$Z,S$6,FALSE),"-")</f>
        <v>-</v>
      </c>
      <c r="T20" s="53" t="str">
        <f>IFERROR(VLOOKUP($E$4&amp;$A20,'Data Induk Pegawai'!$A:$Z,T$6,FALSE),"-")</f>
        <v>-</v>
      </c>
      <c r="U20" s="53" t="str">
        <f>IFERROR(VLOOKUP($E$4&amp;$A20,'Data Induk Pegawai'!$A:$Z,U$6,FALSE),"-")</f>
        <v>-</v>
      </c>
      <c r="V20" s="53" t="str">
        <f>IFERROR(VLOOKUP($E$4&amp;$A20,'Data Induk Pegawai'!$A:$Z,V$6,FALSE),"-")</f>
        <v>-</v>
      </c>
      <c r="AA20" s="51">
        <v>18</v>
      </c>
      <c r="AB20" s="51">
        <f t="shared" si="0"/>
        <v>1</v>
      </c>
    </row>
    <row r="21" spans="1:28" ht="15.5" x14ac:dyDescent="0.35">
      <c r="A21" s="51">
        <v>13</v>
      </c>
      <c r="B21" s="52" t="str">
        <f>IFERROR(VLOOKUP($E$4&amp;$A21,'Data Induk Pegawai'!$A:$Z,B$6,FALSE),"-")</f>
        <v>-</v>
      </c>
      <c r="C21" s="53" t="str">
        <f>IFERROR(VLOOKUP($E$4&amp;$A21,'Data Induk Pegawai'!$A:$Z,C$6,FALSE),"-")</f>
        <v>-</v>
      </c>
      <c r="D21" s="53" t="str">
        <f>IFERROR(VLOOKUP($E$4&amp;$A21,'Data Induk Pegawai'!$A:$Z,D$6,FALSE),"-")</f>
        <v>-</v>
      </c>
      <c r="E21" s="150" t="str">
        <f>IFERROR(VLOOKUP($E$4&amp;$A21,'Data Induk Pegawai'!$A:$Z,E$6,FALSE),"-")</f>
        <v>-</v>
      </c>
      <c r="F21" s="150" t="str">
        <f>IFERROR(VLOOKUP($E$4&amp;$A21,'Data Induk Pegawai'!$A:$Z,F$6,FALSE),"-")</f>
        <v>-</v>
      </c>
      <c r="G21" s="53" t="str">
        <f>IFERROR(VLOOKUP($E$4&amp;$A21,'Data Induk Pegawai'!$A:$Z,G$6,FALSE),"-")</f>
        <v>-</v>
      </c>
      <c r="H21" s="53" t="str">
        <f>IFERROR(LEFT(VLOOKUP($E$4&amp;$A21,'Data Induk Pegawai'!$A:$Z,H$6,FALSE),3),"-")</f>
        <v>-</v>
      </c>
      <c r="I21" s="53" t="str">
        <f>IFERROR(VLOOKUP($E$4&amp;$A21,'Data Induk Pegawai'!$A:$Z,I$6,FALSE),"-")</f>
        <v>-</v>
      </c>
      <c r="J21" s="91" t="str">
        <f>IFERROR(VLOOKUP($E$4&amp;$A21,'Data Induk Pegawai'!$A:$Z,J$6,FALSE),"-")</f>
        <v>-</v>
      </c>
      <c r="K21" s="54" t="str">
        <f>IFERROR(VLOOKUP($E$4&amp;$A21,'Data Induk Pegawai'!$A:$Z,K$6,FALSE),"-")</f>
        <v>-</v>
      </c>
      <c r="L21" s="54" t="str">
        <f>IFERROR(VLOOKUP($E$4&amp;$A21,'Data Induk Pegawai'!$A:$Z,L$6,FALSE),"-")</f>
        <v>-</v>
      </c>
      <c r="M21" s="91" t="str">
        <f>IFERROR(VLOOKUP($E$4&amp;$A21,'Data Induk Pegawai'!$A:$Z,M$6,FALSE),"-")</f>
        <v>-</v>
      </c>
      <c r="N21" s="54" t="str">
        <f>IFERROR(VLOOKUP($E$4&amp;$A21,'Data Induk Pegawai'!$A:$Z,N$6,FALSE),"-")</f>
        <v>-</v>
      </c>
      <c r="O21" s="54" t="str">
        <f>IFERROR(VLOOKUP($E$4&amp;$A21,'Data Induk Pegawai'!$A:$Z,O$6,FALSE),"-")</f>
        <v>-</v>
      </c>
      <c r="P21" s="54" t="str">
        <f>IFERROR(VLOOKUP($E$4&amp;$A21,'Data Induk Pegawai'!$A:$Z,P$6,FALSE),"-")</f>
        <v>-</v>
      </c>
      <c r="Q21" s="53" t="str">
        <f>IFERROR(VLOOKUP($E$4&amp;$A21,'Data Induk Pegawai'!$A:$Z,Q$6,FALSE),"-")</f>
        <v>-</v>
      </c>
      <c r="R21" s="54" t="str">
        <f>IFERROR(VLOOKUP($E$4&amp;$A21,'Data Induk Pegawai'!$A:$Z,R$6,FALSE),"-")</f>
        <v>-</v>
      </c>
      <c r="S21" s="54" t="str">
        <f>IFERROR(VLOOKUP($E$4&amp;$A21,'Data Induk Pegawai'!$A:$Z,S$6,FALSE),"-")</f>
        <v>-</v>
      </c>
      <c r="T21" s="53" t="str">
        <f>IFERROR(VLOOKUP($E$4&amp;$A21,'Data Induk Pegawai'!$A:$Z,T$6,FALSE),"-")</f>
        <v>-</v>
      </c>
      <c r="U21" s="53" t="str">
        <f>IFERROR(VLOOKUP($E$4&amp;$A21,'Data Induk Pegawai'!$A:$Z,U$6,FALSE),"-")</f>
        <v>-</v>
      </c>
      <c r="V21" s="53" t="str">
        <f>IFERROR(VLOOKUP($E$4&amp;$A21,'Data Induk Pegawai'!$A:$Z,V$6,FALSE),"-")</f>
        <v>-</v>
      </c>
      <c r="AA21" s="51">
        <v>19</v>
      </c>
      <c r="AB21" s="51">
        <f t="shared" si="0"/>
        <v>1</v>
      </c>
    </row>
    <row r="22" spans="1:28" ht="15.5" x14ac:dyDescent="0.35">
      <c r="A22" s="51">
        <v>14</v>
      </c>
      <c r="B22" s="52" t="str">
        <f>IFERROR(VLOOKUP($E$4&amp;$A22,'Data Induk Pegawai'!$A:$Z,B$6,FALSE),"-")</f>
        <v>-</v>
      </c>
      <c r="C22" s="53" t="str">
        <f>IFERROR(VLOOKUP($E$4&amp;$A22,'Data Induk Pegawai'!$A:$Z,C$6,FALSE),"-")</f>
        <v>-</v>
      </c>
      <c r="D22" s="53" t="str">
        <f>IFERROR(VLOOKUP($E$4&amp;$A22,'Data Induk Pegawai'!$A:$Z,D$6,FALSE),"-")</f>
        <v>-</v>
      </c>
      <c r="E22" s="150" t="str">
        <f>IFERROR(VLOOKUP($E$4&amp;$A22,'Data Induk Pegawai'!$A:$Z,E$6,FALSE),"-")</f>
        <v>-</v>
      </c>
      <c r="F22" s="150" t="str">
        <f>IFERROR(VLOOKUP($E$4&amp;$A22,'Data Induk Pegawai'!$A:$Z,F$6,FALSE),"-")</f>
        <v>-</v>
      </c>
      <c r="G22" s="53" t="str">
        <f>IFERROR(VLOOKUP($E$4&amp;$A22,'Data Induk Pegawai'!$A:$Z,G$6,FALSE),"-")</f>
        <v>-</v>
      </c>
      <c r="H22" s="53" t="str">
        <f>IFERROR(LEFT(VLOOKUP($E$4&amp;$A22,'Data Induk Pegawai'!$A:$Z,H$6,FALSE),3),"-")</f>
        <v>-</v>
      </c>
      <c r="I22" s="53" t="str">
        <f>IFERROR(VLOOKUP($E$4&amp;$A22,'Data Induk Pegawai'!$A:$Z,I$6,FALSE),"-")</f>
        <v>-</v>
      </c>
      <c r="J22" s="91" t="str">
        <f>IFERROR(VLOOKUP($E$4&amp;$A22,'Data Induk Pegawai'!$A:$Z,J$6,FALSE),"-")</f>
        <v>-</v>
      </c>
      <c r="K22" s="54" t="str">
        <f>IFERROR(VLOOKUP($E$4&amp;$A22,'Data Induk Pegawai'!$A:$Z,K$6,FALSE),"-")</f>
        <v>-</v>
      </c>
      <c r="L22" s="54" t="str">
        <f>IFERROR(VLOOKUP($E$4&amp;$A22,'Data Induk Pegawai'!$A:$Z,L$6,FALSE),"-")</f>
        <v>-</v>
      </c>
      <c r="M22" s="91" t="str">
        <f>IFERROR(VLOOKUP($E$4&amp;$A22,'Data Induk Pegawai'!$A:$Z,M$6,FALSE),"-")</f>
        <v>-</v>
      </c>
      <c r="N22" s="54" t="str">
        <f>IFERROR(VLOOKUP($E$4&amp;$A22,'Data Induk Pegawai'!$A:$Z,N$6,FALSE),"-")</f>
        <v>-</v>
      </c>
      <c r="O22" s="54" t="str">
        <f>IFERROR(VLOOKUP($E$4&amp;$A22,'Data Induk Pegawai'!$A:$Z,O$6,FALSE),"-")</f>
        <v>-</v>
      </c>
      <c r="P22" s="54" t="str">
        <f>IFERROR(VLOOKUP($E$4&amp;$A22,'Data Induk Pegawai'!$A:$Z,P$6,FALSE),"-")</f>
        <v>-</v>
      </c>
      <c r="Q22" s="53" t="str">
        <f>IFERROR(VLOOKUP($E$4&amp;$A22,'Data Induk Pegawai'!$A:$Z,Q$6,FALSE),"-")</f>
        <v>-</v>
      </c>
      <c r="R22" s="54" t="str">
        <f>IFERROR(VLOOKUP($E$4&amp;$A22,'Data Induk Pegawai'!$A:$Z,R$6,FALSE),"-")</f>
        <v>-</v>
      </c>
      <c r="S22" s="54" t="str">
        <f>IFERROR(VLOOKUP($E$4&amp;$A22,'Data Induk Pegawai'!$A:$Z,S$6,FALSE),"-")</f>
        <v>-</v>
      </c>
      <c r="T22" s="53" t="str">
        <f>IFERROR(VLOOKUP($E$4&amp;$A22,'Data Induk Pegawai'!$A:$Z,T$6,FALSE),"-")</f>
        <v>-</v>
      </c>
      <c r="U22" s="53" t="str">
        <f>IFERROR(VLOOKUP($E$4&amp;$A22,'Data Induk Pegawai'!$A:$Z,U$6,FALSE),"-")</f>
        <v>-</v>
      </c>
      <c r="V22" s="53" t="str">
        <f>IFERROR(VLOOKUP($E$4&amp;$A22,'Data Induk Pegawai'!$A:$Z,V$6,FALSE),"-")</f>
        <v>-</v>
      </c>
      <c r="AA22" s="51">
        <v>20</v>
      </c>
      <c r="AB22" s="51">
        <f t="shared" si="0"/>
        <v>1</v>
      </c>
    </row>
    <row r="23" spans="1:28" ht="15.5" x14ac:dyDescent="0.35">
      <c r="A23" s="51">
        <v>15</v>
      </c>
      <c r="B23" s="52" t="str">
        <f>IFERROR(VLOOKUP($E$4&amp;$A23,'Data Induk Pegawai'!$A:$Z,B$6,FALSE),"-")</f>
        <v>-</v>
      </c>
      <c r="C23" s="53" t="str">
        <f>IFERROR(VLOOKUP($E$4&amp;$A23,'Data Induk Pegawai'!$A:$Z,C$6,FALSE),"-")</f>
        <v>-</v>
      </c>
      <c r="D23" s="53" t="str">
        <f>IFERROR(VLOOKUP($E$4&amp;$A23,'Data Induk Pegawai'!$A:$Z,D$6,FALSE),"-")</f>
        <v>-</v>
      </c>
      <c r="E23" s="150" t="str">
        <f>IFERROR(VLOOKUP($E$4&amp;$A23,'Data Induk Pegawai'!$A:$Z,E$6,FALSE),"-")</f>
        <v>-</v>
      </c>
      <c r="F23" s="150" t="str">
        <f>IFERROR(VLOOKUP($E$4&amp;$A23,'Data Induk Pegawai'!$A:$Z,F$6,FALSE),"-")</f>
        <v>-</v>
      </c>
      <c r="G23" s="53" t="str">
        <f>IFERROR(VLOOKUP($E$4&amp;$A23,'Data Induk Pegawai'!$A:$Z,G$6,FALSE),"-")</f>
        <v>-</v>
      </c>
      <c r="H23" s="53" t="str">
        <f>IFERROR(LEFT(VLOOKUP($E$4&amp;$A23,'Data Induk Pegawai'!$A:$Z,H$6,FALSE),3),"-")</f>
        <v>-</v>
      </c>
      <c r="I23" s="53" t="str">
        <f>IFERROR(VLOOKUP($E$4&amp;$A23,'Data Induk Pegawai'!$A:$Z,I$6,FALSE),"-")</f>
        <v>-</v>
      </c>
      <c r="J23" s="91" t="str">
        <f>IFERROR(VLOOKUP($E$4&amp;$A23,'Data Induk Pegawai'!$A:$Z,J$6,FALSE),"-")</f>
        <v>-</v>
      </c>
      <c r="K23" s="54" t="str">
        <f>IFERROR(VLOOKUP($E$4&amp;$A23,'Data Induk Pegawai'!$A:$Z,K$6,FALSE),"-")</f>
        <v>-</v>
      </c>
      <c r="L23" s="54" t="str">
        <f>IFERROR(VLOOKUP($E$4&amp;$A23,'Data Induk Pegawai'!$A:$Z,L$6,FALSE),"-")</f>
        <v>-</v>
      </c>
      <c r="M23" s="91" t="str">
        <f>IFERROR(VLOOKUP($E$4&amp;$A23,'Data Induk Pegawai'!$A:$Z,M$6,FALSE),"-")</f>
        <v>-</v>
      </c>
      <c r="N23" s="54" t="str">
        <f>IFERROR(VLOOKUP($E$4&amp;$A23,'Data Induk Pegawai'!$A:$Z,N$6,FALSE),"-")</f>
        <v>-</v>
      </c>
      <c r="O23" s="54" t="str">
        <f>IFERROR(VLOOKUP($E$4&amp;$A23,'Data Induk Pegawai'!$A:$Z,O$6,FALSE),"-")</f>
        <v>-</v>
      </c>
      <c r="P23" s="54" t="str">
        <f>IFERROR(VLOOKUP($E$4&amp;$A23,'Data Induk Pegawai'!$A:$Z,P$6,FALSE),"-")</f>
        <v>-</v>
      </c>
      <c r="Q23" s="53" t="str">
        <f>IFERROR(VLOOKUP($E$4&amp;$A23,'Data Induk Pegawai'!$A:$Z,Q$6,FALSE),"-")</f>
        <v>-</v>
      </c>
      <c r="R23" s="54" t="str">
        <f>IFERROR(VLOOKUP($E$4&amp;$A23,'Data Induk Pegawai'!$A:$Z,R$6,FALSE),"-")</f>
        <v>-</v>
      </c>
      <c r="S23" s="54" t="str">
        <f>IFERROR(VLOOKUP($E$4&amp;$A23,'Data Induk Pegawai'!$A:$Z,S$6,FALSE),"-")</f>
        <v>-</v>
      </c>
      <c r="T23" s="53" t="str">
        <f>IFERROR(VLOOKUP($E$4&amp;$A23,'Data Induk Pegawai'!$A:$Z,T$6,FALSE),"-")</f>
        <v>-</v>
      </c>
      <c r="U23" s="53" t="str">
        <f>IFERROR(VLOOKUP($E$4&amp;$A23,'Data Induk Pegawai'!$A:$Z,U$6,FALSE),"-")</f>
        <v>-</v>
      </c>
      <c r="V23" s="53" t="str">
        <f>IFERROR(VLOOKUP($E$4&amp;$A23,'Data Induk Pegawai'!$A:$Z,V$6,FALSE),"-")</f>
        <v>-</v>
      </c>
      <c r="AA23" s="51">
        <v>21</v>
      </c>
      <c r="AB23" s="51">
        <f t="shared" si="0"/>
        <v>1</v>
      </c>
    </row>
    <row r="24" spans="1:28" ht="15.5" x14ac:dyDescent="0.35">
      <c r="A24" s="51">
        <v>16</v>
      </c>
      <c r="B24" s="52" t="str">
        <f>IFERROR(VLOOKUP($E$4&amp;$A24,'Data Induk Pegawai'!$A:$Z,B$6,FALSE),"-")</f>
        <v>-</v>
      </c>
      <c r="C24" s="53" t="str">
        <f>IFERROR(VLOOKUP($E$4&amp;$A24,'Data Induk Pegawai'!$A:$Z,C$6,FALSE),"-")</f>
        <v>-</v>
      </c>
      <c r="D24" s="53" t="str">
        <f>IFERROR(VLOOKUP($E$4&amp;$A24,'Data Induk Pegawai'!$A:$Z,D$6,FALSE),"-")</f>
        <v>-</v>
      </c>
      <c r="E24" s="150" t="str">
        <f>IFERROR(VLOOKUP($E$4&amp;$A24,'Data Induk Pegawai'!$A:$Z,E$6,FALSE),"-")</f>
        <v>-</v>
      </c>
      <c r="F24" s="150" t="str">
        <f>IFERROR(VLOOKUP($E$4&amp;$A24,'Data Induk Pegawai'!$A:$Z,F$6,FALSE),"-")</f>
        <v>-</v>
      </c>
      <c r="G24" s="53" t="str">
        <f>IFERROR(VLOOKUP($E$4&amp;$A24,'Data Induk Pegawai'!$A:$Z,G$6,FALSE),"-")</f>
        <v>-</v>
      </c>
      <c r="H24" s="53" t="str">
        <f>IFERROR(LEFT(VLOOKUP($E$4&amp;$A24,'Data Induk Pegawai'!$A:$Z,H$6,FALSE),3),"-")</f>
        <v>-</v>
      </c>
      <c r="I24" s="53" t="str">
        <f>IFERROR(VLOOKUP($E$4&amp;$A24,'Data Induk Pegawai'!$A:$Z,I$6,FALSE),"-")</f>
        <v>-</v>
      </c>
      <c r="J24" s="91" t="str">
        <f>IFERROR(VLOOKUP($E$4&amp;$A24,'Data Induk Pegawai'!$A:$Z,J$6,FALSE),"-")</f>
        <v>-</v>
      </c>
      <c r="K24" s="54" t="str">
        <f>IFERROR(VLOOKUP($E$4&amp;$A24,'Data Induk Pegawai'!$A:$Z,K$6,FALSE),"-")</f>
        <v>-</v>
      </c>
      <c r="L24" s="54" t="str">
        <f>IFERROR(VLOOKUP($E$4&amp;$A24,'Data Induk Pegawai'!$A:$Z,L$6,FALSE),"-")</f>
        <v>-</v>
      </c>
      <c r="M24" s="91" t="str">
        <f>IFERROR(VLOOKUP($E$4&amp;$A24,'Data Induk Pegawai'!$A:$Z,M$6,FALSE),"-")</f>
        <v>-</v>
      </c>
      <c r="N24" s="54" t="str">
        <f>IFERROR(VLOOKUP($E$4&amp;$A24,'Data Induk Pegawai'!$A:$Z,N$6,FALSE),"-")</f>
        <v>-</v>
      </c>
      <c r="O24" s="54" t="str">
        <f>IFERROR(VLOOKUP($E$4&amp;$A24,'Data Induk Pegawai'!$A:$Z,O$6,FALSE),"-")</f>
        <v>-</v>
      </c>
      <c r="P24" s="54" t="str">
        <f>IFERROR(VLOOKUP($E$4&amp;$A24,'Data Induk Pegawai'!$A:$Z,P$6,FALSE),"-")</f>
        <v>-</v>
      </c>
      <c r="Q24" s="53" t="str">
        <f>IFERROR(VLOOKUP($E$4&amp;$A24,'Data Induk Pegawai'!$A:$Z,Q$6,FALSE),"-")</f>
        <v>-</v>
      </c>
      <c r="R24" s="54" t="str">
        <f>IFERROR(VLOOKUP($E$4&amp;$A24,'Data Induk Pegawai'!$A:$Z,R$6,FALSE),"-")</f>
        <v>-</v>
      </c>
      <c r="S24" s="54" t="str">
        <f>IFERROR(VLOOKUP($E$4&amp;$A24,'Data Induk Pegawai'!$A:$Z,S$6,FALSE),"-")</f>
        <v>-</v>
      </c>
      <c r="T24" s="53" t="str">
        <f>IFERROR(VLOOKUP($E$4&amp;$A24,'Data Induk Pegawai'!$A:$Z,T$6,FALSE),"-")</f>
        <v>-</v>
      </c>
      <c r="U24" s="53" t="str">
        <f>IFERROR(VLOOKUP($E$4&amp;$A24,'Data Induk Pegawai'!$A:$Z,U$6,FALSE),"-")</f>
        <v>-</v>
      </c>
      <c r="V24" s="53" t="str">
        <f>IFERROR(VLOOKUP($E$4&amp;$A24,'Data Induk Pegawai'!$A:$Z,V$6,FALSE),"-")</f>
        <v>-</v>
      </c>
      <c r="AA24" s="51">
        <v>22</v>
      </c>
      <c r="AB24" s="51">
        <f t="shared" si="0"/>
        <v>1</v>
      </c>
    </row>
    <row r="25" spans="1:28" ht="15.5" x14ac:dyDescent="0.35">
      <c r="A25" s="51">
        <v>17</v>
      </c>
      <c r="B25" s="52" t="str">
        <f>IFERROR(VLOOKUP($E$4&amp;$A25,'Data Induk Pegawai'!$A:$Z,B$6,FALSE),"-")</f>
        <v>-</v>
      </c>
      <c r="C25" s="53" t="str">
        <f>IFERROR(VLOOKUP($E$4&amp;$A25,'Data Induk Pegawai'!$A:$Z,C$6,FALSE),"-")</f>
        <v>-</v>
      </c>
      <c r="D25" s="53" t="str">
        <f>IFERROR(VLOOKUP($E$4&amp;$A25,'Data Induk Pegawai'!$A:$Z,D$6,FALSE),"-")</f>
        <v>-</v>
      </c>
      <c r="E25" s="150" t="str">
        <f>IFERROR(VLOOKUP($E$4&amp;$A25,'Data Induk Pegawai'!$A:$Z,E$6,FALSE),"-")</f>
        <v>-</v>
      </c>
      <c r="F25" s="150" t="str">
        <f>IFERROR(VLOOKUP($E$4&amp;$A25,'Data Induk Pegawai'!$A:$Z,F$6,FALSE),"-")</f>
        <v>-</v>
      </c>
      <c r="G25" s="53" t="str">
        <f>IFERROR(VLOOKUP($E$4&amp;$A25,'Data Induk Pegawai'!$A:$Z,G$6,FALSE),"-")</f>
        <v>-</v>
      </c>
      <c r="H25" s="53" t="str">
        <f>IFERROR(LEFT(VLOOKUP($E$4&amp;$A25,'Data Induk Pegawai'!$A:$Z,H$6,FALSE),3),"-")</f>
        <v>-</v>
      </c>
      <c r="I25" s="53" t="str">
        <f>IFERROR(VLOOKUP($E$4&amp;$A25,'Data Induk Pegawai'!$A:$Z,I$6,FALSE),"-")</f>
        <v>-</v>
      </c>
      <c r="J25" s="91" t="str">
        <f>IFERROR(VLOOKUP($E$4&amp;$A25,'Data Induk Pegawai'!$A:$Z,J$6,FALSE),"-")</f>
        <v>-</v>
      </c>
      <c r="K25" s="54" t="str">
        <f>IFERROR(VLOOKUP($E$4&amp;$A25,'Data Induk Pegawai'!$A:$Z,K$6,FALSE),"-")</f>
        <v>-</v>
      </c>
      <c r="L25" s="54" t="str">
        <f>IFERROR(VLOOKUP($E$4&amp;$A25,'Data Induk Pegawai'!$A:$Z,L$6,FALSE),"-")</f>
        <v>-</v>
      </c>
      <c r="M25" s="91" t="str">
        <f>IFERROR(VLOOKUP($E$4&amp;$A25,'Data Induk Pegawai'!$A:$Z,M$6,FALSE),"-")</f>
        <v>-</v>
      </c>
      <c r="N25" s="54" t="str">
        <f>IFERROR(VLOOKUP($E$4&amp;$A25,'Data Induk Pegawai'!$A:$Z,N$6,FALSE),"-")</f>
        <v>-</v>
      </c>
      <c r="O25" s="54" t="str">
        <f>IFERROR(VLOOKUP($E$4&amp;$A25,'Data Induk Pegawai'!$A:$Z,O$6,FALSE),"-")</f>
        <v>-</v>
      </c>
      <c r="P25" s="54" t="str">
        <f>IFERROR(VLOOKUP($E$4&amp;$A25,'Data Induk Pegawai'!$A:$Z,P$6,FALSE),"-")</f>
        <v>-</v>
      </c>
      <c r="Q25" s="53" t="str">
        <f>IFERROR(VLOOKUP($E$4&amp;$A25,'Data Induk Pegawai'!$A:$Z,Q$6,FALSE),"-")</f>
        <v>-</v>
      </c>
      <c r="R25" s="54" t="str">
        <f>IFERROR(VLOOKUP($E$4&amp;$A25,'Data Induk Pegawai'!$A:$Z,R$6,FALSE),"-")</f>
        <v>-</v>
      </c>
      <c r="S25" s="54" t="str">
        <f>IFERROR(VLOOKUP($E$4&amp;$A25,'Data Induk Pegawai'!$A:$Z,S$6,FALSE),"-")</f>
        <v>-</v>
      </c>
      <c r="T25" s="53" t="str">
        <f>IFERROR(VLOOKUP($E$4&amp;$A25,'Data Induk Pegawai'!$A:$Z,T$6,FALSE),"-")</f>
        <v>-</v>
      </c>
      <c r="U25" s="53" t="str">
        <f>IFERROR(VLOOKUP($E$4&amp;$A25,'Data Induk Pegawai'!$A:$Z,U$6,FALSE),"-")</f>
        <v>-</v>
      </c>
      <c r="V25" s="53" t="str">
        <f>IFERROR(VLOOKUP($E$4&amp;$A25,'Data Induk Pegawai'!$A:$Z,V$6,FALSE),"-")</f>
        <v>-</v>
      </c>
      <c r="AA25" s="51">
        <v>23</v>
      </c>
      <c r="AB25" s="51">
        <f t="shared" si="0"/>
        <v>1</v>
      </c>
    </row>
    <row r="26" spans="1:28" ht="15.5" x14ac:dyDescent="0.35">
      <c r="A26" s="51">
        <v>18</v>
      </c>
      <c r="B26" s="52" t="str">
        <f>IFERROR(VLOOKUP($E$4&amp;$A26,'Data Induk Pegawai'!$A:$Z,B$6,FALSE),"-")</f>
        <v>-</v>
      </c>
      <c r="C26" s="53" t="str">
        <f>IFERROR(VLOOKUP($E$4&amp;$A26,'Data Induk Pegawai'!$A:$Z,C$6,FALSE),"-")</f>
        <v>-</v>
      </c>
      <c r="D26" s="53" t="str">
        <f>IFERROR(VLOOKUP($E$4&amp;$A26,'Data Induk Pegawai'!$A:$Z,D$6,FALSE),"-")</f>
        <v>-</v>
      </c>
      <c r="E26" s="150" t="str">
        <f>IFERROR(VLOOKUP($E$4&amp;$A26,'Data Induk Pegawai'!$A:$Z,E$6,FALSE),"-")</f>
        <v>-</v>
      </c>
      <c r="F26" s="150" t="str">
        <f>IFERROR(VLOOKUP($E$4&amp;$A26,'Data Induk Pegawai'!$A:$Z,F$6,FALSE),"-")</f>
        <v>-</v>
      </c>
      <c r="G26" s="53" t="str">
        <f>IFERROR(VLOOKUP($E$4&amp;$A26,'Data Induk Pegawai'!$A:$Z,G$6,FALSE),"-")</f>
        <v>-</v>
      </c>
      <c r="H26" s="53" t="str">
        <f>IFERROR(LEFT(VLOOKUP($E$4&amp;$A26,'Data Induk Pegawai'!$A:$Z,H$6,FALSE),3),"-")</f>
        <v>-</v>
      </c>
      <c r="I26" s="53" t="str">
        <f>IFERROR(VLOOKUP($E$4&amp;$A26,'Data Induk Pegawai'!$A:$Z,I$6,FALSE),"-")</f>
        <v>-</v>
      </c>
      <c r="J26" s="91" t="str">
        <f>IFERROR(VLOOKUP($E$4&amp;$A26,'Data Induk Pegawai'!$A:$Z,J$6,FALSE),"-")</f>
        <v>-</v>
      </c>
      <c r="K26" s="54" t="str">
        <f>IFERROR(VLOOKUP($E$4&amp;$A26,'Data Induk Pegawai'!$A:$Z,K$6,FALSE),"-")</f>
        <v>-</v>
      </c>
      <c r="L26" s="54" t="str">
        <f>IFERROR(VLOOKUP($E$4&amp;$A26,'Data Induk Pegawai'!$A:$Z,L$6,FALSE),"-")</f>
        <v>-</v>
      </c>
      <c r="M26" s="91" t="str">
        <f>IFERROR(VLOOKUP($E$4&amp;$A26,'Data Induk Pegawai'!$A:$Z,M$6,FALSE),"-")</f>
        <v>-</v>
      </c>
      <c r="N26" s="54" t="str">
        <f>IFERROR(VLOOKUP($E$4&amp;$A26,'Data Induk Pegawai'!$A:$Z,N$6,FALSE),"-")</f>
        <v>-</v>
      </c>
      <c r="O26" s="54" t="str">
        <f>IFERROR(VLOOKUP($E$4&amp;$A26,'Data Induk Pegawai'!$A:$Z,O$6,FALSE),"-")</f>
        <v>-</v>
      </c>
      <c r="P26" s="54" t="str">
        <f>IFERROR(VLOOKUP($E$4&amp;$A26,'Data Induk Pegawai'!$A:$Z,P$6,FALSE),"-")</f>
        <v>-</v>
      </c>
      <c r="Q26" s="53" t="str">
        <f>IFERROR(VLOOKUP($E$4&amp;$A26,'Data Induk Pegawai'!$A:$Z,Q$6,FALSE),"-")</f>
        <v>-</v>
      </c>
      <c r="R26" s="54" t="str">
        <f>IFERROR(VLOOKUP($E$4&amp;$A26,'Data Induk Pegawai'!$A:$Z,R$6,FALSE),"-")</f>
        <v>-</v>
      </c>
      <c r="S26" s="54" t="str">
        <f>IFERROR(VLOOKUP($E$4&amp;$A26,'Data Induk Pegawai'!$A:$Z,S$6,FALSE),"-")</f>
        <v>-</v>
      </c>
      <c r="T26" s="53" t="str">
        <f>IFERROR(VLOOKUP($E$4&amp;$A26,'Data Induk Pegawai'!$A:$Z,T$6,FALSE),"-")</f>
        <v>-</v>
      </c>
      <c r="U26" s="53" t="str">
        <f>IFERROR(VLOOKUP($E$4&amp;$A26,'Data Induk Pegawai'!$A:$Z,U$6,FALSE),"-")</f>
        <v>-</v>
      </c>
      <c r="V26" s="53" t="str">
        <f>IFERROR(VLOOKUP($E$4&amp;$A26,'Data Induk Pegawai'!$A:$Z,V$6,FALSE),"-")</f>
        <v>-</v>
      </c>
      <c r="AA26" s="51">
        <v>24</v>
      </c>
      <c r="AB26" s="51">
        <f t="shared" si="0"/>
        <v>1</v>
      </c>
    </row>
    <row r="27" spans="1:28" ht="15.5" x14ac:dyDescent="0.35">
      <c r="A27" s="51">
        <v>19</v>
      </c>
      <c r="B27" s="52" t="str">
        <f>IFERROR(VLOOKUP($E$4&amp;$A27,'Data Induk Pegawai'!$A:$Z,B$6,FALSE),"-")</f>
        <v>-</v>
      </c>
      <c r="C27" s="53" t="str">
        <f>IFERROR(VLOOKUP($E$4&amp;$A27,'Data Induk Pegawai'!$A:$Z,C$6,FALSE),"-")</f>
        <v>-</v>
      </c>
      <c r="D27" s="53" t="str">
        <f>IFERROR(VLOOKUP($E$4&amp;$A27,'Data Induk Pegawai'!$A:$Z,D$6,FALSE),"-")</f>
        <v>-</v>
      </c>
      <c r="E27" s="150" t="str">
        <f>IFERROR(VLOOKUP($E$4&amp;$A27,'Data Induk Pegawai'!$A:$Z,E$6,FALSE),"-")</f>
        <v>-</v>
      </c>
      <c r="F27" s="150" t="str">
        <f>IFERROR(VLOOKUP($E$4&amp;$A27,'Data Induk Pegawai'!$A:$Z,F$6,FALSE),"-")</f>
        <v>-</v>
      </c>
      <c r="G27" s="53" t="str">
        <f>IFERROR(VLOOKUP($E$4&amp;$A27,'Data Induk Pegawai'!$A:$Z,G$6,FALSE),"-")</f>
        <v>-</v>
      </c>
      <c r="H27" s="53" t="str">
        <f>IFERROR(LEFT(VLOOKUP($E$4&amp;$A27,'Data Induk Pegawai'!$A:$Z,H$6,FALSE),3),"-")</f>
        <v>-</v>
      </c>
      <c r="I27" s="53" t="str">
        <f>IFERROR(VLOOKUP($E$4&amp;$A27,'Data Induk Pegawai'!$A:$Z,I$6,FALSE),"-")</f>
        <v>-</v>
      </c>
      <c r="J27" s="91" t="str">
        <f>IFERROR(VLOOKUP($E$4&amp;$A27,'Data Induk Pegawai'!$A:$Z,J$6,FALSE),"-")</f>
        <v>-</v>
      </c>
      <c r="K27" s="54" t="str">
        <f>IFERROR(VLOOKUP($E$4&amp;$A27,'Data Induk Pegawai'!$A:$Z,K$6,FALSE),"-")</f>
        <v>-</v>
      </c>
      <c r="L27" s="54" t="str">
        <f>IFERROR(VLOOKUP($E$4&amp;$A27,'Data Induk Pegawai'!$A:$Z,L$6,FALSE),"-")</f>
        <v>-</v>
      </c>
      <c r="M27" s="91" t="str">
        <f>IFERROR(VLOOKUP($E$4&amp;$A27,'Data Induk Pegawai'!$A:$Z,M$6,FALSE),"-")</f>
        <v>-</v>
      </c>
      <c r="N27" s="54" t="str">
        <f>IFERROR(VLOOKUP($E$4&amp;$A27,'Data Induk Pegawai'!$A:$Z,N$6,FALSE),"-")</f>
        <v>-</v>
      </c>
      <c r="O27" s="54" t="str">
        <f>IFERROR(VLOOKUP($E$4&amp;$A27,'Data Induk Pegawai'!$A:$Z,O$6,FALSE),"-")</f>
        <v>-</v>
      </c>
      <c r="P27" s="54" t="str">
        <f>IFERROR(VLOOKUP($E$4&amp;$A27,'Data Induk Pegawai'!$A:$Z,P$6,FALSE),"-")</f>
        <v>-</v>
      </c>
      <c r="Q27" s="53" t="str">
        <f>IFERROR(VLOOKUP($E$4&amp;$A27,'Data Induk Pegawai'!$A:$Z,Q$6,FALSE),"-")</f>
        <v>-</v>
      </c>
      <c r="R27" s="54" t="str">
        <f>IFERROR(VLOOKUP($E$4&amp;$A27,'Data Induk Pegawai'!$A:$Z,R$6,FALSE),"-")</f>
        <v>-</v>
      </c>
      <c r="S27" s="54" t="str">
        <f>IFERROR(VLOOKUP($E$4&amp;$A27,'Data Induk Pegawai'!$A:$Z,S$6,FALSE),"-")</f>
        <v>-</v>
      </c>
      <c r="T27" s="53" t="str">
        <f>IFERROR(VLOOKUP($E$4&amp;$A27,'Data Induk Pegawai'!$A:$Z,T$6,FALSE),"-")</f>
        <v>-</v>
      </c>
      <c r="U27" s="53" t="str">
        <f>IFERROR(VLOOKUP($E$4&amp;$A27,'Data Induk Pegawai'!$A:$Z,U$6,FALSE),"-")</f>
        <v>-</v>
      </c>
      <c r="V27" s="53" t="str">
        <f>IFERROR(VLOOKUP($E$4&amp;$A27,'Data Induk Pegawai'!$A:$Z,V$6,FALSE),"-")</f>
        <v>-</v>
      </c>
      <c r="AA27" s="51">
        <v>25</v>
      </c>
      <c r="AB27" s="51">
        <f t="shared" si="0"/>
        <v>1</v>
      </c>
    </row>
    <row r="28" spans="1:28" ht="15.5" x14ac:dyDescent="0.35">
      <c r="A28" s="51">
        <v>20</v>
      </c>
      <c r="B28" s="52" t="str">
        <f>IFERROR(VLOOKUP($E$4&amp;$A28,'Data Induk Pegawai'!$A:$Z,B$6,FALSE),"-")</f>
        <v>-</v>
      </c>
      <c r="C28" s="53" t="str">
        <f>IFERROR(VLOOKUP($E$4&amp;$A28,'Data Induk Pegawai'!$A:$Z,C$6,FALSE),"-")</f>
        <v>-</v>
      </c>
      <c r="D28" s="53" t="str">
        <f>IFERROR(VLOOKUP($E$4&amp;$A28,'Data Induk Pegawai'!$A:$Z,D$6,FALSE),"-")</f>
        <v>-</v>
      </c>
      <c r="E28" s="150" t="str">
        <f>IFERROR(VLOOKUP($E$4&amp;$A28,'Data Induk Pegawai'!$A:$Z,E$6,FALSE),"-")</f>
        <v>-</v>
      </c>
      <c r="F28" s="150" t="str">
        <f>IFERROR(VLOOKUP($E$4&amp;$A28,'Data Induk Pegawai'!$A:$Z,F$6,FALSE),"-")</f>
        <v>-</v>
      </c>
      <c r="G28" s="53" t="str">
        <f>IFERROR(VLOOKUP($E$4&amp;$A28,'Data Induk Pegawai'!$A:$Z,G$6,FALSE),"-")</f>
        <v>-</v>
      </c>
      <c r="H28" s="53" t="str">
        <f>IFERROR(LEFT(VLOOKUP($E$4&amp;$A28,'Data Induk Pegawai'!$A:$Z,H$6,FALSE),3),"-")</f>
        <v>-</v>
      </c>
      <c r="I28" s="53" t="str">
        <f>IFERROR(VLOOKUP($E$4&amp;$A28,'Data Induk Pegawai'!$A:$Z,I$6,FALSE),"-")</f>
        <v>-</v>
      </c>
      <c r="J28" s="91" t="str">
        <f>IFERROR(VLOOKUP($E$4&amp;$A28,'Data Induk Pegawai'!$A:$Z,J$6,FALSE),"-")</f>
        <v>-</v>
      </c>
      <c r="K28" s="54" t="str">
        <f>IFERROR(VLOOKUP($E$4&amp;$A28,'Data Induk Pegawai'!$A:$Z,K$6,FALSE),"-")</f>
        <v>-</v>
      </c>
      <c r="L28" s="54" t="str">
        <f>IFERROR(VLOOKUP($E$4&amp;$A28,'Data Induk Pegawai'!$A:$Z,L$6,FALSE),"-")</f>
        <v>-</v>
      </c>
      <c r="M28" s="91" t="str">
        <f>IFERROR(VLOOKUP($E$4&amp;$A28,'Data Induk Pegawai'!$A:$Z,M$6,FALSE),"-")</f>
        <v>-</v>
      </c>
      <c r="N28" s="54" t="str">
        <f>IFERROR(VLOOKUP($E$4&amp;$A28,'Data Induk Pegawai'!$A:$Z,N$6,FALSE),"-")</f>
        <v>-</v>
      </c>
      <c r="O28" s="54" t="str">
        <f>IFERROR(VLOOKUP($E$4&amp;$A28,'Data Induk Pegawai'!$A:$Z,O$6,FALSE),"-")</f>
        <v>-</v>
      </c>
      <c r="P28" s="54" t="str">
        <f>IFERROR(VLOOKUP($E$4&amp;$A28,'Data Induk Pegawai'!$A:$Z,P$6,FALSE),"-")</f>
        <v>-</v>
      </c>
      <c r="Q28" s="53" t="str">
        <f>IFERROR(VLOOKUP($E$4&amp;$A28,'Data Induk Pegawai'!$A:$Z,Q$6,FALSE),"-")</f>
        <v>-</v>
      </c>
      <c r="R28" s="54" t="str">
        <f>IFERROR(VLOOKUP($E$4&amp;$A28,'Data Induk Pegawai'!$A:$Z,R$6,FALSE),"-")</f>
        <v>-</v>
      </c>
      <c r="S28" s="54" t="str">
        <f>IFERROR(VLOOKUP($E$4&amp;$A28,'Data Induk Pegawai'!$A:$Z,S$6,FALSE),"-")</f>
        <v>-</v>
      </c>
      <c r="T28" s="53" t="str">
        <f>IFERROR(VLOOKUP($E$4&amp;$A28,'Data Induk Pegawai'!$A:$Z,T$6,FALSE),"-")</f>
        <v>-</v>
      </c>
      <c r="U28" s="53" t="str">
        <f>IFERROR(VLOOKUP($E$4&amp;$A28,'Data Induk Pegawai'!$A:$Z,U$6,FALSE),"-")</f>
        <v>-</v>
      </c>
      <c r="V28" s="53" t="str">
        <f>IFERROR(VLOOKUP($E$4&amp;$A28,'Data Induk Pegawai'!$A:$Z,V$6,FALSE),"-")</f>
        <v>-</v>
      </c>
    </row>
    <row r="29" spans="1:28" ht="15.5" x14ac:dyDescent="0.35">
      <c r="A29" s="51">
        <v>21</v>
      </c>
      <c r="B29" s="52" t="str">
        <f>IFERROR(VLOOKUP($E$4&amp;$A29,'Data Induk Pegawai'!$A:$Z,B$6,FALSE),"-")</f>
        <v>-</v>
      </c>
      <c r="C29" s="53" t="str">
        <f>IFERROR(VLOOKUP($E$4&amp;$A29,'Data Induk Pegawai'!$A:$Z,C$6,FALSE),"-")</f>
        <v>-</v>
      </c>
      <c r="D29" s="53" t="str">
        <f>IFERROR(VLOOKUP($E$4&amp;$A29,'Data Induk Pegawai'!$A:$Z,D$6,FALSE),"-")</f>
        <v>-</v>
      </c>
      <c r="E29" s="150" t="str">
        <f>IFERROR(VLOOKUP($E$4&amp;$A29,'Data Induk Pegawai'!$A:$Z,E$6,FALSE),"-")</f>
        <v>-</v>
      </c>
      <c r="F29" s="150" t="str">
        <f>IFERROR(VLOOKUP($E$4&amp;$A29,'Data Induk Pegawai'!$A:$Z,F$6,FALSE),"-")</f>
        <v>-</v>
      </c>
      <c r="G29" s="53" t="str">
        <f>IFERROR(VLOOKUP($E$4&amp;$A29,'Data Induk Pegawai'!$A:$Z,G$6,FALSE),"-")</f>
        <v>-</v>
      </c>
      <c r="H29" s="53" t="str">
        <f>IFERROR(LEFT(VLOOKUP($E$4&amp;$A29,'Data Induk Pegawai'!$A:$Z,H$6,FALSE),3),"-")</f>
        <v>-</v>
      </c>
      <c r="I29" s="53" t="str">
        <f>IFERROR(VLOOKUP($E$4&amp;$A29,'Data Induk Pegawai'!$A:$Z,I$6,FALSE),"-")</f>
        <v>-</v>
      </c>
      <c r="J29" s="91" t="str">
        <f>IFERROR(VLOOKUP($E$4&amp;$A29,'Data Induk Pegawai'!$A:$Z,J$6,FALSE),"-")</f>
        <v>-</v>
      </c>
      <c r="K29" s="54" t="str">
        <f>IFERROR(VLOOKUP($E$4&amp;$A29,'Data Induk Pegawai'!$A:$Z,K$6,FALSE),"-")</f>
        <v>-</v>
      </c>
      <c r="L29" s="54" t="str">
        <f>IFERROR(VLOOKUP($E$4&amp;$A29,'Data Induk Pegawai'!$A:$Z,L$6,FALSE),"-")</f>
        <v>-</v>
      </c>
      <c r="M29" s="91" t="str">
        <f>IFERROR(VLOOKUP($E$4&amp;$A29,'Data Induk Pegawai'!$A:$Z,M$6,FALSE),"-")</f>
        <v>-</v>
      </c>
      <c r="N29" s="54" t="str">
        <f>IFERROR(VLOOKUP($E$4&amp;$A29,'Data Induk Pegawai'!$A:$Z,N$6,FALSE),"-")</f>
        <v>-</v>
      </c>
      <c r="O29" s="54" t="str">
        <f>IFERROR(VLOOKUP($E$4&amp;$A29,'Data Induk Pegawai'!$A:$Z,O$6,FALSE),"-")</f>
        <v>-</v>
      </c>
      <c r="P29" s="54" t="str">
        <f>IFERROR(VLOOKUP($E$4&amp;$A29,'Data Induk Pegawai'!$A:$Z,P$6,FALSE),"-")</f>
        <v>-</v>
      </c>
      <c r="Q29" s="53" t="str">
        <f>IFERROR(VLOOKUP($E$4&amp;$A29,'Data Induk Pegawai'!$A:$Z,Q$6,FALSE),"-")</f>
        <v>-</v>
      </c>
      <c r="R29" s="54" t="str">
        <f>IFERROR(VLOOKUP($E$4&amp;$A29,'Data Induk Pegawai'!$A:$Z,R$6,FALSE),"-")</f>
        <v>-</v>
      </c>
      <c r="S29" s="54" t="str">
        <f>IFERROR(VLOOKUP($E$4&amp;$A29,'Data Induk Pegawai'!$A:$Z,S$6,FALSE),"-")</f>
        <v>-</v>
      </c>
      <c r="T29" s="53" t="str">
        <f>IFERROR(VLOOKUP($E$4&amp;$A29,'Data Induk Pegawai'!$A:$Z,T$6,FALSE),"-")</f>
        <v>-</v>
      </c>
      <c r="U29" s="53" t="str">
        <f>IFERROR(VLOOKUP($E$4&amp;$A29,'Data Induk Pegawai'!$A:$Z,U$6,FALSE),"-")</f>
        <v>-</v>
      </c>
      <c r="V29" s="53" t="str">
        <f>IFERROR(VLOOKUP($E$4&amp;$A29,'Data Induk Pegawai'!$A:$Z,V$6,FALSE),"-")</f>
        <v>-</v>
      </c>
    </row>
    <row r="30" spans="1:28" ht="15.5" x14ac:dyDescent="0.35">
      <c r="A30" s="51">
        <v>22</v>
      </c>
      <c r="B30" s="52" t="str">
        <f>IFERROR(VLOOKUP($E$4&amp;$A30,'Data Induk Pegawai'!$A:$Z,B$6,FALSE),"-")</f>
        <v>-</v>
      </c>
      <c r="C30" s="53" t="str">
        <f>IFERROR(VLOOKUP($E$4&amp;$A30,'Data Induk Pegawai'!$A:$Z,C$6,FALSE),"-")</f>
        <v>-</v>
      </c>
      <c r="D30" s="53" t="str">
        <f>IFERROR(VLOOKUP($E$4&amp;$A30,'Data Induk Pegawai'!$A:$Z,D$6,FALSE),"-")</f>
        <v>-</v>
      </c>
      <c r="E30" s="150" t="str">
        <f>IFERROR(VLOOKUP($E$4&amp;$A30,'Data Induk Pegawai'!$A:$Z,E$6,FALSE),"-")</f>
        <v>-</v>
      </c>
      <c r="F30" s="150" t="str">
        <f>IFERROR(VLOOKUP($E$4&amp;$A30,'Data Induk Pegawai'!$A:$Z,F$6,FALSE),"-")</f>
        <v>-</v>
      </c>
      <c r="G30" s="53" t="str">
        <f>IFERROR(VLOOKUP($E$4&amp;$A30,'Data Induk Pegawai'!$A:$Z,G$6,FALSE),"-")</f>
        <v>-</v>
      </c>
      <c r="H30" s="53" t="str">
        <f>IFERROR(LEFT(VLOOKUP($E$4&amp;$A30,'Data Induk Pegawai'!$A:$Z,H$6,FALSE),3),"-")</f>
        <v>-</v>
      </c>
      <c r="I30" s="53" t="str">
        <f>IFERROR(VLOOKUP($E$4&amp;$A30,'Data Induk Pegawai'!$A:$Z,I$6,FALSE),"-")</f>
        <v>-</v>
      </c>
      <c r="J30" s="91" t="str">
        <f>IFERROR(VLOOKUP($E$4&amp;$A30,'Data Induk Pegawai'!$A:$Z,J$6,FALSE),"-")</f>
        <v>-</v>
      </c>
      <c r="K30" s="54" t="str">
        <f>IFERROR(VLOOKUP($E$4&amp;$A30,'Data Induk Pegawai'!$A:$Z,K$6,FALSE),"-")</f>
        <v>-</v>
      </c>
      <c r="L30" s="54" t="str">
        <f>IFERROR(VLOOKUP($E$4&amp;$A30,'Data Induk Pegawai'!$A:$Z,L$6,FALSE),"-")</f>
        <v>-</v>
      </c>
      <c r="M30" s="91" t="str">
        <f>IFERROR(VLOOKUP($E$4&amp;$A30,'Data Induk Pegawai'!$A:$Z,M$6,FALSE),"-")</f>
        <v>-</v>
      </c>
      <c r="N30" s="54" t="str">
        <f>IFERROR(VLOOKUP($E$4&amp;$A30,'Data Induk Pegawai'!$A:$Z,N$6,FALSE),"-")</f>
        <v>-</v>
      </c>
      <c r="O30" s="54" t="str">
        <f>IFERROR(VLOOKUP($E$4&amp;$A30,'Data Induk Pegawai'!$A:$Z,O$6,FALSE),"-")</f>
        <v>-</v>
      </c>
      <c r="P30" s="54" t="str">
        <f>IFERROR(VLOOKUP($E$4&amp;$A30,'Data Induk Pegawai'!$A:$Z,P$6,FALSE),"-")</f>
        <v>-</v>
      </c>
      <c r="Q30" s="53" t="str">
        <f>IFERROR(VLOOKUP($E$4&amp;$A30,'Data Induk Pegawai'!$A:$Z,Q$6,FALSE),"-")</f>
        <v>-</v>
      </c>
      <c r="R30" s="54" t="str">
        <f>IFERROR(VLOOKUP($E$4&amp;$A30,'Data Induk Pegawai'!$A:$Z,R$6,FALSE),"-")</f>
        <v>-</v>
      </c>
      <c r="S30" s="54" t="str">
        <f>IFERROR(VLOOKUP($E$4&amp;$A30,'Data Induk Pegawai'!$A:$Z,S$6,FALSE),"-")</f>
        <v>-</v>
      </c>
      <c r="T30" s="53" t="str">
        <f>IFERROR(VLOOKUP($E$4&amp;$A30,'Data Induk Pegawai'!$A:$Z,T$6,FALSE),"-")</f>
        <v>-</v>
      </c>
      <c r="U30" s="53" t="str">
        <f>IFERROR(VLOOKUP($E$4&amp;$A30,'Data Induk Pegawai'!$A:$Z,U$6,FALSE),"-")</f>
        <v>-</v>
      </c>
      <c r="V30" s="53" t="str">
        <f>IFERROR(VLOOKUP($E$4&amp;$A30,'Data Induk Pegawai'!$A:$Z,V$6,FALSE),"-")</f>
        <v>-</v>
      </c>
    </row>
    <row r="31" spans="1:28" ht="15.5" x14ac:dyDescent="0.35">
      <c r="A31" s="51">
        <v>23</v>
      </c>
      <c r="B31" s="52" t="str">
        <f>IFERROR(VLOOKUP($E$4&amp;$A31,'Data Induk Pegawai'!$A:$Z,B$6,FALSE),"-")</f>
        <v>-</v>
      </c>
      <c r="C31" s="53" t="str">
        <f>IFERROR(VLOOKUP($E$4&amp;$A31,'Data Induk Pegawai'!$A:$Z,C$6,FALSE),"-")</f>
        <v>-</v>
      </c>
      <c r="D31" s="53" t="str">
        <f>IFERROR(VLOOKUP($E$4&amp;$A31,'Data Induk Pegawai'!$A:$Z,D$6,FALSE),"-")</f>
        <v>-</v>
      </c>
      <c r="E31" s="150" t="str">
        <f>IFERROR(VLOOKUP($E$4&amp;$A31,'Data Induk Pegawai'!$A:$Z,E$6,FALSE),"-")</f>
        <v>-</v>
      </c>
      <c r="F31" s="150" t="str">
        <f>IFERROR(VLOOKUP($E$4&amp;$A31,'Data Induk Pegawai'!$A:$Z,F$6,FALSE),"-")</f>
        <v>-</v>
      </c>
      <c r="G31" s="53" t="str">
        <f>IFERROR(VLOOKUP($E$4&amp;$A31,'Data Induk Pegawai'!$A:$Z,G$6,FALSE),"-")</f>
        <v>-</v>
      </c>
      <c r="H31" s="53" t="str">
        <f>IFERROR(LEFT(VLOOKUP($E$4&amp;$A31,'Data Induk Pegawai'!$A:$Z,H$6,FALSE),3),"-")</f>
        <v>-</v>
      </c>
      <c r="I31" s="53" t="str">
        <f>IFERROR(VLOOKUP($E$4&amp;$A31,'Data Induk Pegawai'!$A:$Z,I$6,FALSE),"-")</f>
        <v>-</v>
      </c>
      <c r="J31" s="91" t="str">
        <f>IFERROR(VLOOKUP($E$4&amp;$A31,'Data Induk Pegawai'!$A:$Z,J$6,FALSE),"-")</f>
        <v>-</v>
      </c>
      <c r="K31" s="54" t="str">
        <f>IFERROR(VLOOKUP($E$4&amp;$A31,'Data Induk Pegawai'!$A:$Z,K$6,FALSE),"-")</f>
        <v>-</v>
      </c>
      <c r="L31" s="54" t="str">
        <f>IFERROR(VLOOKUP($E$4&amp;$A31,'Data Induk Pegawai'!$A:$Z,L$6,FALSE),"-")</f>
        <v>-</v>
      </c>
      <c r="M31" s="91" t="str">
        <f>IFERROR(VLOOKUP($E$4&amp;$A31,'Data Induk Pegawai'!$A:$Z,M$6,FALSE),"-")</f>
        <v>-</v>
      </c>
      <c r="N31" s="54" t="str">
        <f>IFERROR(VLOOKUP($E$4&amp;$A31,'Data Induk Pegawai'!$A:$Z,N$6,FALSE),"-")</f>
        <v>-</v>
      </c>
      <c r="O31" s="54" t="str">
        <f>IFERROR(VLOOKUP($E$4&amp;$A31,'Data Induk Pegawai'!$A:$Z,O$6,FALSE),"-")</f>
        <v>-</v>
      </c>
      <c r="P31" s="54" t="str">
        <f>IFERROR(VLOOKUP($E$4&amp;$A31,'Data Induk Pegawai'!$A:$Z,P$6,FALSE),"-")</f>
        <v>-</v>
      </c>
      <c r="Q31" s="53" t="str">
        <f>IFERROR(VLOOKUP($E$4&amp;$A31,'Data Induk Pegawai'!$A:$Z,Q$6,FALSE),"-")</f>
        <v>-</v>
      </c>
      <c r="R31" s="54" t="str">
        <f>IFERROR(VLOOKUP($E$4&amp;$A31,'Data Induk Pegawai'!$A:$Z,R$6,FALSE),"-")</f>
        <v>-</v>
      </c>
      <c r="S31" s="54" t="str">
        <f>IFERROR(VLOOKUP($E$4&amp;$A31,'Data Induk Pegawai'!$A:$Z,S$6,FALSE),"-")</f>
        <v>-</v>
      </c>
      <c r="T31" s="53" t="str">
        <f>IFERROR(VLOOKUP($E$4&amp;$A31,'Data Induk Pegawai'!$A:$Z,T$6,FALSE),"-")</f>
        <v>-</v>
      </c>
      <c r="U31" s="53" t="str">
        <f>IFERROR(VLOOKUP($E$4&amp;$A31,'Data Induk Pegawai'!$A:$Z,U$6,FALSE),"-")</f>
        <v>-</v>
      </c>
      <c r="V31" s="53" t="str">
        <f>IFERROR(VLOOKUP($E$4&amp;$A31,'Data Induk Pegawai'!$A:$Z,V$6,FALSE),"-")</f>
        <v>-</v>
      </c>
    </row>
    <row r="32" spans="1:28" ht="15.5" x14ac:dyDescent="0.35">
      <c r="A32" s="51">
        <v>24</v>
      </c>
      <c r="B32" s="52" t="str">
        <f>IFERROR(VLOOKUP($E$4&amp;$A32,'Data Induk Pegawai'!$A:$Z,B$6,FALSE),"-")</f>
        <v>-</v>
      </c>
      <c r="C32" s="53" t="str">
        <f>IFERROR(VLOOKUP($E$4&amp;$A32,'Data Induk Pegawai'!$A:$Z,C$6,FALSE),"-")</f>
        <v>-</v>
      </c>
      <c r="D32" s="53" t="str">
        <f>IFERROR(VLOOKUP($E$4&amp;$A32,'Data Induk Pegawai'!$A:$Z,D$6,FALSE),"-")</f>
        <v>-</v>
      </c>
      <c r="E32" s="150" t="str">
        <f>IFERROR(VLOOKUP($E$4&amp;$A32,'Data Induk Pegawai'!$A:$Z,E$6,FALSE),"-")</f>
        <v>-</v>
      </c>
      <c r="F32" s="150" t="str">
        <f>IFERROR(VLOOKUP($E$4&amp;$A32,'Data Induk Pegawai'!$A:$Z,F$6,FALSE),"-")</f>
        <v>-</v>
      </c>
      <c r="G32" s="53" t="str">
        <f>IFERROR(VLOOKUP($E$4&amp;$A32,'Data Induk Pegawai'!$A:$Z,G$6,FALSE),"-")</f>
        <v>-</v>
      </c>
      <c r="H32" s="53" t="str">
        <f>IFERROR(LEFT(VLOOKUP($E$4&amp;$A32,'Data Induk Pegawai'!$A:$Z,H$6,FALSE),3),"-")</f>
        <v>-</v>
      </c>
      <c r="I32" s="53" t="str">
        <f>IFERROR(VLOOKUP($E$4&amp;$A32,'Data Induk Pegawai'!$A:$Z,I$6,FALSE),"-")</f>
        <v>-</v>
      </c>
      <c r="J32" s="91" t="str">
        <f>IFERROR(VLOOKUP($E$4&amp;$A32,'Data Induk Pegawai'!$A:$Z,J$6,FALSE),"-")</f>
        <v>-</v>
      </c>
      <c r="K32" s="54" t="str">
        <f>IFERROR(VLOOKUP($E$4&amp;$A32,'Data Induk Pegawai'!$A:$Z,K$6,FALSE),"-")</f>
        <v>-</v>
      </c>
      <c r="L32" s="54" t="str">
        <f>IFERROR(VLOOKUP($E$4&amp;$A32,'Data Induk Pegawai'!$A:$Z,L$6,FALSE),"-")</f>
        <v>-</v>
      </c>
      <c r="M32" s="91" t="str">
        <f>IFERROR(VLOOKUP($E$4&amp;$A32,'Data Induk Pegawai'!$A:$Z,M$6,FALSE),"-")</f>
        <v>-</v>
      </c>
      <c r="N32" s="54" t="str">
        <f>IFERROR(VLOOKUP($E$4&amp;$A32,'Data Induk Pegawai'!$A:$Z,N$6,FALSE),"-")</f>
        <v>-</v>
      </c>
      <c r="O32" s="54" t="str">
        <f>IFERROR(VLOOKUP($E$4&amp;$A32,'Data Induk Pegawai'!$A:$Z,O$6,FALSE),"-")</f>
        <v>-</v>
      </c>
      <c r="P32" s="54" t="str">
        <f>IFERROR(VLOOKUP($E$4&amp;$A32,'Data Induk Pegawai'!$A:$Z,P$6,FALSE),"-")</f>
        <v>-</v>
      </c>
      <c r="Q32" s="53" t="str">
        <f>IFERROR(VLOOKUP($E$4&amp;$A32,'Data Induk Pegawai'!$A:$Z,Q$6,FALSE),"-")</f>
        <v>-</v>
      </c>
      <c r="R32" s="54" t="str">
        <f>IFERROR(VLOOKUP($E$4&amp;$A32,'Data Induk Pegawai'!$A:$Z,R$6,FALSE),"-")</f>
        <v>-</v>
      </c>
      <c r="S32" s="54" t="str">
        <f>IFERROR(VLOOKUP($E$4&amp;$A32,'Data Induk Pegawai'!$A:$Z,S$6,FALSE),"-")</f>
        <v>-</v>
      </c>
      <c r="T32" s="53" t="str">
        <f>IFERROR(VLOOKUP($E$4&amp;$A32,'Data Induk Pegawai'!$A:$Z,T$6,FALSE),"-")</f>
        <v>-</v>
      </c>
      <c r="U32" s="53" t="str">
        <f>IFERROR(VLOOKUP($E$4&amp;$A32,'Data Induk Pegawai'!$A:$Z,U$6,FALSE),"-")</f>
        <v>-</v>
      </c>
      <c r="V32" s="53" t="str">
        <f>IFERROR(VLOOKUP($E$4&amp;$A32,'Data Induk Pegawai'!$A:$Z,V$6,FALSE),"-")</f>
        <v>-</v>
      </c>
    </row>
    <row r="33" spans="1:22" ht="15.5" x14ac:dyDescent="0.35">
      <c r="A33" s="51">
        <v>25</v>
      </c>
      <c r="B33" s="52" t="str">
        <f>IFERROR(VLOOKUP($E$4&amp;$A33,'Data Induk Pegawai'!$A:$Z,B$6,FALSE),"-")</f>
        <v>-</v>
      </c>
      <c r="C33" s="53" t="str">
        <f>IFERROR(VLOOKUP($E$4&amp;$A33,'Data Induk Pegawai'!$A:$Z,C$6,FALSE),"-")</f>
        <v>-</v>
      </c>
      <c r="D33" s="53" t="str">
        <f>IFERROR(VLOOKUP($E$4&amp;$A33,'Data Induk Pegawai'!$A:$Z,D$6,FALSE),"-")</f>
        <v>-</v>
      </c>
      <c r="E33" s="150" t="str">
        <f>IFERROR(VLOOKUP($E$4&amp;$A33,'Data Induk Pegawai'!$A:$Z,E$6,FALSE),"-")</f>
        <v>-</v>
      </c>
      <c r="F33" s="150" t="str">
        <f>IFERROR(VLOOKUP($E$4&amp;$A33,'Data Induk Pegawai'!$A:$Z,F$6,FALSE),"-")</f>
        <v>-</v>
      </c>
      <c r="G33" s="53" t="str">
        <f>IFERROR(VLOOKUP($E$4&amp;$A33,'Data Induk Pegawai'!$A:$Z,G$6,FALSE),"-")</f>
        <v>-</v>
      </c>
      <c r="H33" s="53" t="str">
        <f>IFERROR(LEFT(VLOOKUP($E$4&amp;$A33,'Data Induk Pegawai'!$A:$Z,H$6,FALSE),3),"-")</f>
        <v>-</v>
      </c>
      <c r="I33" s="53" t="str">
        <f>IFERROR(VLOOKUP($E$4&amp;$A33,'Data Induk Pegawai'!$A:$Z,I$6,FALSE),"-")</f>
        <v>-</v>
      </c>
      <c r="J33" s="91" t="str">
        <f>IFERROR(VLOOKUP($E$4&amp;$A33,'Data Induk Pegawai'!$A:$Z,J$6,FALSE),"-")</f>
        <v>-</v>
      </c>
      <c r="K33" s="54" t="str">
        <f>IFERROR(VLOOKUP($E$4&amp;$A33,'Data Induk Pegawai'!$A:$Z,K$6,FALSE),"-")</f>
        <v>-</v>
      </c>
      <c r="L33" s="54" t="str">
        <f>IFERROR(VLOOKUP($E$4&amp;$A33,'Data Induk Pegawai'!$A:$Z,L$6,FALSE),"-")</f>
        <v>-</v>
      </c>
      <c r="M33" s="91" t="str">
        <f>IFERROR(VLOOKUP($E$4&amp;$A33,'Data Induk Pegawai'!$A:$Z,M$6,FALSE),"-")</f>
        <v>-</v>
      </c>
      <c r="N33" s="54" t="str">
        <f>IFERROR(VLOOKUP($E$4&amp;$A33,'Data Induk Pegawai'!$A:$Z,N$6,FALSE),"-")</f>
        <v>-</v>
      </c>
      <c r="O33" s="54" t="str">
        <f>IFERROR(VLOOKUP($E$4&amp;$A33,'Data Induk Pegawai'!$A:$Z,O$6,FALSE),"-")</f>
        <v>-</v>
      </c>
      <c r="P33" s="54" t="str">
        <f>IFERROR(VLOOKUP($E$4&amp;$A33,'Data Induk Pegawai'!$A:$Z,P$6,FALSE),"-")</f>
        <v>-</v>
      </c>
      <c r="Q33" s="53" t="str">
        <f>IFERROR(VLOOKUP($E$4&amp;$A33,'Data Induk Pegawai'!$A:$Z,Q$6,FALSE),"-")</f>
        <v>-</v>
      </c>
      <c r="R33" s="54" t="str">
        <f>IFERROR(VLOOKUP($E$4&amp;$A33,'Data Induk Pegawai'!$A:$Z,R$6,FALSE),"-")</f>
        <v>-</v>
      </c>
      <c r="S33" s="54" t="str">
        <f>IFERROR(VLOOKUP($E$4&amp;$A33,'Data Induk Pegawai'!$A:$Z,S$6,FALSE),"-")</f>
        <v>-</v>
      </c>
      <c r="T33" s="53" t="str">
        <f>IFERROR(VLOOKUP($E$4&amp;$A33,'Data Induk Pegawai'!$A:$Z,T$6,FALSE),"-")</f>
        <v>-</v>
      </c>
      <c r="U33" s="53" t="str">
        <f>IFERROR(VLOOKUP($E$4&amp;$A33,'Data Induk Pegawai'!$A:$Z,U$6,FALSE),"-")</f>
        <v>-</v>
      </c>
      <c r="V33" s="53" t="str">
        <f>IFERROR(VLOOKUP($E$4&amp;$A33,'Data Induk Pegawai'!$A:$Z,V$6,FALSE),"-")</f>
        <v>-</v>
      </c>
    </row>
    <row r="34" spans="1:22" ht="15.5" x14ac:dyDescent="0.35">
      <c r="A34" s="51">
        <v>26</v>
      </c>
      <c r="B34" s="52" t="str">
        <f>IFERROR(VLOOKUP($E$4&amp;$A34,'Data Induk Pegawai'!$A:$Z,B$6,FALSE),"-")</f>
        <v>-</v>
      </c>
      <c r="C34" s="53" t="str">
        <f>IFERROR(VLOOKUP($E$4&amp;$A34,'Data Induk Pegawai'!$A:$Z,C$6,FALSE),"-")</f>
        <v>-</v>
      </c>
      <c r="D34" s="53" t="str">
        <f>IFERROR(VLOOKUP($E$4&amp;$A34,'Data Induk Pegawai'!$A:$Z,D$6,FALSE),"-")</f>
        <v>-</v>
      </c>
      <c r="E34" s="150" t="str">
        <f>IFERROR(VLOOKUP($E$4&amp;$A34,'Data Induk Pegawai'!$A:$Z,E$6,FALSE),"-")</f>
        <v>-</v>
      </c>
      <c r="F34" s="150" t="str">
        <f>IFERROR(VLOOKUP($E$4&amp;$A34,'Data Induk Pegawai'!$A:$Z,F$6,FALSE),"-")</f>
        <v>-</v>
      </c>
      <c r="G34" s="53" t="str">
        <f>IFERROR(VLOOKUP($E$4&amp;$A34,'Data Induk Pegawai'!$A:$Z,G$6,FALSE),"-")</f>
        <v>-</v>
      </c>
      <c r="H34" s="53" t="str">
        <f>IFERROR(LEFT(VLOOKUP($E$4&amp;$A34,'Data Induk Pegawai'!$A:$Z,H$6,FALSE),3),"-")</f>
        <v>-</v>
      </c>
      <c r="I34" s="53" t="str">
        <f>IFERROR(VLOOKUP($E$4&amp;$A34,'Data Induk Pegawai'!$A:$Z,I$6,FALSE),"-")</f>
        <v>-</v>
      </c>
      <c r="J34" s="91" t="str">
        <f>IFERROR(VLOOKUP($E$4&amp;$A34,'Data Induk Pegawai'!$A:$Z,J$6,FALSE),"-")</f>
        <v>-</v>
      </c>
      <c r="K34" s="54" t="str">
        <f>IFERROR(VLOOKUP($E$4&amp;$A34,'Data Induk Pegawai'!$A:$Z,K$6,FALSE),"-")</f>
        <v>-</v>
      </c>
      <c r="L34" s="54" t="str">
        <f>IFERROR(VLOOKUP($E$4&amp;$A34,'Data Induk Pegawai'!$A:$Z,L$6,FALSE),"-")</f>
        <v>-</v>
      </c>
      <c r="M34" s="91" t="str">
        <f>IFERROR(VLOOKUP($E$4&amp;$A34,'Data Induk Pegawai'!$A:$Z,M$6,FALSE),"-")</f>
        <v>-</v>
      </c>
      <c r="N34" s="54" t="str">
        <f>IFERROR(VLOOKUP($E$4&amp;$A34,'Data Induk Pegawai'!$A:$Z,N$6,FALSE),"-")</f>
        <v>-</v>
      </c>
      <c r="O34" s="54" t="str">
        <f>IFERROR(VLOOKUP($E$4&amp;$A34,'Data Induk Pegawai'!$A:$Z,O$6,FALSE),"-")</f>
        <v>-</v>
      </c>
      <c r="P34" s="54" t="str">
        <f>IFERROR(VLOOKUP($E$4&amp;$A34,'Data Induk Pegawai'!$A:$Z,P$6,FALSE),"-")</f>
        <v>-</v>
      </c>
      <c r="Q34" s="53" t="str">
        <f>IFERROR(VLOOKUP($E$4&amp;$A34,'Data Induk Pegawai'!$A:$Z,Q$6,FALSE),"-")</f>
        <v>-</v>
      </c>
      <c r="R34" s="54" t="str">
        <f>IFERROR(VLOOKUP($E$4&amp;$A34,'Data Induk Pegawai'!$A:$Z,R$6,FALSE),"-")</f>
        <v>-</v>
      </c>
      <c r="S34" s="54" t="str">
        <f>IFERROR(VLOOKUP($E$4&amp;$A34,'Data Induk Pegawai'!$A:$Z,S$6,FALSE),"-")</f>
        <v>-</v>
      </c>
      <c r="T34" s="53" t="str">
        <f>IFERROR(VLOOKUP($E$4&amp;$A34,'Data Induk Pegawai'!$A:$Z,T$6,FALSE),"-")</f>
        <v>-</v>
      </c>
      <c r="U34" s="53" t="str">
        <f>IFERROR(VLOOKUP($E$4&amp;$A34,'Data Induk Pegawai'!$A:$Z,U$6,FALSE),"-")</f>
        <v>-</v>
      </c>
      <c r="V34" s="53" t="str">
        <f>IFERROR(VLOOKUP($E$4&amp;$A34,'Data Induk Pegawai'!$A:$Z,V$6,FALSE),"-")</f>
        <v>-</v>
      </c>
    </row>
    <row r="35" spans="1:22" ht="15.5" x14ac:dyDescent="0.35">
      <c r="A35" s="51">
        <v>27</v>
      </c>
      <c r="B35" s="52" t="str">
        <f>IFERROR(VLOOKUP($E$4&amp;$A35,'Data Induk Pegawai'!$A:$Z,B$6,FALSE),"-")</f>
        <v>-</v>
      </c>
      <c r="C35" s="53" t="str">
        <f>IFERROR(VLOOKUP($E$4&amp;$A35,'Data Induk Pegawai'!$A:$Z,C$6,FALSE),"-")</f>
        <v>-</v>
      </c>
      <c r="D35" s="53" t="str">
        <f>IFERROR(VLOOKUP($E$4&amp;$A35,'Data Induk Pegawai'!$A:$Z,D$6,FALSE),"-")</f>
        <v>-</v>
      </c>
      <c r="E35" s="150" t="str">
        <f>IFERROR(VLOOKUP($E$4&amp;$A35,'Data Induk Pegawai'!$A:$Z,E$6,FALSE),"-")</f>
        <v>-</v>
      </c>
      <c r="F35" s="150" t="str">
        <f>IFERROR(VLOOKUP($E$4&amp;$A35,'Data Induk Pegawai'!$A:$Z,F$6,FALSE),"-")</f>
        <v>-</v>
      </c>
      <c r="G35" s="53" t="str">
        <f>IFERROR(VLOOKUP($E$4&amp;$A35,'Data Induk Pegawai'!$A:$Z,G$6,FALSE),"-")</f>
        <v>-</v>
      </c>
      <c r="H35" s="53" t="str">
        <f>IFERROR(LEFT(VLOOKUP($E$4&amp;$A35,'Data Induk Pegawai'!$A:$Z,H$6,FALSE),3),"-")</f>
        <v>-</v>
      </c>
      <c r="I35" s="53" t="str">
        <f>IFERROR(VLOOKUP($E$4&amp;$A35,'Data Induk Pegawai'!$A:$Z,I$6,FALSE),"-")</f>
        <v>-</v>
      </c>
      <c r="J35" s="91" t="str">
        <f>IFERROR(VLOOKUP($E$4&amp;$A35,'Data Induk Pegawai'!$A:$Z,J$6,FALSE),"-")</f>
        <v>-</v>
      </c>
      <c r="K35" s="54" t="str">
        <f>IFERROR(VLOOKUP($E$4&amp;$A35,'Data Induk Pegawai'!$A:$Z,K$6,FALSE),"-")</f>
        <v>-</v>
      </c>
      <c r="L35" s="54" t="str">
        <f>IFERROR(VLOOKUP($E$4&amp;$A35,'Data Induk Pegawai'!$A:$Z,L$6,FALSE),"-")</f>
        <v>-</v>
      </c>
      <c r="M35" s="91" t="str">
        <f>IFERROR(VLOOKUP($E$4&amp;$A35,'Data Induk Pegawai'!$A:$Z,M$6,FALSE),"-")</f>
        <v>-</v>
      </c>
      <c r="N35" s="54" t="str">
        <f>IFERROR(VLOOKUP($E$4&amp;$A35,'Data Induk Pegawai'!$A:$Z,N$6,FALSE),"-")</f>
        <v>-</v>
      </c>
      <c r="O35" s="54" t="str">
        <f>IFERROR(VLOOKUP($E$4&amp;$A35,'Data Induk Pegawai'!$A:$Z,O$6,FALSE),"-")</f>
        <v>-</v>
      </c>
      <c r="P35" s="54" t="str">
        <f>IFERROR(VLOOKUP($E$4&amp;$A35,'Data Induk Pegawai'!$A:$Z,P$6,FALSE),"-")</f>
        <v>-</v>
      </c>
      <c r="Q35" s="53" t="str">
        <f>IFERROR(VLOOKUP($E$4&amp;$A35,'Data Induk Pegawai'!$A:$Z,Q$6,FALSE),"-")</f>
        <v>-</v>
      </c>
      <c r="R35" s="54" t="str">
        <f>IFERROR(VLOOKUP($E$4&amp;$A35,'Data Induk Pegawai'!$A:$Z,R$6,FALSE),"-")</f>
        <v>-</v>
      </c>
      <c r="S35" s="54" t="str">
        <f>IFERROR(VLOOKUP($E$4&amp;$A35,'Data Induk Pegawai'!$A:$Z,S$6,FALSE),"-")</f>
        <v>-</v>
      </c>
      <c r="T35" s="53" t="str">
        <f>IFERROR(VLOOKUP($E$4&amp;$A35,'Data Induk Pegawai'!$A:$Z,T$6,FALSE),"-")</f>
        <v>-</v>
      </c>
      <c r="U35" s="53" t="str">
        <f>IFERROR(VLOOKUP($E$4&amp;$A35,'Data Induk Pegawai'!$A:$Z,U$6,FALSE),"-")</f>
        <v>-</v>
      </c>
      <c r="V35" s="53" t="str">
        <f>IFERROR(VLOOKUP($E$4&amp;$A35,'Data Induk Pegawai'!$A:$Z,V$6,FALSE),"-")</f>
        <v>-</v>
      </c>
    </row>
    <row r="36" spans="1:22" ht="15.5" x14ac:dyDescent="0.35">
      <c r="A36" s="51">
        <v>28</v>
      </c>
      <c r="B36" s="52" t="str">
        <f>IFERROR(VLOOKUP($E$4&amp;$A36,'Data Induk Pegawai'!$A:$Z,B$6,FALSE),"-")</f>
        <v>-</v>
      </c>
      <c r="C36" s="53" t="str">
        <f>IFERROR(VLOOKUP($E$4&amp;$A36,'Data Induk Pegawai'!$A:$Z,C$6,FALSE),"-")</f>
        <v>-</v>
      </c>
      <c r="D36" s="53" t="str">
        <f>IFERROR(VLOOKUP($E$4&amp;$A36,'Data Induk Pegawai'!$A:$Z,D$6,FALSE),"-")</f>
        <v>-</v>
      </c>
      <c r="E36" s="150" t="str">
        <f>IFERROR(VLOOKUP($E$4&amp;$A36,'Data Induk Pegawai'!$A:$Z,E$6,FALSE),"-")</f>
        <v>-</v>
      </c>
      <c r="F36" s="150" t="str">
        <f>IFERROR(VLOOKUP($E$4&amp;$A36,'Data Induk Pegawai'!$A:$Z,F$6,FALSE),"-")</f>
        <v>-</v>
      </c>
      <c r="G36" s="53" t="str">
        <f>IFERROR(VLOOKUP($E$4&amp;$A36,'Data Induk Pegawai'!$A:$Z,G$6,FALSE),"-")</f>
        <v>-</v>
      </c>
      <c r="H36" s="53" t="str">
        <f>IFERROR(LEFT(VLOOKUP($E$4&amp;$A36,'Data Induk Pegawai'!$A:$Z,H$6,FALSE),3),"-")</f>
        <v>-</v>
      </c>
      <c r="I36" s="53" t="str">
        <f>IFERROR(VLOOKUP($E$4&amp;$A36,'Data Induk Pegawai'!$A:$Z,I$6,FALSE),"-")</f>
        <v>-</v>
      </c>
      <c r="J36" s="91" t="str">
        <f>IFERROR(VLOOKUP($E$4&amp;$A36,'Data Induk Pegawai'!$A:$Z,J$6,FALSE),"-")</f>
        <v>-</v>
      </c>
      <c r="K36" s="54" t="str">
        <f>IFERROR(VLOOKUP($E$4&amp;$A36,'Data Induk Pegawai'!$A:$Z,K$6,FALSE),"-")</f>
        <v>-</v>
      </c>
      <c r="L36" s="54" t="str">
        <f>IFERROR(VLOOKUP($E$4&amp;$A36,'Data Induk Pegawai'!$A:$Z,L$6,FALSE),"-")</f>
        <v>-</v>
      </c>
      <c r="M36" s="91" t="str">
        <f>IFERROR(VLOOKUP($E$4&amp;$A36,'Data Induk Pegawai'!$A:$Z,M$6,FALSE),"-")</f>
        <v>-</v>
      </c>
      <c r="N36" s="54" t="str">
        <f>IFERROR(VLOOKUP($E$4&amp;$A36,'Data Induk Pegawai'!$A:$Z,N$6,FALSE),"-")</f>
        <v>-</v>
      </c>
      <c r="O36" s="54" t="str">
        <f>IFERROR(VLOOKUP($E$4&amp;$A36,'Data Induk Pegawai'!$A:$Z,O$6,FALSE),"-")</f>
        <v>-</v>
      </c>
      <c r="P36" s="54" t="str">
        <f>IFERROR(VLOOKUP($E$4&amp;$A36,'Data Induk Pegawai'!$A:$Z,P$6,FALSE),"-")</f>
        <v>-</v>
      </c>
      <c r="Q36" s="53" t="str">
        <f>IFERROR(VLOOKUP($E$4&amp;$A36,'Data Induk Pegawai'!$A:$Z,Q$6,FALSE),"-")</f>
        <v>-</v>
      </c>
      <c r="R36" s="54" t="str">
        <f>IFERROR(VLOOKUP($E$4&amp;$A36,'Data Induk Pegawai'!$A:$Z,R$6,FALSE),"-")</f>
        <v>-</v>
      </c>
      <c r="S36" s="54" t="str">
        <f>IFERROR(VLOOKUP($E$4&amp;$A36,'Data Induk Pegawai'!$A:$Z,S$6,FALSE),"-")</f>
        <v>-</v>
      </c>
      <c r="T36" s="53" t="str">
        <f>IFERROR(VLOOKUP($E$4&amp;$A36,'Data Induk Pegawai'!$A:$Z,T$6,FALSE),"-")</f>
        <v>-</v>
      </c>
      <c r="U36" s="53" t="str">
        <f>IFERROR(VLOOKUP($E$4&amp;$A36,'Data Induk Pegawai'!$A:$Z,U$6,FALSE),"-")</f>
        <v>-</v>
      </c>
      <c r="V36" s="53" t="str">
        <f>IFERROR(VLOOKUP($E$4&amp;$A36,'Data Induk Pegawai'!$A:$Z,V$6,FALSE),"-")</f>
        <v>-</v>
      </c>
    </row>
    <row r="37" spans="1:22" ht="15.5" x14ac:dyDescent="0.35">
      <c r="A37" s="51">
        <v>29</v>
      </c>
      <c r="B37" s="52" t="str">
        <f>IFERROR(VLOOKUP($E$4&amp;$A37,'Data Induk Pegawai'!$A:$Z,B$6,FALSE),"-")</f>
        <v>-</v>
      </c>
      <c r="C37" s="53" t="str">
        <f>IFERROR(VLOOKUP($E$4&amp;$A37,'Data Induk Pegawai'!$A:$Z,C$6,FALSE),"-")</f>
        <v>-</v>
      </c>
      <c r="D37" s="53" t="str">
        <f>IFERROR(VLOOKUP($E$4&amp;$A37,'Data Induk Pegawai'!$A:$Z,D$6,FALSE),"-")</f>
        <v>-</v>
      </c>
      <c r="E37" s="150" t="str">
        <f>IFERROR(VLOOKUP($E$4&amp;$A37,'Data Induk Pegawai'!$A:$Z,E$6,FALSE),"-")</f>
        <v>-</v>
      </c>
      <c r="F37" s="150" t="str">
        <f>IFERROR(VLOOKUP($E$4&amp;$A37,'Data Induk Pegawai'!$A:$Z,F$6,FALSE),"-")</f>
        <v>-</v>
      </c>
      <c r="G37" s="53" t="str">
        <f>IFERROR(VLOOKUP($E$4&amp;$A37,'Data Induk Pegawai'!$A:$Z,G$6,FALSE),"-")</f>
        <v>-</v>
      </c>
      <c r="H37" s="53" t="str">
        <f>IFERROR(LEFT(VLOOKUP($E$4&amp;$A37,'Data Induk Pegawai'!$A:$Z,H$6,FALSE),3),"-")</f>
        <v>-</v>
      </c>
      <c r="I37" s="53" t="str">
        <f>IFERROR(VLOOKUP($E$4&amp;$A37,'Data Induk Pegawai'!$A:$Z,I$6,FALSE),"-")</f>
        <v>-</v>
      </c>
      <c r="J37" s="91" t="str">
        <f>IFERROR(VLOOKUP($E$4&amp;$A37,'Data Induk Pegawai'!$A:$Z,J$6,FALSE),"-")</f>
        <v>-</v>
      </c>
      <c r="K37" s="54" t="str">
        <f>IFERROR(VLOOKUP($E$4&amp;$A37,'Data Induk Pegawai'!$A:$Z,K$6,FALSE),"-")</f>
        <v>-</v>
      </c>
      <c r="L37" s="54" t="str">
        <f>IFERROR(VLOOKUP($E$4&amp;$A37,'Data Induk Pegawai'!$A:$Z,L$6,FALSE),"-")</f>
        <v>-</v>
      </c>
      <c r="M37" s="91" t="str">
        <f>IFERROR(VLOOKUP($E$4&amp;$A37,'Data Induk Pegawai'!$A:$Z,M$6,FALSE),"-")</f>
        <v>-</v>
      </c>
      <c r="N37" s="54" t="str">
        <f>IFERROR(VLOOKUP($E$4&amp;$A37,'Data Induk Pegawai'!$A:$Z,N$6,FALSE),"-")</f>
        <v>-</v>
      </c>
      <c r="O37" s="54" t="str">
        <f>IFERROR(VLOOKUP($E$4&amp;$A37,'Data Induk Pegawai'!$A:$Z,O$6,FALSE),"-")</f>
        <v>-</v>
      </c>
      <c r="P37" s="54" t="str">
        <f>IFERROR(VLOOKUP($E$4&amp;$A37,'Data Induk Pegawai'!$A:$Z,P$6,FALSE),"-")</f>
        <v>-</v>
      </c>
      <c r="Q37" s="53" t="str">
        <f>IFERROR(VLOOKUP($E$4&amp;$A37,'Data Induk Pegawai'!$A:$Z,Q$6,FALSE),"-")</f>
        <v>-</v>
      </c>
      <c r="R37" s="54" t="str">
        <f>IFERROR(VLOOKUP($E$4&amp;$A37,'Data Induk Pegawai'!$A:$Z,R$6,FALSE),"-")</f>
        <v>-</v>
      </c>
      <c r="S37" s="54" t="str">
        <f>IFERROR(VLOOKUP($E$4&amp;$A37,'Data Induk Pegawai'!$A:$Z,S$6,FALSE),"-")</f>
        <v>-</v>
      </c>
      <c r="T37" s="53" t="str">
        <f>IFERROR(VLOOKUP($E$4&amp;$A37,'Data Induk Pegawai'!$A:$Z,T$6,FALSE),"-")</f>
        <v>-</v>
      </c>
      <c r="U37" s="53" t="str">
        <f>IFERROR(VLOOKUP($E$4&amp;$A37,'Data Induk Pegawai'!$A:$Z,U$6,FALSE),"-")</f>
        <v>-</v>
      </c>
      <c r="V37" s="53" t="str">
        <f>IFERROR(VLOOKUP($E$4&amp;$A37,'Data Induk Pegawai'!$A:$Z,V$6,FALSE),"-")</f>
        <v>-</v>
      </c>
    </row>
    <row r="38" spans="1:22" ht="15.5" x14ac:dyDescent="0.35">
      <c r="A38" s="51">
        <v>30</v>
      </c>
      <c r="B38" s="52" t="str">
        <f>IFERROR(VLOOKUP($E$4&amp;$A38,'Data Induk Pegawai'!$A:$Z,B$6,FALSE),"-")</f>
        <v>-</v>
      </c>
      <c r="C38" s="53" t="str">
        <f>IFERROR(VLOOKUP($E$4&amp;$A38,'Data Induk Pegawai'!$A:$Z,C$6,FALSE),"-")</f>
        <v>-</v>
      </c>
      <c r="D38" s="53" t="str">
        <f>IFERROR(VLOOKUP($E$4&amp;$A38,'Data Induk Pegawai'!$A:$Z,D$6,FALSE),"-")</f>
        <v>-</v>
      </c>
      <c r="E38" s="150" t="str">
        <f>IFERROR(VLOOKUP($E$4&amp;$A38,'Data Induk Pegawai'!$A:$Z,E$6,FALSE),"-")</f>
        <v>-</v>
      </c>
      <c r="F38" s="150" t="str">
        <f>IFERROR(VLOOKUP($E$4&amp;$A38,'Data Induk Pegawai'!$A:$Z,F$6,FALSE),"-")</f>
        <v>-</v>
      </c>
      <c r="G38" s="53" t="str">
        <f>IFERROR(VLOOKUP($E$4&amp;$A38,'Data Induk Pegawai'!$A:$Z,G$6,FALSE),"-")</f>
        <v>-</v>
      </c>
      <c r="H38" s="53" t="str">
        <f>IFERROR(LEFT(VLOOKUP($E$4&amp;$A38,'Data Induk Pegawai'!$A:$Z,H$6,FALSE),3),"-")</f>
        <v>-</v>
      </c>
      <c r="I38" s="53" t="str">
        <f>IFERROR(VLOOKUP($E$4&amp;$A38,'Data Induk Pegawai'!$A:$Z,I$6,FALSE),"-")</f>
        <v>-</v>
      </c>
      <c r="J38" s="91" t="str">
        <f>IFERROR(VLOOKUP($E$4&amp;$A38,'Data Induk Pegawai'!$A:$Z,J$6,FALSE),"-")</f>
        <v>-</v>
      </c>
      <c r="K38" s="54" t="str">
        <f>IFERROR(VLOOKUP($E$4&amp;$A38,'Data Induk Pegawai'!$A:$Z,K$6,FALSE),"-")</f>
        <v>-</v>
      </c>
      <c r="L38" s="54" t="str">
        <f>IFERROR(VLOOKUP($E$4&amp;$A38,'Data Induk Pegawai'!$A:$Z,L$6,FALSE),"-")</f>
        <v>-</v>
      </c>
      <c r="M38" s="91" t="str">
        <f>IFERROR(VLOOKUP($E$4&amp;$A38,'Data Induk Pegawai'!$A:$Z,M$6,FALSE),"-")</f>
        <v>-</v>
      </c>
      <c r="N38" s="54" t="str">
        <f>IFERROR(VLOOKUP($E$4&amp;$A38,'Data Induk Pegawai'!$A:$Z,N$6,FALSE),"-")</f>
        <v>-</v>
      </c>
      <c r="O38" s="54" t="str">
        <f>IFERROR(VLOOKUP($E$4&amp;$A38,'Data Induk Pegawai'!$A:$Z,O$6,FALSE),"-")</f>
        <v>-</v>
      </c>
      <c r="P38" s="54" t="str">
        <f>IFERROR(VLOOKUP($E$4&amp;$A38,'Data Induk Pegawai'!$A:$Z,P$6,FALSE),"-")</f>
        <v>-</v>
      </c>
      <c r="Q38" s="53" t="str">
        <f>IFERROR(VLOOKUP($E$4&amp;$A38,'Data Induk Pegawai'!$A:$Z,Q$6,FALSE),"-")</f>
        <v>-</v>
      </c>
      <c r="R38" s="54" t="str">
        <f>IFERROR(VLOOKUP($E$4&amp;$A38,'Data Induk Pegawai'!$A:$Z,R$6,FALSE),"-")</f>
        <v>-</v>
      </c>
      <c r="S38" s="54" t="str">
        <f>IFERROR(VLOOKUP($E$4&amp;$A38,'Data Induk Pegawai'!$A:$Z,S$6,FALSE),"-")</f>
        <v>-</v>
      </c>
      <c r="T38" s="53" t="str">
        <f>IFERROR(VLOOKUP($E$4&amp;$A38,'Data Induk Pegawai'!$A:$Z,T$6,FALSE),"-")</f>
        <v>-</v>
      </c>
      <c r="U38" s="53" t="str">
        <f>IFERROR(VLOOKUP($E$4&amp;$A38,'Data Induk Pegawai'!$A:$Z,U$6,FALSE),"-")</f>
        <v>-</v>
      </c>
      <c r="V38" s="53" t="str">
        <f>IFERROR(VLOOKUP($E$4&amp;$A38,'Data Induk Pegawai'!$A:$Z,V$6,FALSE),"-")</f>
        <v>-</v>
      </c>
    </row>
    <row r="39" spans="1:22" ht="15.5" x14ac:dyDescent="0.35">
      <c r="A39" s="51">
        <v>31</v>
      </c>
      <c r="B39" s="52" t="str">
        <f>IFERROR(VLOOKUP($E$4&amp;$A39,'Data Induk Pegawai'!$A:$Z,B$6,FALSE),"-")</f>
        <v>-</v>
      </c>
      <c r="C39" s="53" t="str">
        <f>IFERROR(VLOOKUP($E$4&amp;$A39,'Data Induk Pegawai'!$A:$Z,C$6,FALSE),"-")</f>
        <v>-</v>
      </c>
      <c r="D39" s="53" t="str">
        <f>IFERROR(VLOOKUP($E$4&amp;$A39,'Data Induk Pegawai'!$A:$Z,D$6,FALSE),"-")</f>
        <v>-</v>
      </c>
      <c r="E39" s="150" t="str">
        <f>IFERROR(VLOOKUP($E$4&amp;$A39,'Data Induk Pegawai'!$A:$Z,E$6,FALSE),"-")</f>
        <v>-</v>
      </c>
      <c r="F39" s="150" t="str">
        <f>IFERROR(VLOOKUP($E$4&amp;$A39,'Data Induk Pegawai'!$A:$Z,F$6,FALSE),"-")</f>
        <v>-</v>
      </c>
      <c r="G39" s="53" t="str">
        <f>IFERROR(VLOOKUP($E$4&amp;$A39,'Data Induk Pegawai'!$A:$Z,G$6,FALSE),"-")</f>
        <v>-</v>
      </c>
      <c r="H39" s="53" t="str">
        <f>IFERROR(LEFT(VLOOKUP($E$4&amp;$A39,'Data Induk Pegawai'!$A:$Z,H$6,FALSE),3),"-")</f>
        <v>-</v>
      </c>
      <c r="I39" s="53" t="str">
        <f>IFERROR(VLOOKUP($E$4&amp;$A39,'Data Induk Pegawai'!$A:$Z,I$6,FALSE),"-")</f>
        <v>-</v>
      </c>
      <c r="J39" s="91" t="str">
        <f>IFERROR(VLOOKUP($E$4&amp;$A39,'Data Induk Pegawai'!$A:$Z,J$6,FALSE),"-")</f>
        <v>-</v>
      </c>
      <c r="K39" s="54" t="str">
        <f>IFERROR(VLOOKUP($E$4&amp;$A39,'Data Induk Pegawai'!$A:$Z,K$6,FALSE),"-")</f>
        <v>-</v>
      </c>
      <c r="L39" s="54" t="str">
        <f>IFERROR(VLOOKUP($E$4&amp;$A39,'Data Induk Pegawai'!$A:$Z,L$6,FALSE),"-")</f>
        <v>-</v>
      </c>
      <c r="M39" s="91" t="str">
        <f>IFERROR(VLOOKUP($E$4&amp;$A39,'Data Induk Pegawai'!$A:$Z,M$6,FALSE),"-")</f>
        <v>-</v>
      </c>
      <c r="N39" s="54" t="str">
        <f>IFERROR(VLOOKUP($E$4&amp;$A39,'Data Induk Pegawai'!$A:$Z,N$6,FALSE),"-")</f>
        <v>-</v>
      </c>
      <c r="O39" s="54" t="str">
        <f>IFERROR(VLOOKUP($E$4&amp;$A39,'Data Induk Pegawai'!$A:$Z,O$6,FALSE),"-")</f>
        <v>-</v>
      </c>
      <c r="P39" s="54" t="str">
        <f>IFERROR(VLOOKUP($E$4&amp;$A39,'Data Induk Pegawai'!$A:$Z,P$6,FALSE),"-")</f>
        <v>-</v>
      </c>
      <c r="Q39" s="53" t="str">
        <f>IFERROR(VLOOKUP($E$4&amp;$A39,'Data Induk Pegawai'!$A:$Z,Q$6,FALSE),"-")</f>
        <v>-</v>
      </c>
      <c r="R39" s="54" t="str">
        <f>IFERROR(VLOOKUP($E$4&amp;$A39,'Data Induk Pegawai'!$A:$Z,R$6,FALSE),"-")</f>
        <v>-</v>
      </c>
      <c r="S39" s="54" t="str">
        <f>IFERROR(VLOOKUP($E$4&amp;$A39,'Data Induk Pegawai'!$A:$Z,S$6,FALSE),"-")</f>
        <v>-</v>
      </c>
      <c r="T39" s="53" t="str">
        <f>IFERROR(VLOOKUP($E$4&amp;$A39,'Data Induk Pegawai'!$A:$Z,T$6,FALSE),"-")</f>
        <v>-</v>
      </c>
      <c r="U39" s="53" t="str">
        <f>IFERROR(VLOOKUP($E$4&amp;$A39,'Data Induk Pegawai'!$A:$Z,U$6,FALSE),"-")</f>
        <v>-</v>
      </c>
      <c r="V39" s="53" t="str">
        <f>IFERROR(VLOOKUP($E$4&amp;$A39,'Data Induk Pegawai'!$A:$Z,V$6,FALSE),"-")</f>
        <v>-</v>
      </c>
    </row>
    <row r="40" spans="1:22" ht="15.5" x14ac:dyDescent="0.35">
      <c r="A40" s="51">
        <v>32</v>
      </c>
      <c r="B40" s="52" t="str">
        <f>IFERROR(VLOOKUP($E$4&amp;$A40,'Data Induk Pegawai'!$A:$Z,B$6,FALSE),"-")</f>
        <v>-</v>
      </c>
      <c r="C40" s="53" t="str">
        <f>IFERROR(VLOOKUP($E$4&amp;$A40,'Data Induk Pegawai'!$A:$Z,C$6,FALSE),"-")</f>
        <v>-</v>
      </c>
      <c r="D40" s="53" t="str">
        <f>IFERROR(VLOOKUP($E$4&amp;$A40,'Data Induk Pegawai'!$A:$Z,D$6,FALSE),"-")</f>
        <v>-</v>
      </c>
      <c r="E40" s="150" t="str">
        <f>IFERROR(VLOOKUP($E$4&amp;$A40,'Data Induk Pegawai'!$A:$Z,E$6,FALSE),"-")</f>
        <v>-</v>
      </c>
      <c r="F40" s="150" t="str">
        <f>IFERROR(VLOOKUP($E$4&amp;$A40,'Data Induk Pegawai'!$A:$Z,F$6,FALSE),"-")</f>
        <v>-</v>
      </c>
      <c r="G40" s="53" t="str">
        <f>IFERROR(VLOOKUP($E$4&amp;$A40,'Data Induk Pegawai'!$A:$Z,G$6,FALSE),"-")</f>
        <v>-</v>
      </c>
      <c r="H40" s="53" t="str">
        <f>IFERROR(LEFT(VLOOKUP($E$4&amp;$A40,'Data Induk Pegawai'!$A:$Z,H$6,FALSE),3),"-")</f>
        <v>-</v>
      </c>
      <c r="I40" s="53" t="str">
        <f>IFERROR(VLOOKUP($E$4&amp;$A40,'Data Induk Pegawai'!$A:$Z,I$6,FALSE),"-")</f>
        <v>-</v>
      </c>
      <c r="J40" s="91" t="str">
        <f>IFERROR(VLOOKUP($E$4&amp;$A40,'Data Induk Pegawai'!$A:$Z,J$6,FALSE),"-")</f>
        <v>-</v>
      </c>
      <c r="K40" s="54" t="str">
        <f>IFERROR(VLOOKUP($E$4&amp;$A40,'Data Induk Pegawai'!$A:$Z,K$6,FALSE),"-")</f>
        <v>-</v>
      </c>
      <c r="L40" s="54" t="str">
        <f>IFERROR(VLOOKUP($E$4&amp;$A40,'Data Induk Pegawai'!$A:$Z,L$6,FALSE),"-")</f>
        <v>-</v>
      </c>
      <c r="M40" s="91" t="str">
        <f>IFERROR(VLOOKUP($E$4&amp;$A40,'Data Induk Pegawai'!$A:$Z,M$6,FALSE),"-")</f>
        <v>-</v>
      </c>
      <c r="N40" s="54" t="str">
        <f>IFERROR(VLOOKUP($E$4&amp;$A40,'Data Induk Pegawai'!$A:$Z,N$6,FALSE),"-")</f>
        <v>-</v>
      </c>
      <c r="O40" s="54" t="str">
        <f>IFERROR(VLOOKUP($E$4&amp;$A40,'Data Induk Pegawai'!$A:$Z,O$6,FALSE),"-")</f>
        <v>-</v>
      </c>
      <c r="P40" s="54" t="str">
        <f>IFERROR(VLOOKUP($E$4&amp;$A40,'Data Induk Pegawai'!$A:$Z,P$6,FALSE),"-")</f>
        <v>-</v>
      </c>
      <c r="Q40" s="53" t="str">
        <f>IFERROR(VLOOKUP($E$4&amp;$A40,'Data Induk Pegawai'!$A:$Z,Q$6,FALSE),"-")</f>
        <v>-</v>
      </c>
      <c r="R40" s="54" t="str">
        <f>IFERROR(VLOOKUP($E$4&amp;$A40,'Data Induk Pegawai'!$A:$Z,R$6,FALSE),"-")</f>
        <v>-</v>
      </c>
      <c r="S40" s="54" t="str">
        <f>IFERROR(VLOOKUP($E$4&amp;$A40,'Data Induk Pegawai'!$A:$Z,S$6,FALSE),"-")</f>
        <v>-</v>
      </c>
      <c r="T40" s="53" t="str">
        <f>IFERROR(VLOOKUP($E$4&amp;$A40,'Data Induk Pegawai'!$A:$Z,T$6,FALSE),"-")</f>
        <v>-</v>
      </c>
      <c r="U40" s="53" t="str">
        <f>IFERROR(VLOOKUP($E$4&amp;$A40,'Data Induk Pegawai'!$A:$Z,U$6,FALSE),"-")</f>
        <v>-</v>
      </c>
      <c r="V40" s="53" t="str">
        <f>IFERROR(VLOOKUP($E$4&amp;$A40,'Data Induk Pegawai'!$A:$Z,V$6,FALSE),"-")</f>
        <v>-</v>
      </c>
    </row>
    <row r="41" spans="1:22" ht="15.5" x14ac:dyDescent="0.35">
      <c r="A41" s="51">
        <v>33</v>
      </c>
      <c r="B41" s="52" t="str">
        <f>IFERROR(VLOOKUP($E$4&amp;$A41,'Data Induk Pegawai'!$A:$Z,B$6,FALSE),"-")</f>
        <v>-</v>
      </c>
      <c r="C41" s="53" t="str">
        <f>IFERROR(VLOOKUP($E$4&amp;$A41,'Data Induk Pegawai'!$A:$Z,C$6,FALSE),"-")</f>
        <v>-</v>
      </c>
      <c r="D41" s="53" t="str">
        <f>IFERROR(VLOOKUP($E$4&amp;$A41,'Data Induk Pegawai'!$A:$Z,D$6,FALSE),"-")</f>
        <v>-</v>
      </c>
      <c r="E41" s="150" t="str">
        <f>IFERROR(VLOOKUP($E$4&amp;$A41,'Data Induk Pegawai'!$A:$Z,E$6,FALSE),"-")</f>
        <v>-</v>
      </c>
      <c r="F41" s="150" t="str">
        <f>IFERROR(VLOOKUP($E$4&amp;$A41,'Data Induk Pegawai'!$A:$Z,F$6,FALSE),"-")</f>
        <v>-</v>
      </c>
      <c r="G41" s="53" t="str">
        <f>IFERROR(VLOOKUP($E$4&amp;$A41,'Data Induk Pegawai'!$A:$Z,G$6,FALSE),"-")</f>
        <v>-</v>
      </c>
      <c r="H41" s="53" t="str">
        <f>IFERROR(LEFT(VLOOKUP($E$4&amp;$A41,'Data Induk Pegawai'!$A:$Z,H$6,FALSE),3),"-")</f>
        <v>-</v>
      </c>
      <c r="I41" s="53" t="str">
        <f>IFERROR(VLOOKUP($E$4&amp;$A41,'Data Induk Pegawai'!$A:$Z,I$6,FALSE),"-")</f>
        <v>-</v>
      </c>
      <c r="J41" s="91" t="str">
        <f>IFERROR(VLOOKUP($E$4&amp;$A41,'Data Induk Pegawai'!$A:$Z,J$6,FALSE),"-")</f>
        <v>-</v>
      </c>
      <c r="K41" s="54" t="str">
        <f>IFERROR(VLOOKUP($E$4&amp;$A41,'Data Induk Pegawai'!$A:$Z,K$6,FALSE),"-")</f>
        <v>-</v>
      </c>
      <c r="L41" s="54" t="str">
        <f>IFERROR(VLOOKUP($E$4&amp;$A41,'Data Induk Pegawai'!$A:$Z,L$6,FALSE),"-")</f>
        <v>-</v>
      </c>
      <c r="M41" s="91" t="str">
        <f>IFERROR(VLOOKUP($E$4&amp;$A41,'Data Induk Pegawai'!$A:$Z,M$6,FALSE),"-")</f>
        <v>-</v>
      </c>
      <c r="N41" s="54" t="str">
        <f>IFERROR(VLOOKUP($E$4&amp;$A41,'Data Induk Pegawai'!$A:$Z,N$6,FALSE),"-")</f>
        <v>-</v>
      </c>
      <c r="O41" s="54" t="str">
        <f>IFERROR(VLOOKUP($E$4&amp;$A41,'Data Induk Pegawai'!$A:$Z,O$6,FALSE),"-")</f>
        <v>-</v>
      </c>
      <c r="P41" s="54" t="str">
        <f>IFERROR(VLOOKUP($E$4&amp;$A41,'Data Induk Pegawai'!$A:$Z,P$6,FALSE),"-")</f>
        <v>-</v>
      </c>
      <c r="Q41" s="53" t="str">
        <f>IFERROR(VLOOKUP($E$4&amp;$A41,'Data Induk Pegawai'!$A:$Z,Q$6,FALSE),"-")</f>
        <v>-</v>
      </c>
      <c r="R41" s="54" t="str">
        <f>IFERROR(VLOOKUP($E$4&amp;$A41,'Data Induk Pegawai'!$A:$Z,R$6,FALSE),"-")</f>
        <v>-</v>
      </c>
      <c r="S41" s="54" t="str">
        <f>IFERROR(VLOOKUP($E$4&amp;$A41,'Data Induk Pegawai'!$A:$Z,S$6,FALSE),"-")</f>
        <v>-</v>
      </c>
      <c r="T41" s="53" t="str">
        <f>IFERROR(VLOOKUP($E$4&amp;$A41,'Data Induk Pegawai'!$A:$Z,T$6,FALSE),"-")</f>
        <v>-</v>
      </c>
      <c r="U41" s="53" t="str">
        <f>IFERROR(VLOOKUP($E$4&amp;$A41,'Data Induk Pegawai'!$A:$Z,U$6,FALSE),"-")</f>
        <v>-</v>
      </c>
      <c r="V41" s="53" t="str">
        <f>IFERROR(VLOOKUP($E$4&amp;$A41,'Data Induk Pegawai'!$A:$Z,V$6,FALSE),"-")</f>
        <v>-</v>
      </c>
    </row>
    <row r="42" spans="1:22" ht="15.5" x14ac:dyDescent="0.35">
      <c r="A42" s="51">
        <v>34</v>
      </c>
      <c r="B42" s="52" t="str">
        <f>IFERROR(VLOOKUP($E$4&amp;$A42,'Data Induk Pegawai'!$A:$Z,B$6,FALSE),"-")</f>
        <v>-</v>
      </c>
      <c r="C42" s="53" t="str">
        <f>IFERROR(VLOOKUP($E$4&amp;$A42,'Data Induk Pegawai'!$A:$Z,C$6,FALSE),"-")</f>
        <v>-</v>
      </c>
      <c r="D42" s="53" t="str">
        <f>IFERROR(VLOOKUP($E$4&amp;$A42,'Data Induk Pegawai'!$A:$Z,D$6,FALSE),"-")</f>
        <v>-</v>
      </c>
      <c r="E42" s="150" t="str">
        <f>IFERROR(VLOOKUP($E$4&amp;$A42,'Data Induk Pegawai'!$A:$Z,E$6,FALSE),"-")</f>
        <v>-</v>
      </c>
      <c r="F42" s="150" t="str">
        <f>IFERROR(VLOOKUP($E$4&amp;$A42,'Data Induk Pegawai'!$A:$Z,F$6,FALSE),"-")</f>
        <v>-</v>
      </c>
      <c r="G42" s="53" t="str">
        <f>IFERROR(VLOOKUP($E$4&amp;$A42,'Data Induk Pegawai'!$A:$Z,G$6,FALSE),"-")</f>
        <v>-</v>
      </c>
      <c r="H42" s="53" t="str">
        <f>IFERROR(LEFT(VLOOKUP($E$4&amp;$A42,'Data Induk Pegawai'!$A:$Z,H$6,FALSE),3),"-")</f>
        <v>-</v>
      </c>
      <c r="I42" s="53" t="str">
        <f>IFERROR(VLOOKUP($E$4&amp;$A42,'Data Induk Pegawai'!$A:$Z,I$6,FALSE),"-")</f>
        <v>-</v>
      </c>
      <c r="J42" s="91" t="str">
        <f>IFERROR(VLOOKUP($E$4&amp;$A42,'Data Induk Pegawai'!$A:$Z,J$6,FALSE),"-")</f>
        <v>-</v>
      </c>
      <c r="K42" s="54" t="str">
        <f>IFERROR(VLOOKUP($E$4&amp;$A42,'Data Induk Pegawai'!$A:$Z,K$6,FALSE),"-")</f>
        <v>-</v>
      </c>
      <c r="L42" s="54" t="str">
        <f>IFERROR(VLOOKUP($E$4&amp;$A42,'Data Induk Pegawai'!$A:$Z,L$6,FALSE),"-")</f>
        <v>-</v>
      </c>
      <c r="M42" s="91" t="str">
        <f>IFERROR(VLOOKUP($E$4&amp;$A42,'Data Induk Pegawai'!$A:$Z,M$6,FALSE),"-")</f>
        <v>-</v>
      </c>
      <c r="N42" s="54" t="str">
        <f>IFERROR(VLOOKUP($E$4&amp;$A42,'Data Induk Pegawai'!$A:$Z,N$6,FALSE),"-")</f>
        <v>-</v>
      </c>
      <c r="O42" s="54" t="str">
        <f>IFERROR(VLOOKUP($E$4&amp;$A42,'Data Induk Pegawai'!$A:$Z,O$6,FALSE),"-")</f>
        <v>-</v>
      </c>
      <c r="P42" s="54" t="str">
        <f>IFERROR(VLOOKUP($E$4&amp;$A42,'Data Induk Pegawai'!$A:$Z,P$6,FALSE),"-")</f>
        <v>-</v>
      </c>
      <c r="Q42" s="53" t="str">
        <f>IFERROR(VLOOKUP($E$4&amp;$A42,'Data Induk Pegawai'!$A:$Z,Q$6,FALSE),"-")</f>
        <v>-</v>
      </c>
      <c r="R42" s="54" t="str">
        <f>IFERROR(VLOOKUP($E$4&amp;$A42,'Data Induk Pegawai'!$A:$Z,R$6,FALSE),"-")</f>
        <v>-</v>
      </c>
      <c r="S42" s="54" t="str">
        <f>IFERROR(VLOOKUP($E$4&amp;$A42,'Data Induk Pegawai'!$A:$Z,S$6,FALSE),"-")</f>
        <v>-</v>
      </c>
      <c r="T42" s="53" t="str">
        <f>IFERROR(VLOOKUP($E$4&amp;$A42,'Data Induk Pegawai'!$A:$Z,T$6,FALSE),"-")</f>
        <v>-</v>
      </c>
      <c r="U42" s="53" t="str">
        <f>IFERROR(VLOOKUP($E$4&amp;$A42,'Data Induk Pegawai'!$A:$Z,U$6,FALSE),"-")</f>
        <v>-</v>
      </c>
      <c r="V42" s="53" t="str">
        <f>IFERROR(VLOOKUP($E$4&amp;$A42,'Data Induk Pegawai'!$A:$Z,V$6,FALSE),"-")</f>
        <v>-</v>
      </c>
    </row>
    <row r="43" spans="1:22" ht="15.5" x14ac:dyDescent="0.35">
      <c r="A43" s="51">
        <v>35</v>
      </c>
      <c r="B43" s="52" t="str">
        <f>IFERROR(VLOOKUP($E$4&amp;$A43,'Data Induk Pegawai'!$A:$Z,B$6,FALSE),"-")</f>
        <v>-</v>
      </c>
      <c r="C43" s="53" t="str">
        <f>IFERROR(VLOOKUP($E$4&amp;$A43,'Data Induk Pegawai'!$A:$Z,C$6,FALSE),"-")</f>
        <v>-</v>
      </c>
      <c r="D43" s="53" t="str">
        <f>IFERROR(VLOOKUP($E$4&amp;$A43,'Data Induk Pegawai'!$A:$Z,D$6,FALSE),"-")</f>
        <v>-</v>
      </c>
      <c r="E43" s="150" t="str">
        <f>IFERROR(VLOOKUP($E$4&amp;$A43,'Data Induk Pegawai'!$A:$Z,E$6,FALSE),"-")</f>
        <v>-</v>
      </c>
      <c r="F43" s="150" t="str">
        <f>IFERROR(VLOOKUP($E$4&amp;$A43,'Data Induk Pegawai'!$A:$Z,F$6,FALSE),"-")</f>
        <v>-</v>
      </c>
      <c r="G43" s="53" t="str">
        <f>IFERROR(VLOOKUP($E$4&amp;$A43,'Data Induk Pegawai'!$A:$Z,G$6,FALSE),"-")</f>
        <v>-</v>
      </c>
      <c r="H43" s="53" t="str">
        <f>IFERROR(LEFT(VLOOKUP($E$4&amp;$A43,'Data Induk Pegawai'!$A:$Z,H$6,FALSE),3),"-")</f>
        <v>-</v>
      </c>
      <c r="I43" s="53" t="str">
        <f>IFERROR(VLOOKUP($E$4&amp;$A43,'Data Induk Pegawai'!$A:$Z,I$6,FALSE),"-")</f>
        <v>-</v>
      </c>
      <c r="J43" s="91" t="str">
        <f>IFERROR(VLOOKUP($E$4&amp;$A43,'Data Induk Pegawai'!$A:$Z,J$6,FALSE),"-")</f>
        <v>-</v>
      </c>
      <c r="K43" s="54" t="str">
        <f>IFERROR(VLOOKUP($E$4&amp;$A43,'Data Induk Pegawai'!$A:$Z,K$6,FALSE),"-")</f>
        <v>-</v>
      </c>
      <c r="L43" s="54" t="str">
        <f>IFERROR(VLOOKUP($E$4&amp;$A43,'Data Induk Pegawai'!$A:$Z,L$6,FALSE),"-")</f>
        <v>-</v>
      </c>
      <c r="M43" s="91" t="str">
        <f>IFERROR(VLOOKUP($E$4&amp;$A43,'Data Induk Pegawai'!$A:$Z,M$6,FALSE),"-")</f>
        <v>-</v>
      </c>
      <c r="N43" s="54" t="str">
        <f>IFERROR(VLOOKUP($E$4&amp;$A43,'Data Induk Pegawai'!$A:$Z,N$6,FALSE),"-")</f>
        <v>-</v>
      </c>
      <c r="O43" s="54" t="str">
        <f>IFERROR(VLOOKUP($E$4&amp;$A43,'Data Induk Pegawai'!$A:$Z,O$6,FALSE),"-")</f>
        <v>-</v>
      </c>
      <c r="P43" s="54" t="str">
        <f>IFERROR(VLOOKUP($E$4&amp;$A43,'Data Induk Pegawai'!$A:$Z,P$6,FALSE),"-")</f>
        <v>-</v>
      </c>
      <c r="Q43" s="53" t="str">
        <f>IFERROR(VLOOKUP($E$4&amp;$A43,'Data Induk Pegawai'!$A:$Z,Q$6,FALSE),"-")</f>
        <v>-</v>
      </c>
      <c r="R43" s="54" t="str">
        <f>IFERROR(VLOOKUP($E$4&amp;$A43,'Data Induk Pegawai'!$A:$Z,R$6,FALSE),"-")</f>
        <v>-</v>
      </c>
      <c r="S43" s="54" t="str">
        <f>IFERROR(VLOOKUP($E$4&amp;$A43,'Data Induk Pegawai'!$A:$Z,S$6,FALSE),"-")</f>
        <v>-</v>
      </c>
      <c r="T43" s="53" t="str">
        <f>IFERROR(VLOOKUP($E$4&amp;$A43,'Data Induk Pegawai'!$A:$Z,T$6,FALSE),"-")</f>
        <v>-</v>
      </c>
      <c r="U43" s="53" t="str">
        <f>IFERROR(VLOOKUP($E$4&amp;$A43,'Data Induk Pegawai'!$A:$Z,U$6,FALSE),"-")</f>
        <v>-</v>
      </c>
      <c r="V43" s="53" t="str">
        <f>IFERROR(VLOOKUP($E$4&amp;$A43,'Data Induk Pegawai'!$A:$Z,V$6,FALSE),"-")</f>
        <v>-</v>
      </c>
    </row>
    <row r="44" spans="1:22" ht="15.5" x14ac:dyDescent="0.35">
      <c r="A44" s="51">
        <v>36</v>
      </c>
      <c r="B44" s="52" t="str">
        <f>IFERROR(VLOOKUP($E$4&amp;$A44,'Data Induk Pegawai'!$A:$Z,B$6,FALSE),"-")</f>
        <v>-</v>
      </c>
      <c r="C44" s="53" t="str">
        <f>IFERROR(VLOOKUP($E$4&amp;$A44,'Data Induk Pegawai'!$A:$Z,C$6,FALSE),"-")</f>
        <v>-</v>
      </c>
      <c r="D44" s="53" t="str">
        <f>IFERROR(VLOOKUP($E$4&amp;$A44,'Data Induk Pegawai'!$A:$Z,D$6,FALSE),"-")</f>
        <v>-</v>
      </c>
      <c r="E44" s="150" t="str">
        <f>IFERROR(VLOOKUP($E$4&amp;$A44,'Data Induk Pegawai'!$A:$Z,E$6,FALSE),"-")</f>
        <v>-</v>
      </c>
      <c r="F44" s="150" t="str">
        <f>IFERROR(VLOOKUP($E$4&amp;$A44,'Data Induk Pegawai'!$A:$Z,F$6,FALSE),"-")</f>
        <v>-</v>
      </c>
      <c r="G44" s="53" t="str">
        <f>IFERROR(VLOOKUP($E$4&amp;$A44,'Data Induk Pegawai'!$A:$Z,G$6,FALSE),"-")</f>
        <v>-</v>
      </c>
      <c r="H44" s="53" t="str">
        <f>IFERROR(LEFT(VLOOKUP($E$4&amp;$A44,'Data Induk Pegawai'!$A:$Z,H$6,FALSE),3),"-")</f>
        <v>-</v>
      </c>
      <c r="I44" s="53" t="str">
        <f>IFERROR(VLOOKUP($E$4&amp;$A44,'Data Induk Pegawai'!$A:$Z,I$6,FALSE),"-")</f>
        <v>-</v>
      </c>
      <c r="J44" s="91" t="str">
        <f>IFERROR(VLOOKUP($E$4&amp;$A44,'Data Induk Pegawai'!$A:$Z,J$6,FALSE),"-")</f>
        <v>-</v>
      </c>
      <c r="K44" s="54" t="str">
        <f>IFERROR(VLOOKUP($E$4&amp;$A44,'Data Induk Pegawai'!$A:$Z,K$6,FALSE),"-")</f>
        <v>-</v>
      </c>
      <c r="L44" s="54" t="str">
        <f>IFERROR(VLOOKUP($E$4&amp;$A44,'Data Induk Pegawai'!$A:$Z,L$6,FALSE),"-")</f>
        <v>-</v>
      </c>
      <c r="M44" s="91" t="str">
        <f>IFERROR(VLOOKUP($E$4&amp;$A44,'Data Induk Pegawai'!$A:$Z,M$6,FALSE),"-")</f>
        <v>-</v>
      </c>
      <c r="N44" s="54" t="str">
        <f>IFERROR(VLOOKUP($E$4&amp;$A44,'Data Induk Pegawai'!$A:$Z,N$6,FALSE),"-")</f>
        <v>-</v>
      </c>
      <c r="O44" s="54" t="str">
        <f>IFERROR(VLOOKUP($E$4&amp;$A44,'Data Induk Pegawai'!$A:$Z,O$6,FALSE),"-")</f>
        <v>-</v>
      </c>
      <c r="P44" s="54" t="str">
        <f>IFERROR(VLOOKUP($E$4&amp;$A44,'Data Induk Pegawai'!$A:$Z,P$6,FALSE),"-")</f>
        <v>-</v>
      </c>
      <c r="Q44" s="53" t="str">
        <f>IFERROR(VLOOKUP($E$4&amp;$A44,'Data Induk Pegawai'!$A:$Z,Q$6,FALSE),"-")</f>
        <v>-</v>
      </c>
      <c r="R44" s="54" t="str">
        <f>IFERROR(VLOOKUP($E$4&amp;$A44,'Data Induk Pegawai'!$A:$Z,R$6,FALSE),"-")</f>
        <v>-</v>
      </c>
      <c r="S44" s="54" t="str">
        <f>IFERROR(VLOOKUP($E$4&amp;$A44,'Data Induk Pegawai'!$A:$Z,S$6,FALSE),"-")</f>
        <v>-</v>
      </c>
      <c r="T44" s="53" t="str">
        <f>IFERROR(VLOOKUP($E$4&amp;$A44,'Data Induk Pegawai'!$A:$Z,T$6,FALSE),"-")</f>
        <v>-</v>
      </c>
      <c r="U44" s="53" t="str">
        <f>IFERROR(VLOOKUP($E$4&amp;$A44,'Data Induk Pegawai'!$A:$Z,U$6,FALSE),"-")</f>
        <v>-</v>
      </c>
      <c r="V44" s="53" t="str">
        <f>IFERROR(VLOOKUP($E$4&amp;$A44,'Data Induk Pegawai'!$A:$Z,V$6,FALSE),"-")</f>
        <v>-</v>
      </c>
    </row>
    <row r="45" spans="1:22" ht="15.5" x14ac:dyDescent="0.35">
      <c r="A45" s="51">
        <v>37</v>
      </c>
      <c r="B45" s="52" t="str">
        <f>IFERROR(VLOOKUP($E$4&amp;$A45,'Data Induk Pegawai'!$A:$Z,B$6,FALSE),"-")</f>
        <v>-</v>
      </c>
      <c r="C45" s="53" t="str">
        <f>IFERROR(VLOOKUP($E$4&amp;$A45,'Data Induk Pegawai'!$A:$Z,C$6,FALSE),"-")</f>
        <v>-</v>
      </c>
      <c r="D45" s="53" t="str">
        <f>IFERROR(VLOOKUP($E$4&amp;$A45,'Data Induk Pegawai'!$A:$Z,D$6,FALSE),"-")</f>
        <v>-</v>
      </c>
      <c r="E45" s="150" t="str">
        <f>IFERROR(VLOOKUP($E$4&amp;$A45,'Data Induk Pegawai'!$A:$Z,E$6,FALSE),"-")</f>
        <v>-</v>
      </c>
      <c r="F45" s="150" t="str">
        <f>IFERROR(VLOOKUP($E$4&amp;$A45,'Data Induk Pegawai'!$A:$Z,F$6,FALSE),"-")</f>
        <v>-</v>
      </c>
      <c r="G45" s="53" t="str">
        <f>IFERROR(VLOOKUP($E$4&amp;$A45,'Data Induk Pegawai'!$A:$Z,G$6,FALSE),"-")</f>
        <v>-</v>
      </c>
      <c r="H45" s="53" t="str">
        <f>IFERROR(LEFT(VLOOKUP($E$4&amp;$A45,'Data Induk Pegawai'!$A:$Z,H$6,FALSE),3),"-")</f>
        <v>-</v>
      </c>
      <c r="I45" s="53" t="str">
        <f>IFERROR(VLOOKUP($E$4&amp;$A45,'Data Induk Pegawai'!$A:$Z,I$6,FALSE),"-")</f>
        <v>-</v>
      </c>
      <c r="J45" s="91" t="str">
        <f>IFERROR(VLOOKUP($E$4&amp;$A45,'Data Induk Pegawai'!$A:$Z,J$6,FALSE),"-")</f>
        <v>-</v>
      </c>
      <c r="K45" s="54" t="str">
        <f>IFERROR(VLOOKUP($E$4&amp;$A45,'Data Induk Pegawai'!$A:$Z,K$6,FALSE),"-")</f>
        <v>-</v>
      </c>
      <c r="L45" s="54" t="str">
        <f>IFERROR(VLOOKUP($E$4&amp;$A45,'Data Induk Pegawai'!$A:$Z,L$6,FALSE),"-")</f>
        <v>-</v>
      </c>
      <c r="M45" s="91" t="str">
        <f>IFERROR(VLOOKUP($E$4&amp;$A45,'Data Induk Pegawai'!$A:$Z,M$6,FALSE),"-")</f>
        <v>-</v>
      </c>
      <c r="N45" s="54" t="str">
        <f>IFERROR(VLOOKUP($E$4&amp;$A45,'Data Induk Pegawai'!$A:$Z,N$6,FALSE),"-")</f>
        <v>-</v>
      </c>
      <c r="O45" s="54" t="str">
        <f>IFERROR(VLOOKUP($E$4&amp;$A45,'Data Induk Pegawai'!$A:$Z,O$6,FALSE),"-")</f>
        <v>-</v>
      </c>
      <c r="P45" s="54" t="str">
        <f>IFERROR(VLOOKUP($E$4&amp;$A45,'Data Induk Pegawai'!$A:$Z,P$6,FALSE),"-")</f>
        <v>-</v>
      </c>
      <c r="Q45" s="53" t="str">
        <f>IFERROR(VLOOKUP($E$4&amp;$A45,'Data Induk Pegawai'!$A:$Z,Q$6,FALSE),"-")</f>
        <v>-</v>
      </c>
      <c r="R45" s="54" t="str">
        <f>IFERROR(VLOOKUP($E$4&amp;$A45,'Data Induk Pegawai'!$A:$Z,R$6,FALSE),"-")</f>
        <v>-</v>
      </c>
      <c r="S45" s="54" t="str">
        <f>IFERROR(VLOOKUP($E$4&amp;$A45,'Data Induk Pegawai'!$A:$Z,S$6,FALSE),"-")</f>
        <v>-</v>
      </c>
      <c r="T45" s="53" t="str">
        <f>IFERROR(VLOOKUP($E$4&amp;$A45,'Data Induk Pegawai'!$A:$Z,T$6,FALSE),"-")</f>
        <v>-</v>
      </c>
      <c r="U45" s="53" t="str">
        <f>IFERROR(VLOOKUP($E$4&amp;$A45,'Data Induk Pegawai'!$A:$Z,U$6,FALSE),"-")</f>
        <v>-</v>
      </c>
      <c r="V45" s="53" t="str">
        <f>IFERROR(VLOOKUP($E$4&amp;$A45,'Data Induk Pegawai'!$A:$Z,V$6,FALSE),"-")</f>
        <v>-</v>
      </c>
    </row>
    <row r="46" spans="1:22" ht="15.5" x14ac:dyDescent="0.35">
      <c r="A46" s="51">
        <v>38</v>
      </c>
      <c r="B46" s="52" t="str">
        <f>IFERROR(VLOOKUP($E$4&amp;$A46,'Data Induk Pegawai'!$A:$Z,B$6,FALSE),"-")</f>
        <v>-</v>
      </c>
      <c r="C46" s="53" t="str">
        <f>IFERROR(VLOOKUP($E$4&amp;$A46,'Data Induk Pegawai'!$A:$Z,C$6,FALSE),"-")</f>
        <v>-</v>
      </c>
      <c r="D46" s="53" t="str">
        <f>IFERROR(VLOOKUP($E$4&amp;$A46,'Data Induk Pegawai'!$A:$Z,D$6,FALSE),"-")</f>
        <v>-</v>
      </c>
      <c r="E46" s="150" t="str">
        <f>IFERROR(VLOOKUP($E$4&amp;$A46,'Data Induk Pegawai'!$A:$Z,E$6,FALSE),"-")</f>
        <v>-</v>
      </c>
      <c r="F46" s="150" t="str">
        <f>IFERROR(VLOOKUP($E$4&amp;$A46,'Data Induk Pegawai'!$A:$Z,F$6,FALSE),"-")</f>
        <v>-</v>
      </c>
      <c r="G46" s="53" t="str">
        <f>IFERROR(VLOOKUP($E$4&amp;$A46,'Data Induk Pegawai'!$A:$Z,G$6,FALSE),"-")</f>
        <v>-</v>
      </c>
      <c r="H46" s="53" t="str">
        <f>IFERROR(LEFT(VLOOKUP($E$4&amp;$A46,'Data Induk Pegawai'!$A:$Z,H$6,FALSE),3),"-")</f>
        <v>-</v>
      </c>
      <c r="I46" s="53" t="str">
        <f>IFERROR(VLOOKUP($E$4&amp;$A46,'Data Induk Pegawai'!$A:$Z,I$6,FALSE),"-")</f>
        <v>-</v>
      </c>
      <c r="J46" s="91" t="str">
        <f>IFERROR(VLOOKUP($E$4&amp;$A46,'Data Induk Pegawai'!$A:$Z,J$6,FALSE),"-")</f>
        <v>-</v>
      </c>
      <c r="K46" s="54" t="str">
        <f>IFERROR(VLOOKUP($E$4&amp;$A46,'Data Induk Pegawai'!$A:$Z,K$6,FALSE),"-")</f>
        <v>-</v>
      </c>
      <c r="L46" s="54" t="str">
        <f>IFERROR(VLOOKUP($E$4&amp;$A46,'Data Induk Pegawai'!$A:$Z,L$6,FALSE),"-")</f>
        <v>-</v>
      </c>
      <c r="M46" s="91" t="str">
        <f>IFERROR(VLOOKUP($E$4&amp;$A46,'Data Induk Pegawai'!$A:$Z,M$6,FALSE),"-")</f>
        <v>-</v>
      </c>
      <c r="N46" s="54" t="str">
        <f>IFERROR(VLOOKUP($E$4&amp;$A46,'Data Induk Pegawai'!$A:$Z,N$6,FALSE),"-")</f>
        <v>-</v>
      </c>
      <c r="O46" s="54" t="str">
        <f>IFERROR(VLOOKUP($E$4&amp;$A46,'Data Induk Pegawai'!$A:$Z,O$6,FALSE),"-")</f>
        <v>-</v>
      </c>
      <c r="P46" s="54" t="str">
        <f>IFERROR(VLOOKUP($E$4&amp;$A46,'Data Induk Pegawai'!$A:$Z,P$6,FALSE),"-")</f>
        <v>-</v>
      </c>
      <c r="Q46" s="53" t="str">
        <f>IFERROR(VLOOKUP($E$4&amp;$A46,'Data Induk Pegawai'!$A:$Z,Q$6,FALSE),"-")</f>
        <v>-</v>
      </c>
      <c r="R46" s="54" t="str">
        <f>IFERROR(VLOOKUP($E$4&amp;$A46,'Data Induk Pegawai'!$A:$Z,R$6,FALSE),"-")</f>
        <v>-</v>
      </c>
      <c r="S46" s="54" t="str">
        <f>IFERROR(VLOOKUP($E$4&amp;$A46,'Data Induk Pegawai'!$A:$Z,S$6,FALSE),"-")</f>
        <v>-</v>
      </c>
      <c r="T46" s="53" t="str">
        <f>IFERROR(VLOOKUP($E$4&amp;$A46,'Data Induk Pegawai'!$A:$Z,T$6,FALSE),"-")</f>
        <v>-</v>
      </c>
      <c r="U46" s="53" t="str">
        <f>IFERROR(VLOOKUP($E$4&amp;$A46,'Data Induk Pegawai'!$A:$Z,U$6,FALSE),"-")</f>
        <v>-</v>
      </c>
      <c r="V46" s="53" t="str">
        <f>IFERROR(VLOOKUP($E$4&amp;$A46,'Data Induk Pegawai'!$A:$Z,V$6,FALSE),"-")</f>
        <v>-</v>
      </c>
    </row>
    <row r="47" spans="1:22" ht="15.5" x14ac:dyDescent="0.35">
      <c r="A47" s="51">
        <v>39</v>
      </c>
      <c r="B47" s="52" t="str">
        <f>IFERROR(VLOOKUP($E$4&amp;$A47,'Data Induk Pegawai'!$A:$Z,B$6,FALSE),"-")</f>
        <v>-</v>
      </c>
      <c r="C47" s="53" t="str">
        <f>IFERROR(VLOOKUP($E$4&amp;$A47,'Data Induk Pegawai'!$A:$Z,C$6,FALSE),"-")</f>
        <v>-</v>
      </c>
      <c r="D47" s="53" t="str">
        <f>IFERROR(VLOOKUP($E$4&amp;$A47,'Data Induk Pegawai'!$A:$Z,D$6,FALSE),"-")</f>
        <v>-</v>
      </c>
      <c r="E47" s="150" t="str">
        <f>IFERROR(VLOOKUP($E$4&amp;$A47,'Data Induk Pegawai'!$A:$Z,E$6,FALSE),"-")</f>
        <v>-</v>
      </c>
      <c r="F47" s="150" t="str">
        <f>IFERROR(VLOOKUP($E$4&amp;$A47,'Data Induk Pegawai'!$A:$Z,F$6,FALSE),"-")</f>
        <v>-</v>
      </c>
      <c r="G47" s="53" t="str">
        <f>IFERROR(VLOOKUP($E$4&amp;$A47,'Data Induk Pegawai'!$A:$Z,G$6,FALSE),"-")</f>
        <v>-</v>
      </c>
      <c r="H47" s="53" t="str">
        <f>IFERROR(LEFT(VLOOKUP($E$4&amp;$A47,'Data Induk Pegawai'!$A:$Z,H$6,FALSE),3),"-")</f>
        <v>-</v>
      </c>
      <c r="I47" s="53" t="str">
        <f>IFERROR(VLOOKUP($E$4&amp;$A47,'Data Induk Pegawai'!$A:$Z,I$6,FALSE),"-")</f>
        <v>-</v>
      </c>
      <c r="J47" s="91" t="str">
        <f>IFERROR(VLOOKUP($E$4&amp;$A47,'Data Induk Pegawai'!$A:$Z,J$6,FALSE),"-")</f>
        <v>-</v>
      </c>
      <c r="K47" s="54" t="str">
        <f>IFERROR(VLOOKUP($E$4&amp;$A47,'Data Induk Pegawai'!$A:$Z,K$6,FALSE),"-")</f>
        <v>-</v>
      </c>
      <c r="L47" s="54" t="str">
        <f>IFERROR(VLOOKUP($E$4&amp;$A47,'Data Induk Pegawai'!$A:$Z,L$6,FALSE),"-")</f>
        <v>-</v>
      </c>
      <c r="M47" s="91" t="str">
        <f>IFERROR(VLOOKUP($E$4&amp;$A47,'Data Induk Pegawai'!$A:$Z,M$6,FALSE),"-")</f>
        <v>-</v>
      </c>
      <c r="N47" s="54" t="str">
        <f>IFERROR(VLOOKUP($E$4&amp;$A47,'Data Induk Pegawai'!$A:$Z,N$6,FALSE),"-")</f>
        <v>-</v>
      </c>
      <c r="O47" s="54" t="str">
        <f>IFERROR(VLOOKUP($E$4&amp;$A47,'Data Induk Pegawai'!$A:$Z,O$6,FALSE),"-")</f>
        <v>-</v>
      </c>
      <c r="P47" s="54" t="str">
        <f>IFERROR(VLOOKUP($E$4&amp;$A47,'Data Induk Pegawai'!$A:$Z,P$6,FALSE),"-")</f>
        <v>-</v>
      </c>
      <c r="Q47" s="53" t="str">
        <f>IFERROR(VLOOKUP($E$4&amp;$A47,'Data Induk Pegawai'!$A:$Z,Q$6,FALSE),"-")</f>
        <v>-</v>
      </c>
      <c r="R47" s="54" t="str">
        <f>IFERROR(VLOOKUP($E$4&amp;$A47,'Data Induk Pegawai'!$A:$Z,R$6,FALSE),"-")</f>
        <v>-</v>
      </c>
      <c r="S47" s="54" t="str">
        <f>IFERROR(VLOOKUP($E$4&amp;$A47,'Data Induk Pegawai'!$A:$Z,S$6,FALSE),"-")</f>
        <v>-</v>
      </c>
      <c r="T47" s="53" t="str">
        <f>IFERROR(VLOOKUP($E$4&amp;$A47,'Data Induk Pegawai'!$A:$Z,T$6,FALSE),"-")</f>
        <v>-</v>
      </c>
      <c r="U47" s="53" t="str">
        <f>IFERROR(VLOOKUP($E$4&amp;$A47,'Data Induk Pegawai'!$A:$Z,U$6,FALSE),"-")</f>
        <v>-</v>
      </c>
      <c r="V47" s="53" t="str">
        <f>IFERROR(VLOOKUP($E$4&amp;$A47,'Data Induk Pegawai'!$A:$Z,V$6,FALSE),"-")</f>
        <v>-</v>
      </c>
    </row>
    <row r="48" spans="1:22" ht="15.5" x14ac:dyDescent="0.35">
      <c r="A48" s="51">
        <v>40</v>
      </c>
      <c r="B48" s="52" t="str">
        <f>IFERROR(VLOOKUP($E$4&amp;$A48,'Data Induk Pegawai'!$A:$Z,B$6,FALSE),"-")</f>
        <v>-</v>
      </c>
      <c r="C48" s="53" t="str">
        <f>IFERROR(VLOOKUP($E$4&amp;$A48,'Data Induk Pegawai'!$A:$Z,C$6,FALSE),"-")</f>
        <v>-</v>
      </c>
      <c r="D48" s="53" t="str">
        <f>IFERROR(VLOOKUP($E$4&amp;$A48,'Data Induk Pegawai'!$A:$Z,D$6,FALSE),"-")</f>
        <v>-</v>
      </c>
      <c r="E48" s="150" t="str">
        <f>IFERROR(VLOOKUP($E$4&amp;$A48,'Data Induk Pegawai'!$A:$Z,E$6,FALSE),"-")</f>
        <v>-</v>
      </c>
      <c r="F48" s="150" t="str">
        <f>IFERROR(VLOOKUP($E$4&amp;$A48,'Data Induk Pegawai'!$A:$Z,F$6,FALSE),"-")</f>
        <v>-</v>
      </c>
      <c r="G48" s="53" t="str">
        <f>IFERROR(VLOOKUP($E$4&amp;$A48,'Data Induk Pegawai'!$A:$Z,G$6,FALSE),"-")</f>
        <v>-</v>
      </c>
      <c r="H48" s="53" t="str">
        <f>IFERROR(LEFT(VLOOKUP($E$4&amp;$A48,'Data Induk Pegawai'!$A:$Z,H$6,FALSE),3),"-")</f>
        <v>-</v>
      </c>
      <c r="I48" s="53" t="str">
        <f>IFERROR(VLOOKUP($E$4&amp;$A48,'Data Induk Pegawai'!$A:$Z,I$6,FALSE),"-")</f>
        <v>-</v>
      </c>
      <c r="J48" s="91" t="str">
        <f>IFERROR(VLOOKUP($E$4&amp;$A48,'Data Induk Pegawai'!$A:$Z,J$6,FALSE),"-")</f>
        <v>-</v>
      </c>
      <c r="K48" s="54" t="str">
        <f>IFERROR(VLOOKUP($E$4&amp;$A48,'Data Induk Pegawai'!$A:$Z,K$6,FALSE),"-")</f>
        <v>-</v>
      </c>
      <c r="L48" s="54" t="str">
        <f>IFERROR(VLOOKUP($E$4&amp;$A48,'Data Induk Pegawai'!$A:$Z,L$6,FALSE),"-")</f>
        <v>-</v>
      </c>
      <c r="M48" s="91" t="str">
        <f>IFERROR(VLOOKUP($E$4&amp;$A48,'Data Induk Pegawai'!$A:$Z,M$6,FALSE),"-")</f>
        <v>-</v>
      </c>
      <c r="N48" s="54" t="str">
        <f>IFERROR(VLOOKUP($E$4&amp;$A48,'Data Induk Pegawai'!$A:$Z,N$6,FALSE),"-")</f>
        <v>-</v>
      </c>
      <c r="O48" s="54" t="str">
        <f>IFERROR(VLOOKUP($E$4&amp;$A48,'Data Induk Pegawai'!$A:$Z,O$6,FALSE),"-")</f>
        <v>-</v>
      </c>
      <c r="P48" s="54" t="str">
        <f>IFERROR(VLOOKUP($E$4&amp;$A48,'Data Induk Pegawai'!$A:$Z,P$6,FALSE),"-")</f>
        <v>-</v>
      </c>
      <c r="Q48" s="53" t="str">
        <f>IFERROR(VLOOKUP($E$4&amp;$A48,'Data Induk Pegawai'!$A:$Z,Q$6,FALSE),"-")</f>
        <v>-</v>
      </c>
      <c r="R48" s="54" t="str">
        <f>IFERROR(VLOOKUP($E$4&amp;$A48,'Data Induk Pegawai'!$A:$Z,R$6,FALSE),"-")</f>
        <v>-</v>
      </c>
      <c r="S48" s="54" t="str">
        <f>IFERROR(VLOOKUP($E$4&amp;$A48,'Data Induk Pegawai'!$A:$Z,S$6,FALSE),"-")</f>
        <v>-</v>
      </c>
      <c r="T48" s="53" t="str">
        <f>IFERROR(VLOOKUP($E$4&amp;$A48,'Data Induk Pegawai'!$A:$Z,T$6,FALSE),"-")</f>
        <v>-</v>
      </c>
      <c r="U48" s="53" t="str">
        <f>IFERROR(VLOOKUP($E$4&amp;$A48,'Data Induk Pegawai'!$A:$Z,U$6,FALSE),"-")</f>
        <v>-</v>
      </c>
      <c r="V48" s="53" t="str">
        <f>IFERROR(VLOOKUP($E$4&amp;$A48,'Data Induk Pegawai'!$A:$Z,V$6,FALSE),"-")</f>
        <v>-</v>
      </c>
    </row>
    <row r="49" spans="1:22" ht="15.5" x14ac:dyDescent="0.35">
      <c r="A49" s="51">
        <v>41</v>
      </c>
      <c r="B49" s="52" t="str">
        <f>IFERROR(VLOOKUP($E$4&amp;$A49,'Data Induk Pegawai'!$A:$Z,B$6,FALSE),"-")</f>
        <v>-</v>
      </c>
      <c r="C49" s="53" t="str">
        <f>IFERROR(VLOOKUP($E$4&amp;$A49,'Data Induk Pegawai'!$A:$Z,C$6,FALSE),"-")</f>
        <v>-</v>
      </c>
      <c r="D49" s="53" t="str">
        <f>IFERROR(VLOOKUP($E$4&amp;$A49,'Data Induk Pegawai'!$A:$Z,D$6,FALSE),"-")</f>
        <v>-</v>
      </c>
      <c r="E49" s="150" t="str">
        <f>IFERROR(VLOOKUP($E$4&amp;$A49,'Data Induk Pegawai'!$A:$Z,E$6,FALSE),"-")</f>
        <v>-</v>
      </c>
      <c r="F49" s="150" t="str">
        <f>IFERROR(VLOOKUP($E$4&amp;$A49,'Data Induk Pegawai'!$A:$Z,F$6,FALSE),"-")</f>
        <v>-</v>
      </c>
      <c r="G49" s="53" t="str">
        <f>IFERROR(VLOOKUP($E$4&amp;$A49,'Data Induk Pegawai'!$A:$Z,G$6,FALSE),"-")</f>
        <v>-</v>
      </c>
      <c r="H49" s="53" t="str">
        <f>IFERROR(LEFT(VLOOKUP($E$4&amp;$A49,'Data Induk Pegawai'!$A:$Z,H$6,FALSE),3),"-")</f>
        <v>-</v>
      </c>
      <c r="I49" s="53" t="str">
        <f>IFERROR(VLOOKUP($E$4&amp;$A49,'Data Induk Pegawai'!$A:$Z,I$6,FALSE),"-")</f>
        <v>-</v>
      </c>
      <c r="J49" s="91" t="str">
        <f>IFERROR(VLOOKUP($E$4&amp;$A49,'Data Induk Pegawai'!$A:$Z,J$6,FALSE),"-")</f>
        <v>-</v>
      </c>
      <c r="K49" s="54" t="str">
        <f>IFERROR(VLOOKUP($E$4&amp;$A49,'Data Induk Pegawai'!$A:$Z,K$6,FALSE),"-")</f>
        <v>-</v>
      </c>
      <c r="L49" s="54" t="str">
        <f>IFERROR(VLOOKUP($E$4&amp;$A49,'Data Induk Pegawai'!$A:$Z,L$6,FALSE),"-")</f>
        <v>-</v>
      </c>
      <c r="M49" s="91" t="str">
        <f>IFERROR(VLOOKUP($E$4&amp;$A49,'Data Induk Pegawai'!$A:$Z,M$6,FALSE),"-")</f>
        <v>-</v>
      </c>
      <c r="N49" s="54" t="str">
        <f>IFERROR(VLOOKUP($E$4&amp;$A49,'Data Induk Pegawai'!$A:$Z,N$6,FALSE),"-")</f>
        <v>-</v>
      </c>
      <c r="O49" s="54" t="str">
        <f>IFERROR(VLOOKUP($E$4&amp;$A49,'Data Induk Pegawai'!$A:$Z,O$6,FALSE),"-")</f>
        <v>-</v>
      </c>
      <c r="P49" s="54" t="str">
        <f>IFERROR(VLOOKUP($E$4&amp;$A49,'Data Induk Pegawai'!$A:$Z,P$6,FALSE),"-")</f>
        <v>-</v>
      </c>
      <c r="Q49" s="53" t="str">
        <f>IFERROR(VLOOKUP($E$4&amp;$A49,'Data Induk Pegawai'!$A:$Z,Q$6,FALSE),"-")</f>
        <v>-</v>
      </c>
      <c r="R49" s="54" t="str">
        <f>IFERROR(VLOOKUP($E$4&amp;$A49,'Data Induk Pegawai'!$A:$Z,R$6,FALSE),"-")</f>
        <v>-</v>
      </c>
      <c r="S49" s="54" t="str">
        <f>IFERROR(VLOOKUP($E$4&amp;$A49,'Data Induk Pegawai'!$A:$Z,S$6,FALSE),"-")</f>
        <v>-</v>
      </c>
      <c r="T49" s="53" t="str">
        <f>IFERROR(VLOOKUP($E$4&amp;$A49,'Data Induk Pegawai'!$A:$Z,T$6,FALSE),"-")</f>
        <v>-</v>
      </c>
      <c r="U49" s="53" t="str">
        <f>IFERROR(VLOOKUP($E$4&amp;$A49,'Data Induk Pegawai'!$A:$Z,U$6,FALSE),"-")</f>
        <v>-</v>
      </c>
      <c r="V49" s="53" t="str">
        <f>IFERROR(VLOOKUP($E$4&amp;$A49,'Data Induk Pegawai'!$A:$Z,V$6,FALSE),"-")</f>
        <v>-</v>
      </c>
    </row>
    <row r="50" spans="1:22" ht="15.5" x14ac:dyDescent="0.35">
      <c r="A50" s="51">
        <v>42</v>
      </c>
      <c r="B50" s="52" t="str">
        <f>IFERROR(VLOOKUP($E$4&amp;$A50,'Data Induk Pegawai'!$A:$Z,B$6,FALSE),"-")</f>
        <v>-</v>
      </c>
      <c r="C50" s="53" t="str">
        <f>IFERROR(VLOOKUP($E$4&amp;$A50,'Data Induk Pegawai'!$A:$Z,C$6,FALSE),"-")</f>
        <v>-</v>
      </c>
      <c r="D50" s="53" t="str">
        <f>IFERROR(VLOOKUP($E$4&amp;$A50,'Data Induk Pegawai'!$A:$Z,D$6,FALSE),"-")</f>
        <v>-</v>
      </c>
      <c r="E50" s="150" t="str">
        <f>IFERROR(VLOOKUP($E$4&amp;$A50,'Data Induk Pegawai'!$A:$Z,E$6,FALSE),"-")</f>
        <v>-</v>
      </c>
      <c r="F50" s="150" t="str">
        <f>IFERROR(VLOOKUP($E$4&amp;$A50,'Data Induk Pegawai'!$A:$Z,F$6,FALSE),"-")</f>
        <v>-</v>
      </c>
      <c r="G50" s="53" t="str">
        <f>IFERROR(VLOOKUP($E$4&amp;$A50,'Data Induk Pegawai'!$A:$Z,G$6,FALSE),"-")</f>
        <v>-</v>
      </c>
      <c r="H50" s="53" t="str">
        <f>IFERROR(LEFT(VLOOKUP($E$4&amp;$A50,'Data Induk Pegawai'!$A:$Z,H$6,FALSE),3),"-")</f>
        <v>-</v>
      </c>
      <c r="I50" s="53" t="str">
        <f>IFERROR(VLOOKUP($E$4&amp;$A50,'Data Induk Pegawai'!$A:$Z,I$6,FALSE),"-")</f>
        <v>-</v>
      </c>
      <c r="J50" s="91" t="str">
        <f>IFERROR(VLOOKUP($E$4&amp;$A50,'Data Induk Pegawai'!$A:$Z,J$6,FALSE),"-")</f>
        <v>-</v>
      </c>
      <c r="K50" s="54" t="str">
        <f>IFERROR(VLOOKUP($E$4&amp;$A50,'Data Induk Pegawai'!$A:$Z,K$6,FALSE),"-")</f>
        <v>-</v>
      </c>
      <c r="L50" s="54" t="str">
        <f>IFERROR(VLOOKUP($E$4&amp;$A50,'Data Induk Pegawai'!$A:$Z,L$6,FALSE),"-")</f>
        <v>-</v>
      </c>
      <c r="M50" s="91" t="str">
        <f>IFERROR(VLOOKUP($E$4&amp;$A50,'Data Induk Pegawai'!$A:$Z,M$6,FALSE),"-")</f>
        <v>-</v>
      </c>
      <c r="N50" s="54" t="str">
        <f>IFERROR(VLOOKUP($E$4&amp;$A50,'Data Induk Pegawai'!$A:$Z,N$6,FALSE),"-")</f>
        <v>-</v>
      </c>
      <c r="O50" s="54" t="str">
        <f>IFERROR(VLOOKUP($E$4&amp;$A50,'Data Induk Pegawai'!$A:$Z,O$6,FALSE),"-")</f>
        <v>-</v>
      </c>
      <c r="P50" s="54" t="str">
        <f>IFERROR(VLOOKUP($E$4&amp;$A50,'Data Induk Pegawai'!$A:$Z,P$6,FALSE),"-")</f>
        <v>-</v>
      </c>
      <c r="Q50" s="53" t="str">
        <f>IFERROR(VLOOKUP($E$4&amp;$A50,'Data Induk Pegawai'!$A:$Z,Q$6,FALSE),"-")</f>
        <v>-</v>
      </c>
      <c r="R50" s="54" t="str">
        <f>IFERROR(VLOOKUP($E$4&amp;$A50,'Data Induk Pegawai'!$A:$Z,R$6,FALSE),"-")</f>
        <v>-</v>
      </c>
      <c r="S50" s="54" t="str">
        <f>IFERROR(VLOOKUP($E$4&amp;$A50,'Data Induk Pegawai'!$A:$Z,S$6,FALSE),"-")</f>
        <v>-</v>
      </c>
      <c r="T50" s="53" t="str">
        <f>IFERROR(VLOOKUP($E$4&amp;$A50,'Data Induk Pegawai'!$A:$Z,T$6,FALSE),"-")</f>
        <v>-</v>
      </c>
      <c r="U50" s="53" t="str">
        <f>IFERROR(VLOOKUP($E$4&amp;$A50,'Data Induk Pegawai'!$A:$Z,U$6,FALSE),"-")</f>
        <v>-</v>
      </c>
      <c r="V50" s="53" t="str">
        <f>IFERROR(VLOOKUP($E$4&amp;$A50,'Data Induk Pegawai'!$A:$Z,V$6,FALSE),"-")</f>
        <v>-</v>
      </c>
    </row>
    <row r="51" spans="1:22" ht="15.5" x14ac:dyDescent="0.35">
      <c r="A51" s="51">
        <v>43</v>
      </c>
      <c r="B51" s="52" t="str">
        <f>IFERROR(VLOOKUP($E$4&amp;$A51,'Data Induk Pegawai'!$A:$Z,B$6,FALSE),"-")</f>
        <v>-</v>
      </c>
      <c r="C51" s="53" t="str">
        <f>IFERROR(VLOOKUP($E$4&amp;$A51,'Data Induk Pegawai'!$A:$Z,C$6,FALSE),"-")</f>
        <v>-</v>
      </c>
      <c r="D51" s="53" t="str">
        <f>IFERROR(VLOOKUP($E$4&amp;$A51,'Data Induk Pegawai'!$A:$Z,D$6,FALSE),"-")</f>
        <v>-</v>
      </c>
      <c r="E51" s="150" t="str">
        <f>IFERROR(VLOOKUP($E$4&amp;$A51,'Data Induk Pegawai'!$A:$Z,E$6,FALSE),"-")</f>
        <v>-</v>
      </c>
      <c r="F51" s="150" t="str">
        <f>IFERROR(VLOOKUP($E$4&amp;$A51,'Data Induk Pegawai'!$A:$Z,F$6,FALSE),"-")</f>
        <v>-</v>
      </c>
      <c r="G51" s="53" t="str">
        <f>IFERROR(VLOOKUP($E$4&amp;$A51,'Data Induk Pegawai'!$A:$Z,G$6,FALSE),"-")</f>
        <v>-</v>
      </c>
      <c r="H51" s="53" t="str">
        <f>IFERROR(LEFT(VLOOKUP($E$4&amp;$A51,'Data Induk Pegawai'!$A:$Z,H$6,FALSE),3),"-")</f>
        <v>-</v>
      </c>
      <c r="I51" s="53" t="str">
        <f>IFERROR(VLOOKUP($E$4&amp;$A51,'Data Induk Pegawai'!$A:$Z,I$6,FALSE),"-")</f>
        <v>-</v>
      </c>
      <c r="J51" s="91" t="str">
        <f>IFERROR(VLOOKUP($E$4&amp;$A51,'Data Induk Pegawai'!$A:$Z,J$6,FALSE),"-")</f>
        <v>-</v>
      </c>
      <c r="K51" s="54" t="str">
        <f>IFERROR(VLOOKUP($E$4&amp;$A51,'Data Induk Pegawai'!$A:$Z,K$6,FALSE),"-")</f>
        <v>-</v>
      </c>
      <c r="L51" s="54" t="str">
        <f>IFERROR(VLOOKUP($E$4&amp;$A51,'Data Induk Pegawai'!$A:$Z,L$6,FALSE),"-")</f>
        <v>-</v>
      </c>
      <c r="M51" s="91" t="str">
        <f>IFERROR(VLOOKUP($E$4&amp;$A51,'Data Induk Pegawai'!$A:$Z,M$6,FALSE),"-")</f>
        <v>-</v>
      </c>
      <c r="N51" s="54" t="str">
        <f>IFERROR(VLOOKUP($E$4&amp;$A51,'Data Induk Pegawai'!$A:$Z,N$6,FALSE),"-")</f>
        <v>-</v>
      </c>
      <c r="O51" s="54" t="str">
        <f>IFERROR(VLOOKUP($E$4&amp;$A51,'Data Induk Pegawai'!$A:$Z,O$6,FALSE),"-")</f>
        <v>-</v>
      </c>
      <c r="P51" s="54" t="str">
        <f>IFERROR(VLOOKUP($E$4&amp;$A51,'Data Induk Pegawai'!$A:$Z,P$6,FALSE),"-")</f>
        <v>-</v>
      </c>
      <c r="Q51" s="53" t="str">
        <f>IFERROR(VLOOKUP($E$4&amp;$A51,'Data Induk Pegawai'!$A:$Z,Q$6,FALSE),"-")</f>
        <v>-</v>
      </c>
      <c r="R51" s="54" t="str">
        <f>IFERROR(VLOOKUP($E$4&amp;$A51,'Data Induk Pegawai'!$A:$Z,R$6,FALSE),"-")</f>
        <v>-</v>
      </c>
      <c r="S51" s="54" t="str">
        <f>IFERROR(VLOOKUP($E$4&amp;$A51,'Data Induk Pegawai'!$A:$Z,S$6,FALSE),"-")</f>
        <v>-</v>
      </c>
      <c r="T51" s="53" t="str">
        <f>IFERROR(VLOOKUP($E$4&amp;$A51,'Data Induk Pegawai'!$A:$Z,T$6,FALSE),"-")</f>
        <v>-</v>
      </c>
      <c r="U51" s="53" t="str">
        <f>IFERROR(VLOOKUP($E$4&amp;$A51,'Data Induk Pegawai'!$A:$Z,U$6,FALSE),"-")</f>
        <v>-</v>
      </c>
      <c r="V51" s="53" t="str">
        <f>IFERROR(VLOOKUP($E$4&amp;$A51,'Data Induk Pegawai'!$A:$Z,V$6,FALSE),"-")</f>
        <v>-</v>
      </c>
    </row>
    <row r="52" spans="1:22" ht="15.5" x14ac:dyDescent="0.35">
      <c r="A52" s="51">
        <v>44</v>
      </c>
      <c r="B52" s="52" t="str">
        <f>IFERROR(VLOOKUP($E$4&amp;$A52,'Data Induk Pegawai'!$A:$Z,B$6,FALSE),"-")</f>
        <v>-</v>
      </c>
      <c r="C52" s="53" t="str">
        <f>IFERROR(VLOOKUP($E$4&amp;$A52,'Data Induk Pegawai'!$A:$Z,C$6,FALSE),"-")</f>
        <v>-</v>
      </c>
      <c r="D52" s="53" t="str">
        <f>IFERROR(VLOOKUP($E$4&amp;$A52,'Data Induk Pegawai'!$A:$Z,D$6,FALSE),"-")</f>
        <v>-</v>
      </c>
      <c r="E52" s="150" t="str">
        <f>IFERROR(VLOOKUP($E$4&amp;$A52,'Data Induk Pegawai'!$A:$Z,E$6,FALSE),"-")</f>
        <v>-</v>
      </c>
      <c r="F52" s="150" t="str">
        <f>IFERROR(VLOOKUP($E$4&amp;$A52,'Data Induk Pegawai'!$A:$Z,F$6,FALSE),"-")</f>
        <v>-</v>
      </c>
      <c r="G52" s="53" t="str">
        <f>IFERROR(VLOOKUP($E$4&amp;$A52,'Data Induk Pegawai'!$A:$Z,G$6,FALSE),"-")</f>
        <v>-</v>
      </c>
      <c r="H52" s="53" t="str">
        <f>IFERROR(LEFT(VLOOKUP($E$4&amp;$A52,'Data Induk Pegawai'!$A:$Z,H$6,FALSE),3),"-")</f>
        <v>-</v>
      </c>
      <c r="I52" s="53" t="str">
        <f>IFERROR(VLOOKUP($E$4&amp;$A52,'Data Induk Pegawai'!$A:$Z,I$6,FALSE),"-")</f>
        <v>-</v>
      </c>
      <c r="J52" s="91" t="str">
        <f>IFERROR(VLOOKUP($E$4&amp;$A52,'Data Induk Pegawai'!$A:$Z,J$6,FALSE),"-")</f>
        <v>-</v>
      </c>
      <c r="K52" s="54" t="str">
        <f>IFERROR(VLOOKUP($E$4&amp;$A52,'Data Induk Pegawai'!$A:$Z,K$6,FALSE),"-")</f>
        <v>-</v>
      </c>
      <c r="L52" s="54" t="str">
        <f>IFERROR(VLOOKUP($E$4&amp;$A52,'Data Induk Pegawai'!$A:$Z,L$6,FALSE),"-")</f>
        <v>-</v>
      </c>
      <c r="M52" s="91" t="str">
        <f>IFERROR(VLOOKUP($E$4&amp;$A52,'Data Induk Pegawai'!$A:$Z,M$6,FALSE),"-")</f>
        <v>-</v>
      </c>
      <c r="N52" s="54" t="str">
        <f>IFERROR(VLOOKUP($E$4&amp;$A52,'Data Induk Pegawai'!$A:$Z,N$6,FALSE),"-")</f>
        <v>-</v>
      </c>
      <c r="O52" s="54" t="str">
        <f>IFERROR(VLOOKUP($E$4&amp;$A52,'Data Induk Pegawai'!$A:$Z,O$6,FALSE),"-")</f>
        <v>-</v>
      </c>
      <c r="P52" s="54" t="str">
        <f>IFERROR(VLOOKUP($E$4&amp;$A52,'Data Induk Pegawai'!$A:$Z,P$6,FALSE),"-")</f>
        <v>-</v>
      </c>
      <c r="Q52" s="53" t="str">
        <f>IFERROR(VLOOKUP($E$4&amp;$A52,'Data Induk Pegawai'!$A:$Z,Q$6,FALSE),"-")</f>
        <v>-</v>
      </c>
      <c r="R52" s="54" t="str">
        <f>IFERROR(VLOOKUP($E$4&amp;$A52,'Data Induk Pegawai'!$A:$Z,R$6,FALSE),"-")</f>
        <v>-</v>
      </c>
      <c r="S52" s="54" t="str">
        <f>IFERROR(VLOOKUP($E$4&amp;$A52,'Data Induk Pegawai'!$A:$Z,S$6,FALSE),"-")</f>
        <v>-</v>
      </c>
      <c r="T52" s="53" t="str">
        <f>IFERROR(VLOOKUP($E$4&amp;$A52,'Data Induk Pegawai'!$A:$Z,T$6,FALSE),"-")</f>
        <v>-</v>
      </c>
      <c r="U52" s="53" t="str">
        <f>IFERROR(VLOOKUP($E$4&amp;$A52,'Data Induk Pegawai'!$A:$Z,U$6,FALSE),"-")</f>
        <v>-</v>
      </c>
      <c r="V52" s="53" t="str">
        <f>IFERROR(VLOOKUP($E$4&amp;$A52,'Data Induk Pegawai'!$A:$Z,V$6,FALSE),"-")</f>
        <v>-</v>
      </c>
    </row>
    <row r="53" spans="1:22" ht="15.5" x14ac:dyDescent="0.35">
      <c r="A53" s="51">
        <v>45</v>
      </c>
      <c r="B53" s="52" t="str">
        <f>IFERROR(VLOOKUP($E$4&amp;$A53,'Data Induk Pegawai'!$A:$Z,B$6,FALSE),"-")</f>
        <v>-</v>
      </c>
      <c r="C53" s="53" t="str">
        <f>IFERROR(VLOOKUP($E$4&amp;$A53,'Data Induk Pegawai'!$A:$Z,C$6,FALSE),"-")</f>
        <v>-</v>
      </c>
      <c r="D53" s="53" t="str">
        <f>IFERROR(VLOOKUP($E$4&amp;$A53,'Data Induk Pegawai'!$A:$Z,D$6,FALSE),"-")</f>
        <v>-</v>
      </c>
      <c r="E53" s="150" t="str">
        <f>IFERROR(VLOOKUP($E$4&amp;$A53,'Data Induk Pegawai'!$A:$Z,E$6,FALSE),"-")</f>
        <v>-</v>
      </c>
      <c r="F53" s="150" t="str">
        <f>IFERROR(VLOOKUP($E$4&amp;$A53,'Data Induk Pegawai'!$A:$Z,F$6,FALSE),"-")</f>
        <v>-</v>
      </c>
      <c r="G53" s="53" t="str">
        <f>IFERROR(VLOOKUP($E$4&amp;$A53,'Data Induk Pegawai'!$A:$Z,G$6,FALSE),"-")</f>
        <v>-</v>
      </c>
      <c r="H53" s="53" t="str">
        <f>IFERROR(LEFT(VLOOKUP($E$4&amp;$A53,'Data Induk Pegawai'!$A:$Z,H$6,FALSE),3),"-")</f>
        <v>-</v>
      </c>
      <c r="I53" s="53" t="str">
        <f>IFERROR(VLOOKUP($E$4&amp;$A53,'Data Induk Pegawai'!$A:$Z,I$6,FALSE),"-")</f>
        <v>-</v>
      </c>
      <c r="J53" s="91" t="str">
        <f>IFERROR(VLOOKUP($E$4&amp;$A53,'Data Induk Pegawai'!$A:$Z,J$6,FALSE),"-")</f>
        <v>-</v>
      </c>
      <c r="K53" s="54" t="str">
        <f>IFERROR(VLOOKUP($E$4&amp;$A53,'Data Induk Pegawai'!$A:$Z,K$6,FALSE),"-")</f>
        <v>-</v>
      </c>
      <c r="L53" s="54" t="str">
        <f>IFERROR(VLOOKUP($E$4&amp;$A53,'Data Induk Pegawai'!$A:$Z,L$6,FALSE),"-")</f>
        <v>-</v>
      </c>
      <c r="M53" s="91" t="str">
        <f>IFERROR(VLOOKUP($E$4&amp;$A53,'Data Induk Pegawai'!$A:$Z,M$6,FALSE),"-")</f>
        <v>-</v>
      </c>
      <c r="N53" s="54" t="str">
        <f>IFERROR(VLOOKUP($E$4&amp;$A53,'Data Induk Pegawai'!$A:$Z,N$6,FALSE),"-")</f>
        <v>-</v>
      </c>
      <c r="O53" s="54" t="str">
        <f>IFERROR(VLOOKUP($E$4&amp;$A53,'Data Induk Pegawai'!$A:$Z,O$6,FALSE),"-")</f>
        <v>-</v>
      </c>
      <c r="P53" s="54" t="str">
        <f>IFERROR(VLOOKUP($E$4&amp;$A53,'Data Induk Pegawai'!$A:$Z,P$6,FALSE),"-")</f>
        <v>-</v>
      </c>
      <c r="Q53" s="53" t="str">
        <f>IFERROR(VLOOKUP($E$4&amp;$A53,'Data Induk Pegawai'!$A:$Z,Q$6,FALSE),"-")</f>
        <v>-</v>
      </c>
      <c r="R53" s="54" t="str">
        <f>IFERROR(VLOOKUP($E$4&amp;$A53,'Data Induk Pegawai'!$A:$Z,R$6,FALSE),"-")</f>
        <v>-</v>
      </c>
      <c r="S53" s="54" t="str">
        <f>IFERROR(VLOOKUP($E$4&amp;$A53,'Data Induk Pegawai'!$A:$Z,S$6,FALSE),"-")</f>
        <v>-</v>
      </c>
      <c r="T53" s="53" t="str">
        <f>IFERROR(VLOOKUP($E$4&amp;$A53,'Data Induk Pegawai'!$A:$Z,T$6,FALSE),"-")</f>
        <v>-</v>
      </c>
      <c r="U53" s="53" t="str">
        <f>IFERROR(VLOOKUP($E$4&amp;$A53,'Data Induk Pegawai'!$A:$Z,U$6,FALSE),"-")</f>
        <v>-</v>
      </c>
      <c r="V53" s="53" t="str">
        <f>IFERROR(VLOOKUP($E$4&amp;$A53,'Data Induk Pegawai'!$A:$Z,V$6,FALSE),"-")</f>
        <v>-</v>
      </c>
    </row>
    <row r="54" spans="1:22" ht="15.5" x14ac:dyDescent="0.35">
      <c r="A54" s="51">
        <v>46</v>
      </c>
      <c r="B54" s="52" t="str">
        <f>IFERROR(VLOOKUP($E$4&amp;$A54,'Data Induk Pegawai'!$A:$Z,B$6,FALSE),"-")</f>
        <v>-</v>
      </c>
      <c r="C54" s="53" t="str">
        <f>IFERROR(VLOOKUP($E$4&amp;$A54,'Data Induk Pegawai'!$A:$Z,C$6,FALSE),"-")</f>
        <v>-</v>
      </c>
      <c r="D54" s="53" t="str">
        <f>IFERROR(VLOOKUP($E$4&amp;$A54,'Data Induk Pegawai'!$A:$Z,D$6,FALSE),"-")</f>
        <v>-</v>
      </c>
      <c r="E54" s="150" t="str">
        <f>IFERROR(VLOOKUP($E$4&amp;$A54,'Data Induk Pegawai'!$A:$Z,E$6,FALSE),"-")</f>
        <v>-</v>
      </c>
      <c r="F54" s="150" t="str">
        <f>IFERROR(VLOOKUP($E$4&amp;$A54,'Data Induk Pegawai'!$A:$Z,F$6,FALSE),"-")</f>
        <v>-</v>
      </c>
      <c r="G54" s="53" t="str">
        <f>IFERROR(VLOOKUP($E$4&amp;$A54,'Data Induk Pegawai'!$A:$Z,G$6,FALSE),"-")</f>
        <v>-</v>
      </c>
      <c r="H54" s="53" t="str">
        <f>IFERROR(LEFT(VLOOKUP($E$4&amp;$A54,'Data Induk Pegawai'!$A:$Z,H$6,FALSE),3),"-")</f>
        <v>-</v>
      </c>
      <c r="I54" s="53" t="str">
        <f>IFERROR(VLOOKUP($E$4&amp;$A54,'Data Induk Pegawai'!$A:$Z,I$6,FALSE),"-")</f>
        <v>-</v>
      </c>
      <c r="J54" s="91" t="str">
        <f>IFERROR(VLOOKUP($E$4&amp;$A54,'Data Induk Pegawai'!$A:$Z,J$6,FALSE),"-")</f>
        <v>-</v>
      </c>
      <c r="K54" s="54" t="str">
        <f>IFERROR(VLOOKUP($E$4&amp;$A54,'Data Induk Pegawai'!$A:$Z,K$6,FALSE),"-")</f>
        <v>-</v>
      </c>
      <c r="L54" s="54" t="str">
        <f>IFERROR(VLOOKUP($E$4&amp;$A54,'Data Induk Pegawai'!$A:$Z,L$6,FALSE),"-")</f>
        <v>-</v>
      </c>
      <c r="M54" s="91" t="str">
        <f>IFERROR(VLOOKUP($E$4&amp;$A54,'Data Induk Pegawai'!$A:$Z,M$6,FALSE),"-")</f>
        <v>-</v>
      </c>
      <c r="N54" s="54" t="str">
        <f>IFERROR(VLOOKUP($E$4&amp;$A54,'Data Induk Pegawai'!$A:$Z,N$6,FALSE),"-")</f>
        <v>-</v>
      </c>
      <c r="O54" s="54" t="str">
        <f>IFERROR(VLOOKUP($E$4&amp;$A54,'Data Induk Pegawai'!$A:$Z,O$6,FALSE),"-")</f>
        <v>-</v>
      </c>
      <c r="P54" s="54" t="str">
        <f>IFERROR(VLOOKUP($E$4&amp;$A54,'Data Induk Pegawai'!$A:$Z,P$6,FALSE),"-")</f>
        <v>-</v>
      </c>
      <c r="Q54" s="53" t="str">
        <f>IFERROR(VLOOKUP($E$4&amp;$A54,'Data Induk Pegawai'!$A:$Z,Q$6,FALSE),"-")</f>
        <v>-</v>
      </c>
      <c r="R54" s="54" t="str">
        <f>IFERROR(VLOOKUP($E$4&amp;$A54,'Data Induk Pegawai'!$A:$Z,R$6,FALSE),"-")</f>
        <v>-</v>
      </c>
      <c r="S54" s="54" t="str">
        <f>IFERROR(VLOOKUP($E$4&amp;$A54,'Data Induk Pegawai'!$A:$Z,S$6,FALSE),"-")</f>
        <v>-</v>
      </c>
      <c r="T54" s="53" t="str">
        <f>IFERROR(VLOOKUP($E$4&amp;$A54,'Data Induk Pegawai'!$A:$Z,T$6,FALSE),"-")</f>
        <v>-</v>
      </c>
      <c r="U54" s="53" t="str">
        <f>IFERROR(VLOOKUP($E$4&amp;$A54,'Data Induk Pegawai'!$A:$Z,U$6,FALSE),"-")</f>
        <v>-</v>
      </c>
      <c r="V54" s="53" t="str">
        <f>IFERROR(VLOOKUP($E$4&amp;$A54,'Data Induk Pegawai'!$A:$Z,V$6,FALSE),"-")</f>
        <v>-</v>
      </c>
    </row>
    <row r="55" spans="1:22" ht="15.5" x14ac:dyDescent="0.35">
      <c r="A55" s="51">
        <v>47</v>
      </c>
      <c r="B55" s="52" t="str">
        <f>IFERROR(VLOOKUP($E$4&amp;$A55,'Data Induk Pegawai'!$A:$Z,B$6,FALSE),"-")</f>
        <v>-</v>
      </c>
      <c r="C55" s="53" t="str">
        <f>IFERROR(VLOOKUP($E$4&amp;$A55,'Data Induk Pegawai'!$A:$Z,C$6,FALSE),"-")</f>
        <v>-</v>
      </c>
      <c r="D55" s="53" t="str">
        <f>IFERROR(VLOOKUP($E$4&amp;$A55,'Data Induk Pegawai'!$A:$Z,D$6,FALSE),"-")</f>
        <v>-</v>
      </c>
      <c r="E55" s="150" t="str">
        <f>IFERROR(VLOOKUP($E$4&amp;$A55,'Data Induk Pegawai'!$A:$Z,E$6,FALSE),"-")</f>
        <v>-</v>
      </c>
      <c r="F55" s="150" t="str">
        <f>IFERROR(VLOOKUP($E$4&amp;$A55,'Data Induk Pegawai'!$A:$Z,F$6,FALSE),"-")</f>
        <v>-</v>
      </c>
      <c r="G55" s="53" t="str">
        <f>IFERROR(VLOOKUP($E$4&amp;$A55,'Data Induk Pegawai'!$A:$Z,G$6,FALSE),"-")</f>
        <v>-</v>
      </c>
      <c r="H55" s="53" t="str">
        <f>IFERROR(LEFT(VLOOKUP($E$4&amp;$A55,'Data Induk Pegawai'!$A:$Z,H$6,FALSE),3),"-")</f>
        <v>-</v>
      </c>
      <c r="I55" s="53" t="str">
        <f>IFERROR(VLOOKUP($E$4&amp;$A55,'Data Induk Pegawai'!$A:$Z,I$6,FALSE),"-")</f>
        <v>-</v>
      </c>
      <c r="J55" s="91" t="str">
        <f>IFERROR(VLOOKUP($E$4&amp;$A55,'Data Induk Pegawai'!$A:$Z,J$6,FALSE),"-")</f>
        <v>-</v>
      </c>
      <c r="K55" s="54" t="str">
        <f>IFERROR(VLOOKUP($E$4&amp;$A55,'Data Induk Pegawai'!$A:$Z,K$6,FALSE),"-")</f>
        <v>-</v>
      </c>
      <c r="L55" s="54" t="str">
        <f>IFERROR(VLOOKUP($E$4&amp;$A55,'Data Induk Pegawai'!$A:$Z,L$6,FALSE),"-")</f>
        <v>-</v>
      </c>
      <c r="M55" s="91" t="str">
        <f>IFERROR(VLOOKUP($E$4&amp;$A55,'Data Induk Pegawai'!$A:$Z,M$6,FALSE),"-")</f>
        <v>-</v>
      </c>
      <c r="N55" s="54" t="str">
        <f>IFERROR(VLOOKUP($E$4&amp;$A55,'Data Induk Pegawai'!$A:$Z,N$6,FALSE),"-")</f>
        <v>-</v>
      </c>
      <c r="O55" s="54" t="str">
        <f>IFERROR(VLOOKUP($E$4&amp;$A55,'Data Induk Pegawai'!$A:$Z,O$6,FALSE),"-")</f>
        <v>-</v>
      </c>
      <c r="P55" s="54" t="str">
        <f>IFERROR(VLOOKUP($E$4&amp;$A55,'Data Induk Pegawai'!$A:$Z,P$6,FALSE),"-")</f>
        <v>-</v>
      </c>
      <c r="Q55" s="53" t="str">
        <f>IFERROR(VLOOKUP($E$4&amp;$A55,'Data Induk Pegawai'!$A:$Z,Q$6,FALSE),"-")</f>
        <v>-</v>
      </c>
      <c r="R55" s="54" t="str">
        <f>IFERROR(VLOOKUP($E$4&amp;$A55,'Data Induk Pegawai'!$A:$Z,R$6,FALSE),"-")</f>
        <v>-</v>
      </c>
      <c r="S55" s="54" t="str">
        <f>IFERROR(VLOOKUP($E$4&amp;$A55,'Data Induk Pegawai'!$A:$Z,S$6,FALSE),"-")</f>
        <v>-</v>
      </c>
      <c r="T55" s="53" t="str">
        <f>IFERROR(VLOOKUP($E$4&amp;$A55,'Data Induk Pegawai'!$A:$Z,T$6,FALSE),"-")</f>
        <v>-</v>
      </c>
      <c r="U55" s="53" t="str">
        <f>IFERROR(VLOOKUP($E$4&amp;$A55,'Data Induk Pegawai'!$A:$Z,U$6,FALSE),"-")</f>
        <v>-</v>
      </c>
      <c r="V55" s="53" t="str">
        <f>IFERROR(VLOOKUP($E$4&amp;$A55,'Data Induk Pegawai'!$A:$Z,V$6,FALSE),"-")</f>
        <v>-</v>
      </c>
    </row>
    <row r="56" spans="1:22" ht="15.5" x14ac:dyDescent="0.35">
      <c r="A56" s="51">
        <v>48</v>
      </c>
      <c r="B56" s="52" t="str">
        <f>IFERROR(VLOOKUP($E$4&amp;$A56,'Data Induk Pegawai'!$A:$Z,B$6,FALSE),"-")</f>
        <v>-</v>
      </c>
      <c r="C56" s="53" t="str">
        <f>IFERROR(VLOOKUP($E$4&amp;$A56,'Data Induk Pegawai'!$A:$Z,C$6,FALSE),"-")</f>
        <v>-</v>
      </c>
      <c r="D56" s="53" t="str">
        <f>IFERROR(VLOOKUP($E$4&amp;$A56,'Data Induk Pegawai'!$A:$Z,D$6,FALSE),"-")</f>
        <v>-</v>
      </c>
      <c r="E56" s="150" t="str">
        <f>IFERROR(VLOOKUP($E$4&amp;$A56,'Data Induk Pegawai'!$A:$Z,E$6,FALSE),"-")</f>
        <v>-</v>
      </c>
      <c r="F56" s="150" t="str">
        <f>IFERROR(VLOOKUP($E$4&amp;$A56,'Data Induk Pegawai'!$A:$Z,F$6,FALSE),"-")</f>
        <v>-</v>
      </c>
      <c r="G56" s="53" t="str">
        <f>IFERROR(VLOOKUP($E$4&amp;$A56,'Data Induk Pegawai'!$A:$Z,G$6,FALSE),"-")</f>
        <v>-</v>
      </c>
      <c r="H56" s="53" t="str">
        <f>IFERROR(LEFT(VLOOKUP($E$4&amp;$A56,'Data Induk Pegawai'!$A:$Z,H$6,FALSE),3),"-")</f>
        <v>-</v>
      </c>
      <c r="I56" s="53" t="str">
        <f>IFERROR(VLOOKUP($E$4&amp;$A56,'Data Induk Pegawai'!$A:$Z,I$6,FALSE),"-")</f>
        <v>-</v>
      </c>
      <c r="J56" s="91" t="str">
        <f>IFERROR(VLOOKUP($E$4&amp;$A56,'Data Induk Pegawai'!$A:$Z,J$6,FALSE),"-")</f>
        <v>-</v>
      </c>
      <c r="K56" s="54" t="str">
        <f>IFERROR(VLOOKUP($E$4&amp;$A56,'Data Induk Pegawai'!$A:$Z,K$6,FALSE),"-")</f>
        <v>-</v>
      </c>
      <c r="L56" s="54" t="str">
        <f>IFERROR(VLOOKUP($E$4&amp;$A56,'Data Induk Pegawai'!$A:$Z,L$6,FALSE),"-")</f>
        <v>-</v>
      </c>
      <c r="M56" s="91" t="str">
        <f>IFERROR(VLOOKUP($E$4&amp;$A56,'Data Induk Pegawai'!$A:$Z,M$6,FALSE),"-")</f>
        <v>-</v>
      </c>
      <c r="N56" s="54" t="str">
        <f>IFERROR(VLOOKUP($E$4&amp;$A56,'Data Induk Pegawai'!$A:$Z,N$6,FALSE),"-")</f>
        <v>-</v>
      </c>
      <c r="O56" s="54" t="str">
        <f>IFERROR(VLOOKUP($E$4&amp;$A56,'Data Induk Pegawai'!$A:$Z,O$6,FALSE),"-")</f>
        <v>-</v>
      </c>
      <c r="P56" s="54" t="str">
        <f>IFERROR(VLOOKUP($E$4&amp;$A56,'Data Induk Pegawai'!$A:$Z,P$6,FALSE),"-")</f>
        <v>-</v>
      </c>
      <c r="Q56" s="53" t="str">
        <f>IFERROR(VLOOKUP($E$4&amp;$A56,'Data Induk Pegawai'!$A:$Z,Q$6,FALSE),"-")</f>
        <v>-</v>
      </c>
      <c r="R56" s="54" t="str">
        <f>IFERROR(VLOOKUP($E$4&amp;$A56,'Data Induk Pegawai'!$A:$Z,R$6,FALSE),"-")</f>
        <v>-</v>
      </c>
      <c r="S56" s="54" t="str">
        <f>IFERROR(VLOOKUP($E$4&amp;$A56,'Data Induk Pegawai'!$A:$Z,S$6,FALSE),"-")</f>
        <v>-</v>
      </c>
      <c r="T56" s="53" t="str">
        <f>IFERROR(VLOOKUP($E$4&amp;$A56,'Data Induk Pegawai'!$A:$Z,T$6,FALSE),"-")</f>
        <v>-</v>
      </c>
      <c r="U56" s="53" t="str">
        <f>IFERROR(VLOOKUP($E$4&amp;$A56,'Data Induk Pegawai'!$A:$Z,U$6,FALSE),"-")</f>
        <v>-</v>
      </c>
      <c r="V56" s="53" t="str">
        <f>IFERROR(VLOOKUP($E$4&amp;$A56,'Data Induk Pegawai'!$A:$Z,V$6,FALSE),"-")</f>
        <v>-</v>
      </c>
    </row>
    <row r="57" spans="1:22" ht="15.5" x14ac:dyDescent="0.35">
      <c r="A57" s="51">
        <v>49</v>
      </c>
      <c r="B57" s="52" t="str">
        <f>IFERROR(VLOOKUP($E$4&amp;$A57,'Data Induk Pegawai'!$A:$Z,B$6,FALSE),"-")</f>
        <v>-</v>
      </c>
      <c r="C57" s="53" t="str">
        <f>IFERROR(VLOOKUP($E$4&amp;$A57,'Data Induk Pegawai'!$A:$Z,C$6,FALSE),"-")</f>
        <v>-</v>
      </c>
      <c r="D57" s="53" t="str">
        <f>IFERROR(VLOOKUP($E$4&amp;$A57,'Data Induk Pegawai'!$A:$Z,D$6,FALSE),"-")</f>
        <v>-</v>
      </c>
      <c r="E57" s="150" t="str">
        <f>IFERROR(VLOOKUP($E$4&amp;$A57,'Data Induk Pegawai'!$A:$Z,E$6,FALSE),"-")</f>
        <v>-</v>
      </c>
      <c r="F57" s="150" t="str">
        <f>IFERROR(VLOOKUP($E$4&amp;$A57,'Data Induk Pegawai'!$A:$Z,F$6,FALSE),"-")</f>
        <v>-</v>
      </c>
      <c r="G57" s="53" t="str">
        <f>IFERROR(VLOOKUP($E$4&amp;$A57,'Data Induk Pegawai'!$A:$Z,G$6,FALSE),"-")</f>
        <v>-</v>
      </c>
      <c r="H57" s="53" t="str">
        <f>IFERROR(LEFT(VLOOKUP($E$4&amp;$A57,'Data Induk Pegawai'!$A:$Z,H$6,FALSE),3),"-")</f>
        <v>-</v>
      </c>
      <c r="I57" s="53" t="str">
        <f>IFERROR(VLOOKUP($E$4&amp;$A57,'Data Induk Pegawai'!$A:$Z,I$6,FALSE),"-")</f>
        <v>-</v>
      </c>
      <c r="J57" s="91" t="str">
        <f>IFERROR(VLOOKUP($E$4&amp;$A57,'Data Induk Pegawai'!$A:$Z,J$6,FALSE),"-")</f>
        <v>-</v>
      </c>
      <c r="K57" s="54" t="str">
        <f>IFERROR(VLOOKUP($E$4&amp;$A57,'Data Induk Pegawai'!$A:$Z,K$6,FALSE),"-")</f>
        <v>-</v>
      </c>
      <c r="L57" s="54" t="str">
        <f>IFERROR(VLOOKUP($E$4&amp;$A57,'Data Induk Pegawai'!$A:$Z,L$6,FALSE),"-")</f>
        <v>-</v>
      </c>
      <c r="M57" s="91" t="str">
        <f>IFERROR(VLOOKUP($E$4&amp;$A57,'Data Induk Pegawai'!$A:$Z,M$6,FALSE),"-")</f>
        <v>-</v>
      </c>
      <c r="N57" s="54" t="str">
        <f>IFERROR(VLOOKUP($E$4&amp;$A57,'Data Induk Pegawai'!$A:$Z,N$6,FALSE),"-")</f>
        <v>-</v>
      </c>
      <c r="O57" s="54" t="str">
        <f>IFERROR(VLOOKUP($E$4&amp;$A57,'Data Induk Pegawai'!$A:$Z,O$6,FALSE),"-")</f>
        <v>-</v>
      </c>
      <c r="P57" s="54" t="str">
        <f>IFERROR(VLOOKUP($E$4&amp;$A57,'Data Induk Pegawai'!$A:$Z,P$6,FALSE),"-")</f>
        <v>-</v>
      </c>
      <c r="Q57" s="53" t="str">
        <f>IFERROR(VLOOKUP($E$4&amp;$A57,'Data Induk Pegawai'!$A:$Z,Q$6,FALSE),"-")</f>
        <v>-</v>
      </c>
      <c r="R57" s="54" t="str">
        <f>IFERROR(VLOOKUP($E$4&amp;$A57,'Data Induk Pegawai'!$A:$Z,R$6,FALSE),"-")</f>
        <v>-</v>
      </c>
      <c r="S57" s="54" t="str">
        <f>IFERROR(VLOOKUP($E$4&amp;$A57,'Data Induk Pegawai'!$A:$Z,S$6,FALSE),"-")</f>
        <v>-</v>
      </c>
      <c r="T57" s="53" t="str">
        <f>IFERROR(VLOOKUP($E$4&amp;$A57,'Data Induk Pegawai'!$A:$Z,T$6,FALSE),"-")</f>
        <v>-</v>
      </c>
      <c r="U57" s="53" t="str">
        <f>IFERROR(VLOOKUP($E$4&amp;$A57,'Data Induk Pegawai'!$A:$Z,U$6,FALSE),"-")</f>
        <v>-</v>
      </c>
      <c r="V57" s="53" t="str">
        <f>IFERROR(VLOOKUP($E$4&amp;$A57,'Data Induk Pegawai'!$A:$Z,V$6,FALSE),"-")</f>
        <v>-</v>
      </c>
    </row>
    <row r="58" spans="1:22" ht="15.5" x14ac:dyDescent="0.35">
      <c r="A58" s="51">
        <v>50</v>
      </c>
      <c r="B58" s="52" t="str">
        <f>IFERROR(VLOOKUP($E$4&amp;$A58,'Data Induk Pegawai'!$A:$Z,B$6,FALSE),"-")</f>
        <v>-</v>
      </c>
      <c r="C58" s="53" t="str">
        <f>IFERROR(VLOOKUP($E$4&amp;$A58,'Data Induk Pegawai'!$A:$Z,C$6,FALSE),"-")</f>
        <v>-</v>
      </c>
      <c r="D58" s="53" t="str">
        <f>IFERROR(VLOOKUP($E$4&amp;$A58,'Data Induk Pegawai'!$A:$Z,D$6,FALSE),"-")</f>
        <v>-</v>
      </c>
      <c r="E58" s="150" t="str">
        <f>IFERROR(VLOOKUP($E$4&amp;$A58,'Data Induk Pegawai'!$A:$Z,E$6,FALSE),"-")</f>
        <v>-</v>
      </c>
      <c r="F58" s="150" t="str">
        <f>IFERROR(VLOOKUP($E$4&amp;$A58,'Data Induk Pegawai'!$A:$Z,F$6,FALSE),"-")</f>
        <v>-</v>
      </c>
      <c r="G58" s="53" t="str">
        <f>IFERROR(VLOOKUP($E$4&amp;$A58,'Data Induk Pegawai'!$A:$Z,G$6,FALSE),"-")</f>
        <v>-</v>
      </c>
      <c r="H58" s="53" t="str">
        <f>IFERROR(LEFT(VLOOKUP($E$4&amp;$A58,'Data Induk Pegawai'!$A:$Z,H$6,FALSE),3),"-")</f>
        <v>-</v>
      </c>
      <c r="I58" s="53" t="str">
        <f>IFERROR(VLOOKUP($E$4&amp;$A58,'Data Induk Pegawai'!$A:$Z,I$6,FALSE),"-")</f>
        <v>-</v>
      </c>
      <c r="J58" s="91" t="str">
        <f>IFERROR(VLOOKUP($E$4&amp;$A58,'Data Induk Pegawai'!$A:$Z,J$6,FALSE),"-")</f>
        <v>-</v>
      </c>
      <c r="K58" s="54" t="str">
        <f>IFERROR(VLOOKUP($E$4&amp;$A58,'Data Induk Pegawai'!$A:$Z,K$6,FALSE),"-")</f>
        <v>-</v>
      </c>
      <c r="L58" s="54" t="str">
        <f>IFERROR(VLOOKUP($E$4&amp;$A58,'Data Induk Pegawai'!$A:$Z,L$6,FALSE),"-")</f>
        <v>-</v>
      </c>
      <c r="M58" s="91" t="str">
        <f>IFERROR(VLOOKUP($E$4&amp;$A58,'Data Induk Pegawai'!$A:$Z,M$6,FALSE),"-")</f>
        <v>-</v>
      </c>
      <c r="N58" s="54" t="str">
        <f>IFERROR(VLOOKUP($E$4&amp;$A58,'Data Induk Pegawai'!$A:$Z,N$6,FALSE),"-")</f>
        <v>-</v>
      </c>
      <c r="O58" s="54" t="str">
        <f>IFERROR(VLOOKUP($E$4&amp;$A58,'Data Induk Pegawai'!$A:$Z,O$6,FALSE),"-")</f>
        <v>-</v>
      </c>
      <c r="P58" s="54" t="str">
        <f>IFERROR(VLOOKUP($E$4&amp;$A58,'Data Induk Pegawai'!$A:$Z,P$6,FALSE),"-")</f>
        <v>-</v>
      </c>
      <c r="Q58" s="53" t="str">
        <f>IFERROR(VLOOKUP($E$4&amp;$A58,'Data Induk Pegawai'!$A:$Z,Q$6,FALSE),"-")</f>
        <v>-</v>
      </c>
      <c r="R58" s="54" t="str">
        <f>IFERROR(VLOOKUP($E$4&amp;$A58,'Data Induk Pegawai'!$A:$Z,R$6,FALSE),"-")</f>
        <v>-</v>
      </c>
      <c r="S58" s="54" t="str">
        <f>IFERROR(VLOOKUP($E$4&amp;$A58,'Data Induk Pegawai'!$A:$Z,S$6,FALSE),"-")</f>
        <v>-</v>
      </c>
      <c r="T58" s="53" t="str">
        <f>IFERROR(VLOOKUP($E$4&amp;$A58,'Data Induk Pegawai'!$A:$Z,T$6,FALSE),"-")</f>
        <v>-</v>
      </c>
      <c r="U58" s="53" t="str">
        <f>IFERROR(VLOOKUP($E$4&amp;$A58,'Data Induk Pegawai'!$A:$Z,U$6,FALSE),"-")</f>
        <v>-</v>
      </c>
      <c r="V58" s="53" t="str">
        <f>IFERROR(VLOOKUP($E$4&amp;$A58,'Data Induk Pegawai'!$A:$Z,V$6,FALSE),"-")</f>
        <v>-</v>
      </c>
    </row>
    <row r="59" spans="1:22" ht="15.5" x14ac:dyDescent="0.35">
      <c r="A59" s="51">
        <v>51</v>
      </c>
      <c r="B59" s="52" t="str">
        <f>IFERROR(VLOOKUP($E$4&amp;$A59,'Data Induk Pegawai'!$A:$Z,B$6,FALSE),"-")</f>
        <v>-</v>
      </c>
      <c r="C59" s="53" t="str">
        <f>IFERROR(VLOOKUP($E$4&amp;$A59,'Data Induk Pegawai'!$A:$Z,C$6,FALSE),"-")</f>
        <v>-</v>
      </c>
      <c r="D59" s="53" t="str">
        <f>IFERROR(VLOOKUP($E$4&amp;$A59,'Data Induk Pegawai'!$A:$Z,D$6,FALSE),"-")</f>
        <v>-</v>
      </c>
      <c r="E59" s="150" t="str">
        <f>IFERROR(VLOOKUP($E$4&amp;$A59,'Data Induk Pegawai'!$A:$Z,E$6,FALSE),"-")</f>
        <v>-</v>
      </c>
      <c r="F59" s="150" t="str">
        <f>IFERROR(VLOOKUP($E$4&amp;$A59,'Data Induk Pegawai'!$A:$Z,F$6,FALSE),"-")</f>
        <v>-</v>
      </c>
      <c r="G59" s="53" t="str">
        <f>IFERROR(VLOOKUP($E$4&amp;$A59,'Data Induk Pegawai'!$A:$Z,G$6,FALSE),"-")</f>
        <v>-</v>
      </c>
      <c r="H59" s="53" t="str">
        <f>IFERROR(LEFT(VLOOKUP($E$4&amp;$A59,'Data Induk Pegawai'!$A:$Z,H$6,FALSE),3),"-")</f>
        <v>-</v>
      </c>
      <c r="I59" s="53" t="str">
        <f>IFERROR(VLOOKUP($E$4&amp;$A59,'Data Induk Pegawai'!$A:$Z,I$6,FALSE),"-")</f>
        <v>-</v>
      </c>
      <c r="J59" s="91" t="str">
        <f>IFERROR(VLOOKUP($E$4&amp;$A59,'Data Induk Pegawai'!$A:$Z,J$6,FALSE),"-")</f>
        <v>-</v>
      </c>
      <c r="K59" s="54" t="str">
        <f>IFERROR(VLOOKUP($E$4&amp;$A59,'Data Induk Pegawai'!$A:$Z,K$6,FALSE),"-")</f>
        <v>-</v>
      </c>
      <c r="L59" s="54" t="str">
        <f>IFERROR(VLOOKUP($E$4&amp;$A59,'Data Induk Pegawai'!$A:$Z,L$6,FALSE),"-")</f>
        <v>-</v>
      </c>
      <c r="M59" s="91" t="str">
        <f>IFERROR(VLOOKUP($E$4&amp;$A59,'Data Induk Pegawai'!$A:$Z,M$6,FALSE),"-")</f>
        <v>-</v>
      </c>
      <c r="N59" s="54" t="str">
        <f>IFERROR(VLOOKUP($E$4&amp;$A59,'Data Induk Pegawai'!$A:$Z,N$6,FALSE),"-")</f>
        <v>-</v>
      </c>
      <c r="O59" s="54" t="str">
        <f>IFERROR(VLOOKUP($E$4&amp;$A59,'Data Induk Pegawai'!$A:$Z,O$6,FALSE),"-")</f>
        <v>-</v>
      </c>
      <c r="P59" s="54" t="str">
        <f>IFERROR(VLOOKUP($E$4&amp;$A59,'Data Induk Pegawai'!$A:$Z,P$6,FALSE),"-")</f>
        <v>-</v>
      </c>
      <c r="Q59" s="53" t="str">
        <f>IFERROR(VLOOKUP($E$4&amp;$A59,'Data Induk Pegawai'!$A:$Z,Q$6,FALSE),"-")</f>
        <v>-</v>
      </c>
      <c r="R59" s="54" t="str">
        <f>IFERROR(VLOOKUP($E$4&amp;$A59,'Data Induk Pegawai'!$A:$Z,R$6,FALSE),"-")</f>
        <v>-</v>
      </c>
      <c r="S59" s="54" t="str">
        <f>IFERROR(VLOOKUP($E$4&amp;$A59,'Data Induk Pegawai'!$A:$Z,S$6,FALSE),"-")</f>
        <v>-</v>
      </c>
      <c r="T59" s="53" t="str">
        <f>IFERROR(VLOOKUP($E$4&amp;$A59,'Data Induk Pegawai'!$A:$Z,T$6,FALSE),"-")</f>
        <v>-</v>
      </c>
      <c r="U59" s="53" t="str">
        <f>IFERROR(VLOOKUP($E$4&amp;$A59,'Data Induk Pegawai'!$A:$Z,U$6,FALSE),"-")</f>
        <v>-</v>
      </c>
      <c r="V59" s="53" t="str">
        <f>IFERROR(VLOOKUP($E$4&amp;$A59,'Data Induk Pegawai'!$A:$Z,V$6,FALSE),"-")</f>
        <v>-</v>
      </c>
    </row>
    <row r="60" spans="1:22" ht="15.5" x14ac:dyDescent="0.35">
      <c r="A60" s="51">
        <v>52</v>
      </c>
      <c r="B60" s="52" t="str">
        <f>IFERROR(VLOOKUP($E$4&amp;$A60,'Data Induk Pegawai'!$A:$Z,B$6,FALSE),"-")</f>
        <v>-</v>
      </c>
      <c r="C60" s="53" t="str">
        <f>IFERROR(VLOOKUP($E$4&amp;$A60,'Data Induk Pegawai'!$A:$Z,C$6,FALSE),"-")</f>
        <v>-</v>
      </c>
      <c r="D60" s="53" t="str">
        <f>IFERROR(VLOOKUP($E$4&amp;$A60,'Data Induk Pegawai'!$A:$Z,D$6,FALSE),"-")</f>
        <v>-</v>
      </c>
      <c r="E60" s="150" t="str">
        <f>IFERROR(VLOOKUP($E$4&amp;$A60,'Data Induk Pegawai'!$A:$Z,E$6,FALSE),"-")</f>
        <v>-</v>
      </c>
      <c r="F60" s="150" t="str">
        <f>IFERROR(VLOOKUP($E$4&amp;$A60,'Data Induk Pegawai'!$A:$Z,F$6,FALSE),"-")</f>
        <v>-</v>
      </c>
      <c r="G60" s="53" t="str">
        <f>IFERROR(VLOOKUP($E$4&amp;$A60,'Data Induk Pegawai'!$A:$Z,G$6,FALSE),"-")</f>
        <v>-</v>
      </c>
      <c r="H60" s="53" t="str">
        <f>IFERROR(LEFT(VLOOKUP($E$4&amp;$A60,'Data Induk Pegawai'!$A:$Z,H$6,FALSE),3),"-")</f>
        <v>-</v>
      </c>
      <c r="I60" s="53" t="str">
        <f>IFERROR(VLOOKUP($E$4&amp;$A60,'Data Induk Pegawai'!$A:$Z,I$6,FALSE),"-")</f>
        <v>-</v>
      </c>
      <c r="J60" s="91" t="str">
        <f>IFERROR(VLOOKUP($E$4&amp;$A60,'Data Induk Pegawai'!$A:$Z,J$6,FALSE),"-")</f>
        <v>-</v>
      </c>
      <c r="K60" s="54" t="str">
        <f>IFERROR(VLOOKUP($E$4&amp;$A60,'Data Induk Pegawai'!$A:$Z,K$6,FALSE),"-")</f>
        <v>-</v>
      </c>
      <c r="L60" s="54" t="str">
        <f>IFERROR(VLOOKUP($E$4&amp;$A60,'Data Induk Pegawai'!$A:$Z,L$6,FALSE),"-")</f>
        <v>-</v>
      </c>
      <c r="M60" s="91" t="str">
        <f>IFERROR(VLOOKUP($E$4&amp;$A60,'Data Induk Pegawai'!$A:$Z,M$6,FALSE),"-")</f>
        <v>-</v>
      </c>
      <c r="N60" s="54" t="str">
        <f>IFERROR(VLOOKUP($E$4&amp;$A60,'Data Induk Pegawai'!$A:$Z,N$6,FALSE),"-")</f>
        <v>-</v>
      </c>
      <c r="O60" s="54" t="str">
        <f>IFERROR(VLOOKUP($E$4&amp;$A60,'Data Induk Pegawai'!$A:$Z,O$6,FALSE),"-")</f>
        <v>-</v>
      </c>
      <c r="P60" s="54" t="str">
        <f>IFERROR(VLOOKUP($E$4&amp;$A60,'Data Induk Pegawai'!$A:$Z,P$6,FALSE),"-")</f>
        <v>-</v>
      </c>
      <c r="Q60" s="53" t="str">
        <f>IFERROR(VLOOKUP($E$4&amp;$A60,'Data Induk Pegawai'!$A:$Z,Q$6,FALSE),"-")</f>
        <v>-</v>
      </c>
      <c r="R60" s="54" t="str">
        <f>IFERROR(VLOOKUP($E$4&amp;$A60,'Data Induk Pegawai'!$A:$Z,R$6,FALSE),"-")</f>
        <v>-</v>
      </c>
      <c r="S60" s="54" t="str">
        <f>IFERROR(VLOOKUP($E$4&amp;$A60,'Data Induk Pegawai'!$A:$Z,S$6,FALSE),"-")</f>
        <v>-</v>
      </c>
      <c r="T60" s="53" t="str">
        <f>IFERROR(VLOOKUP($E$4&amp;$A60,'Data Induk Pegawai'!$A:$Z,T$6,FALSE),"-")</f>
        <v>-</v>
      </c>
      <c r="U60" s="53" t="str">
        <f>IFERROR(VLOOKUP($E$4&amp;$A60,'Data Induk Pegawai'!$A:$Z,U$6,FALSE),"-")</f>
        <v>-</v>
      </c>
      <c r="V60" s="53" t="str">
        <f>IFERROR(VLOOKUP($E$4&amp;$A60,'Data Induk Pegawai'!$A:$Z,V$6,FALSE),"-")</f>
        <v>-</v>
      </c>
    </row>
    <row r="61" spans="1:22" ht="15.5" x14ac:dyDescent="0.35">
      <c r="A61" s="51">
        <v>53</v>
      </c>
      <c r="B61" s="52" t="str">
        <f>IFERROR(VLOOKUP($E$4&amp;$A61,'Data Induk Pegawai'!$A:$Z,B$6,FALSE),"-")</f>
        <v>-</v>
      </c>
      <c r="C61" s="53" t="str">
        <f>IFERROR(VLOOKUP($E$4&amp;$A61,'Data Induk Pegawai'!$A:$Z,C$6,FALSE),"-")</f>
        <v>-</v>
      </c>
      <c r="D61" s="53" t="str">
        <f>IFERROR(VLOOKUP($E$4&amp;$A61,'Data Induk Pegawai'!$A:$Z,D$6,FALSE),"-")</f>
        <v>-</v>
      </c>
      <c r="E61" s="150" t="str">
        <f>IFERROR(VLOOKUP($E$4&amp;$A61,'Data Induk Pegawai'!$A:$Z,E$6,FALSE),"-")</f>
        <v>-</v>
      </c>
      <c r="F61" s="150" t="str">
        <f>IFERROR(VLOOKUP($E$4&amp;$A61,'Data Induk Pegawai'!$A:$Z,F$6,FALSE),"-")</f>
        <v>-</v>
      </c>
      <c r="G61" s="53" t="str">
        <f>IFERROR(VLOOKUP($E$4&amp;$A61,'Data Induk Pegawai'!$A:$Z,G$6,FALSE),"-")</f>
        <v>-</v>
      </c>
      <c r="H61" s="53" t="str">
        <f>IFERROR(LEFT(VLOOKUP($E$4&amp;$A61,'Data Induk Pegawai'!$A:$Z,H$6,FALSE),3),"-")</f>
        <v>-</v>
      </c>
      <c r="I61" s="53" t="str">
        <f>IFERROR(VLOOKUP($E$4&amp;$A61,'Data Induk Pegawai'!$A:$Z,I$6,FALSE),"-")</f>
        <v>-</v>
      </c>
      <c r="J61" s="91" t="str">
        <f>IFERROR(VLOOKUP($E$4&amp;$A61,'Data Induk Pegawai'!$A:$Z,J$6,FALSE),"-")</f>
        <v>-</v>
      </c>
      <c r="K61" s="54" t="str">
        <f>IFERROR(VLOOKUP($E$4&amp;$A61,'Data Induk Pegawai'!$A:$Z,K$6,FALSE),"-")</f>
        <v>-</v>
      </c>
      <c r="L61" s="54" t="str">
        <f>IFERROR(VLOOKUP($E$4&amp;$A61,'Data Induk Pegawai'!$A:$Z,L$6,FALSE),"-")</f>
        <v>-</v>
      </c>
      <c r="M61" s="91" t="str">
        <f>IFERROR(VLOOKUP($E$4&amp;$A61,'Data Induk Pegawai'!$A:$Z,M$6,FALSE),"-")</f>
        <v>-</v>
      </c>
      <c r="N61" s="54" t="str">
        <f>IFERROR(VLOOKUP($E$4&amp;$A61,'Data Induk Pegawai'!$A:$Z,N$6,FALSE),"-")</f>
        <v>-</v>
      </c>
      <c r="O61" s="54" t="str">
        <f>IFERROR(VLOOKUP($E$4&amp;$A61,'Data Induk Pegawai'!$A:$Z,O$6,FALSE),"-")</f>
        <v>-</v>
      </c>
      <c r="P61" s="54" t="str">
        <f>IFERROR(VLOOKUP($E$4&amp;$A61,'Data Induk Pegawai'!$A:$Z,P$6,FALSE),"-")</f>
        <v>-</v>
      </c>
      <c r="Q61" s="53" t="str">
        <f>IFERROR(VLOOKUP($E$4&amp;$A61,'Data Induk Pegawai'!$A:$Z,Q$6,FALSE),"-")</f>
        <v>-</v>
      </c>
      <c r="R61" s="54" t="str">
        <f>IFERROR(VLOOKUP($E$4&amp;$A61,'Data Induk Pegawai'!$A:$Z,R$6,FALSE),"-")</f>
        <v>-</v>
      </c>
      <c r="S61" s="54" t="str">
        <f>IFERROR(VLOOKUP($E$4&amp;$A61,'Data Induk Pegawai'!$A:$Z,S$6,FALSE),"-")</f>
        <v>-</v>
      </c>
      <c r="T61" s="53" t="str">
        <f>IFERROR(VLOOKUP($E$4&amp;$A61,'Data Induk Pegawai'!$A:$Z,T$6,FALSE),"-")</f>
        <v>-</v>
      </c>
      <c r="U61" s="53" t="str">
        <f>IFERROR(VLOOKUP($E$4&amp;$A61,'Data Induk Pegawai'!$A:$Z,U$6,FALSE),"-")</f>
        <v>-</v>
      </c>
      <c r="V61" s="53" t="str">
        <f>IFERROR(VLOOKUP($E$4&amp;$A61,'Data Induk Pegawai'!$A:$Z,V$6,FALSE),"-")</f>
        <v>-</v>
      </c>
    </row>
    <row r="62" spans="1:22" ht="15.5" x14ac:dyDescent="0.35">
      <c r="A62" s="51">
        <v>54</v>
      </c>
      <c r="B62" s="52" t="str">
        <f>IFERROR(VLOOKUP($E$4&amp;$A62,'Data Induk Pegawai'!$A:$Z,B$6,FALSE),"-")</f>
        <v>-</v>
      </c>
      <c r="C62" s="53" t="str">
        <f>IFERROR(VLOOKUP($E$4&amp;$A62,'Data Induk Pegawai'!$A:$Z,C$6,FALSE),"-")</f>
        <v>-</v>
      </c>
      <c r="D62" s="53" t="str">
        <f>IFERROR(VLOOKUP($E$4&amp;$A62,'Data Induk Pegawai'!$A:$Z,D$6,FALSE),"-")</f>
        <v>-</v>
      </c>
      <c r="E62" s="150" t="str">
        <f>IFERROR(VLOOKUP($E$4&amp;$A62,'Data Induk Pegawai'!$A:$Z,E$6,FALSE),"-")</f>
        <v>-</v>
      </c>
      <c r="F62" s="150" t="str">
        <f>IFERROR(VLOOKUP($E$4&amp;$A62,'Data Induk Pegawai'!$A:$Z,F$6,FALSE),"-")</f>
        <v>-</v>
      </c>
      <c r="G62" s="53" t="str">
        <f>IFERROR(VLOOKUP($E$4&amp;$A62,'Data Induk Pegawai'!$A:$Z,G$6,FALSE),"-")</f>
        <v>-</v>
      </c>
      <c r="H62" s="53" t="str">
        <f>IFERROR(LEFT(VLOOKUP($E$4&amp;$A62,'Data Induk Pegawai'!$A:$Z,H$6,FALSE),3),"-")</f>
        <v>-</v>
      </c>
      <c r="I62" s="53" t="str">
        <f>IFERROR(VLOOKUP($E$4&amp;$A62,'Data Induk Pegawai'!$A:$Z,I$6,FALSE),"-")</f>
        <v>-</v>
      </c>
      <c r="J62" s="91" t="str">
        <f>IFERROR(VLOOKUP($E$4&amp;$A62,'Data Induk Pegawai'!$A:$Z,J$6,FALSE),"-")</f>
        <v>-</v>
      </c>
      <c r="K62" s="54" t="str">
        <f>IFERROR(VLOOKUP($E$4&amp;$A62,'Data Induk Pegawai'!$A:$Z,K$6,FALSE),"-")</f>
        <v>-</v>
      </c>
      <c r="L62" s="54" t="str">
        <f>IFERROR(VLOOKUP($E$4&amp;$A62,'Data Induk Pegawai'!$A:$Z,L$6,FALSE),"-")</f>
        <v>-</v>
      </c>
      <c r="M62" s="91" t="str">
        <f>IFERROR(VLOOKUP($E$4&amp;$A62,'Data Induk Pegawai'!$A:$Z,M$6,FALSE),"-")</f>
        <v>-</v>
      </c>
      <c r="N62" s="54" t="str">
        <f>IFERROR(VLOOKUP($E$4&amp;$A62,'Data Induk Pegawai'!$A:$Z,N$6,FALSE),"-")</f>
        <v>-</v>
      </c>
      <c r="O62" s="54" t="str">
        <f>IFERROR(VLOOKUP($E$4&amp;$A62,'Data Induk Pegawai'!$A:$Z,O$6,FALSE),"-")</f>
        <v>-</v>
      </c>
      <c r="P62" s="54" t="str">
        <f>IFERROR(VLOOKUP($E$4&amp;$A62,'Data Induk Pegawai'!$A:$Z,P$6,FALSE),"-")</f>
        <v>-</v>
      </c>
      <c r="Q62" s="53" t="str">
        <f>IFERROR(VLOOKUP($E$4&amp;$A62,'Data Induk Pegawai'!$A:$Z,Q$6,FALSE),"-")</f>
        <v>-</v>
      </c>
      <c r="R62" s="54" t="str">
        <f>IFERROR(VLOOKUP($E$4&amp;$A62,'Data Induk Pegawai'!$A:$Z,R$6,FALSE),"-")</f>
        <v>-</v>
      </c>
      <c r="S62" s="54" t="str">
        <f>IFERROR(VLOOKUP($E$4&amp;$A62,'Data Induk Pegawai'!$A:$Z,S$6,FALSE),"-")</f>
        <v>-</v>
      </c>
      <c r="T62" s="53" t="str">
        <f>IFERROR(VLOOKUP($E$4&amp;$A62,'Data Induk Pegawai'!$A:$Z,T$6,FALSE),"-")</f>
        <v>-</v>
      </c>
      <c r="U62" s="53" t="str">
        <f>IFERROR(VLOOKUP($E$4&amp;$A62,'Data Induk Pegawai'!$A:$Z,U$6,FALSE),"-")</f>
        <v>-</v>
      </c>
      <c r="V62" s="53" t="str">
        <f>IFERROR(VLOOKUP($E$4&amp;$A62,'Data Induk Pegawai'!$A:$Z,V$6,FALSE),"-")</f>
        <v>-</v>
      </c>
    </row>
    <row r="63" spans="1:22" ht="15.5" x14ac:dyDescent="0.35">
      <c r="A63" s="51">
        <v>55</v>
      </c>
      <c r="B63" s="52" t="str">
        <f>IFERROR(VLOOKUP($E$4&amp;$A63,'Data Induk Pegawai'!$A:$Z,B$6,FALSE),"-")</f>
        <v>-</v>
      </c>
      <c r="C63" s="53" t="str">
        <f>IFERROR(VLOOKUP($E$4&amp;$A63,'Data Induk Pegawai'!$A:$Z,C$6,FALSE),"-")</f>
        <v>-</v>
      </c>
      <c r="D63" s="53" t="str">
        <f>IFERROR(VLOOKUP($E$4&amp;$A63,'Data Induk Pegawai'!$A:$Z,D$6,FALSE),"-")</f>
        <v>-</v>
      </c>
      <c r="E63" s="150" t="str">
        <f>IFERROR(VLOOKUP($E$4&amp;$A63,'Data Induk Pegawai'!$A:$Z,E$6,FALSE),"-")</f>
        <v>-</v>
      </c>
      <c r="F63" s="150" t="str">
        <f>IFERROR(VLOOKUP($E$4&amp;$A63,'Data Induk Pegawai'!$A:$Z,F$6,FALSE),"-")</f>
        <v>-</v>
      </c>
      <c r="G63" s="53" t="str">
        <f>IFERROR(VLOOKUP($E$4&amp;$A63,'Data Induk Pegawai'!$A:$Z,G$6,FALSE),"-")</f>
        <v>-</v>
      </c>
      <c r="H63" s="53" t="str">
        <f>IFERROR(LEFT(VLOOKUP($E$4&amp;$A63,'Data Induk Pegawai'!$A:$Z,H$6,FALSE),3),"-")</f>
        <v>-</v>
      </c>
      <c r="I63" s="53" t="str">
        <f>IFERROR(VLOOKUP($E$4&amp;$A63,'Data Induk Pegawai'!$A:$Z,I$6,FALSE),"-")</f>
        <v>-</v>
      </c>
      <c r="J63" s="91" t="str">
        <f>IFERROR(VLOOKUP($E$4&amp;$A63,'Data Induk Pegawai'!$A:$Z,J$6,FALSE),"-")</f>
        <v>-</v>
      </c>
      <c r="K63" s="54" t="str">
        <f>IFERROR(VLOOKUP($E$4&amp;$A63,'Data Induk Pegawai'!$A:$Z,K$6,FALSE),"-")</f>
        <v>-</v>
      </c>
      <c r="L63" s="54" t="str">
        <f>IFERROR(VLOOKUP($E$4&amp;$A63,'Data Induk Pegawai'!$A:$Z,L$6,FALSE),"-")</f>
        <v>-</v>
      </c>
      <c r="M63" s="91" t="str">
        <f>IFERROR(VLOOKUP($E$4&amp;$A63,'Data Induk Pegawai'!$A:$Z,M$6,FALSE),"-")</f>
        <v>-</v>
      </c>
      <c r="N63" s="54" t="str">
        <f>IFERROR(VLOOKUP($E$4&amp;$A63,'Data Induk Pegawai'!$A:$Z,N$6,FALSE),"-")</f>
        <v>-</v>
      </c>
      <c r="O63" s="54" t="str">
        <f>IFERROR(VLOOKUP($E$4&amp;$A63,'Data Induk Pegawai'!$A:$Z,O$6,FALSE),"-")</f>
        <v>-</v>
      </c>
      <c r="P63" s="54" t="str">
        <f>IFERROR(VLOOKUP($E$4&amp;$A63,'Data Induk Pegawai'!$A:$Z,P$6,FALSE),"-")</f>
        <v>-</v>
      </c>
      <c r="Q63" s="53" t="str">
        <f>IFERROR(VLOOKUP($E$4&amp;$A63,'Data Induk Pegawai'!$A:$Z,Q$6,FALSE),"-")</f>
        <v>-</v>
      </c>
      <c r="R63" s="54" t="str">
        <f>IFERROR(VLOOKUP($E$4&amp;$A63,'Data Induk Pegawai'!$A:$Z,R$6,FALSE),"-")</f>
        <v>-</v>
      </c>
      <c r="S63" s="54" t="str">
        <f>IFERROR(VLOOKUP($E$4&amp;$A63,'Data Induk Pegawai'!$A:$Z,S$6,FALSE),"-")</f>
        <v>-</v>
      </c>
      <c r="T63" s="53" t="str">
        <f>IFERROR(VLOOKUP($E$4&amp;$A63,'Data Induk Pegawai'!$A:$Z,T$6,FALSE),"-")</f>
        <v>-</v>
      </c>
      <c r="U63" s="53" t="str">
        <f>IFERROR(VLOOKUP($E$4&amp;$A63,'Data Induk Pegawai'!$A:$Z,U$6,FALSE),"-")</f>
        <v>-</v>
      </c>
      <c r="V63" s="53" t="str">
        <f>IFERROR(VLOOKUP($E$4&amp;$A63,'Data Induk Pegawai'!$A:$Z,V$6,FALSE),"-")</f>
        <v>-</v>
      </c>
    </row>
    <row r="64" spans="1:22" ht="15.5" x14ac:dyDescent="0.35">
      <c r="A64" s="51">
        <v>56</v>
      </c>
      <c r="B64" s="52" t="str">
        <f>IFERROR(VLOOKUP($E$4&amp;$A64,'Data Induk Pegawai'!$A:$Z,B$6,FALSE),"-")</f>
        <v>-</v>
      </c>
      <c r="C64" s="53" t="str">
        <f>IFERROR(VLOOKUP($E$4&amp;$A64,'Data Induk Pegawai'!$A:$Z,C$6,FALSE),"-")</f>
        <v>-</v>
      </c>
      <c r="D64" s="53" t="str">
        <f>IFERROR(VLOOKUP($E$4&amp;$A64,'Data Induk Pegawai'!$A:$Z,D$6,FALSE),"-")</f>
        <v>-</v>
      </c>
      <c r="E64" s="150" t="str">
        <f>IFERROR(VLOOKUP($E$4&amp;$A64,'Data Induk Pegawai'!$A:$Z,E$6,FALSE),"-")</f>
        <v>-</v>
      </c>
      <c r="F64" s="150" t="str">
        <f>IFERROR(VLOOKUP($E$4&amp;$A64,'Data Induk Pegawai'!$A:$Z,F$6,FALSE),"-")</f>
        <v>-</v>
      </c>
      <c r="G64" s="53" t="str">
        <f>IFERROR(VLOOKUP($E$4&amp;$A64,'Data Induk Pegawai'!$A:$Z,G$6,FALSE),"-")</f>
        <v>-</v>
      </c>
      <c r="H64" s="53" t="str">
        <f>IFERROR(LEFT(VLOOKUP($E$4&amp;$A64,'Data Induk Pegawai'!$A:$Z,H$6,FALSE),3),"-")</f>
        <v>-</v>
      </c>
      <c r="I64" s="53" t="str">
        <f>IFERROR(VLOOKUP($E$4&amp;$A64,'Data Induk Pegawai'!$A:$Z,I$6,FALSE),"-")</f>
        <v>-</v>
      </c>
      <c r="J64" s="91" t="str">
        <f>IFERROR(VLOOKUP($E$4&amp;$A64,'Data Induk Pegawai'!$A:$Z,J$6,FALSE),"-")</f>
        <v>-</v>
      </c>
      <c r="K64" s="54" t="str">
        <f>IFERROR(VLOOKUP($E$4&amp;$A64,'Data Induk Pegawai'!$A:$Z,K$6,FALSE),"-")</f>
        <v>-</v>
      </c>
      <c r="L64" s="54" t="str">
        <f>IFERROR(VLOOKUP($E$4&amp;$A64,'Data Induk Pegawai'!$A:$Z,L$6,FALSE),"-")</f>
        <v>-</v>
      </c>
      <c r="M64" s="91" t="str">
        <f>IFERROR(VLOOKUP($E$4&amp;$A64,'Data Induk Pegawai'!$A:$Z,M$6,FALSE),"-")</f>
        <v>-</v>
      </c>
      <c r="N64" s="54" t="str">
        <f>IFERROR(VLOOKUP($E$4&amp;$A64,'Data Induk Pegawai'!$A:$Z,N$6,FALSE),"-")</f>
        <v>-</v>
      </c>
      <c r="O64" s="54" t="str">
        <f>IFERROR(VLOOKUP($E$4&amp;$A64,'Data Induk Pegawai'!$A:$Z,O$6,FALSE),"-")</f>
        <v>-</v>
      </c>
      <c r="P64" s="54" t="str">
        <f>IFERROR(VLOOKUP($E$4&amp;$A64,'Data Induk Pegawai'!$A:$Z,P$6,FALSE),"-")</f>
        <v>-</v>
      </c>
      <c r="Q64" s="53" t="str">
        <f>IFERROR(VLOOKUP($E$4&amp;$A64,'Data Induk Pegawai'!$A:$Z,Q$6,FALSE),"-")</f>
        <v>-</v>
      </c>
      <c r="R64" s="54" t="str">
        <f>IFERROR(VLOOKUP($E$4&amp;$A64,'Data Induk Pegawai'!$A:$Z,R$6,FALSE),"-")</f>
        <v>-</v>
      </c>
      <c r="S64" s="54" t="str">
        <f>IFERROR(VLOOKUP($E$4&amp;$A64,'Data Induk Pegawai'!$A:$Z,S$6,FALSE),"-")</f>
        <v>-</v>
      </c>
      <c r="T64" s="53" t="str">
        <f>IFERROR(VLOOKUP($E$4&amp;$A64,'Data Induk Pegawai'!$A:$Z,T$6,FALSE),"-")</f>
        <v>-</v>
      </c>
      <c r="U64" s="53" t="str">
        <f>IFERROR(VLOOKUP($E$4&amp;$A64,'Data Induk Pegawai'!$A:$Z,U$6,FALSE),"-")</f>
        <v>-</v>
      </c>
      <c r="V64" s="53" t="str">
        <f>IFERROR(VLOOKUP($E$4&amp;$A64,'Data Induk Pegawai'!$A:$Z,V$6,FALSE),"-")</f>
        <v>-</v>
      </c>
    </row>
    <row r="65" spans="1:22" ht="15.5" x14ac:dyDescent="0.35">
      <c r="A65" s="51">
        <v>57</v>
      </c>
      <c r="B65" s="52" t="str">
        <f>IFERROR(VLOOKUP($E$4&amp;$A65,'Data Induk Pegawai'!$A:$Z,B$6,FALSE),"-")</f>
        <v>-</v>
      </c>
      <c r="C65" s="53" t="str">
        <f>IFERROR(VLOOKUP($E$4&amp;$A65,'Data Induk Pegawai'!$A:$Z,C$6,FALSE),"-")</f>
        <v>-</v>
      </c>
      <c r="D65" s="53" t="str">
        <f>IFERROR(VLOOKUP($E$4&amp;$A65,'Data Induk Pegawai'!$A:$Z,D$6,FALSE),"-")</f>
        <v>-</v>
      </c>
      <c r="E65" s="150" t="str">
        <f>IFERROR(VLOOKUP($E$4&amp;$A65,'Data Induk Pegawai'!$A:$Z,E$6,FALSE),"-")</f>
        <v>-</v>
      </c>
      <c r="F65" s="150" t="str">
        <f>IFERROR(VLOOKUP($E$4&amp;$A65,'Data Induk Pegawai'!$A:$Z,F$6,FALSE),"-")</f>
        <v>-</v>
      </c>
      <c r="G65" s="53" t="str">
        <f>IFERROR(VLOOKUP($E$4&amp;$A65,'Data Induk Pegawai'!$A:$Z,G$6,FALSE),"-")</f>
        <v>-</v>
      </c>
      <c r="H65" s="53" t="str">
        <f>IFERROR(LEFT(VLOOKUP($E$4&amp;$A65,'Data Induk Pegawai'!$A:$Z,H$6,FALSE),3),"-")</f>
        <v>-</v>
      </c>
      <c r="I65" s="53" t="str">
        <f>IFERROR(VLOOKUP($E$4&amp;$A65,'Data Induk Pegawai'!$A:$Z,I$6,FALSE),"-")</f>
        <v>-</v>
      </c>
      <c r="J65" s="91" t="str">
        <f>IFERROR(VLOOKUP($E$4&amp;$A65,'Data Induk Pegawai'!$A:$Z,J$6,FALSE),"-")</f>
        <v>-</v>
      </c>
      <c r="K65" s="54" t="str">
        <f>IFERROR(VLOOKUP($E$4&amp;$A65,'Data Induk Pegawai'!$A:$Z,K$6,FALSE),"-")</f>
        <v>-</v>
      </c>
      <c r="L65" s="54" t="str">
        <f>IFERROR(VLOOKUP($E$4&amp;$A65,'Data Induk Pegawai'!$A:$Z,L$6,FALSE),"-")</f>
        <v>-</v>
      </c>
      <c r="M65" s="91" t="str">
        <f>IFERROR(VLOOKUP($E$4&amp;$A65,'Data Induk Pegawai'!$A:$Z,M$6,FALSE),"-")</f>
        <v>-</v>
      </c>
      <c r="N65" s="54" t="str">
        <f>IFERROR(VLOOKUP($E$4&amp;$A65,'Data Induk Pegawai'!$A:$Z,N$6,FALSE),"-")</f>
        <v>-</v>
      </c>
      <c r="O65" s="54" t="str">
        <f>IFERROR(VLOOKUP($E$4&amp;$A65,'Data Induk Pegawai'!$A:$Z,O$6,FALSE),"-")</f>
        <v>-</v>
      </c>
      <c r="P65" s="54" t="str">
        <f>IFERROR(VLOOKUP($E$4&amp;$A65,'Data Induk Pegawai'!$A:$Z,P$6,FALSE),"-")</f>
        <v>-</v>
      </c>
      <c r="Q65" s="53" t="str">
        <f>IFERROR(VLOOKUP($E$4&amp;$A65,'Data Induk Pegawai'!$A:$Z,Q$6,FALSE),"-")</f>
        <v>-</v>
      </c>
      <c r="R65" s="54" t="str">
        <f>IFERROR(VLOOKUP($E$4&amp;$A65,'Data Induk Pegawai'!$A:$Z,R$6,FALSE),"-")</f>
        <v>-</v>
      </c>
      <c r="S65" s="54" t="str">
        <f>IFERROR(VLOOKUP($E$4&amp;$A65,'Data Induk Pegawai'!$A:$Z,S$6,FALSE),"-")</f>
        <v>-</v>
      </c>
      <c r="T65" s="53" t="str">
        <f>IFERROR(VLOOKUP($E$4&amp;$A65,'Data Induk Pegawai'!$A:$Z,T$6,FALSE),"-")</f>
        <v>-</v>
      </c>
      <c r="U65" s="53" t="str">
        <f>IFERROR(VLOOKUP($E$4&amp;$A65,'Data Induk Pegawai'!$A:$Z,U$6,FALSE),"-")</f>
        <v>-</v>
      </c>
      <c r="V65" s="53" t="str">
        <f>IFERROR(VLOOKUP($E$4&amp;$A65,'Data Induk Pegawai'!$A:$Z,V$6,FALSE),"-")</f>
        <v>-</v>
      </c>
    </row>
    <row r="66" spans="1:22" ht="15.5" x14ac:dyDescent="0.35">
      <c r="A66" s="51">
        <v>58</v>
      </c>
      <c r="B66" s="52" t="str">
        <f>IFERROR(VLOOKUP($E$4&amp;$A66,'Data Induk Pegawai'!$A:$Z,B$6,FALSE),"-")</f>
        <v>-</v>
      </c>
      <c r="C66" s="53" t="str">
        <f>IFERROR(VLOOKUP($E$4&amp;$A66,'Data Induk Pegawai'!$A:$Z,C$6,FALSE),"-")</f>
        <v>-</v>
      </c>
      <c r="D66" s="53" t="str">
        <f>IFERROR(VLOOKUP($E$4&amp;$A66,'Data Induk Pegawai'!$A:$Z,D$6,FALSE),"-")</f>
        <v>-</v>
      </c>
      <c r="E66" s="150" t="str">
        <f>IFERROR(VLOOKUP($E$4&amp;$A66,'Data Induk Pegawai'!$A:$Z,E$6,FALSE),"-")</f>
        <v>-</v>
      </c>
      <c r="F66" s="150" t="str">
        <f>IFERROR(VLOOKUP($E$4&amp;$A66,'Data Induk Pegawai'!$A:$Z,F$6,FALSE),"-")</f>
        <v>-</v>
      </c>
      <c r="G66" s="53" t="str">
        <f>IFERROR(VLOOKUP($E$4&amp;$A66,'Data Induk Pegawai'!$A:$Z,G$6,FALSE),"-")</f>
        <v>-</v>
      </c>
      <c r="H66" s="53" t="str">
        <f>IFERROR(LEFT(VLOOKUP($E$4&amp;$A66,'Data Induk Pegawai'!$A:$Z,H$6,FALSE),3),"-")</f>
        <v>-</v>
      </c>
      <c r="I66" s="53" t="str">
        <f>IFERROR(VLOOKUP($E$4&amp;$A66,'Data Induk Pegawai'!$A:$Z,I$6,FALSE),"-")</f>
        <v>-</v>
      </c>
      <c r="J66" s="91" t="str">
        <f>IFERROR(VLOOKUP($E$4&amp;$A66,'Data Induk Pegawai'!$A:$Z,J$6,FALSE),"-")</f>
        <v>-</v>
      </c>
      <c r="K66" s="54" t="str">
        <f>IFERROR(VLOOKUP($E$4&amp;$A66,'Data Induk Pegawai'!$A:$Z,K$6,FALSE),"-")</f>
        <v>-</v>
      </c>
      <c r="L66" s="54" t="str">
        <f>IFERROR(VLOOKUP($E$4&amp;$A66,'Data Induk Pegawai'!$A:$Z,L$6,FALSE),"-")</f>
        <v>-</v>
      </c>
      <c r="M66" s="91" t="str">
        <f>IFERROR(VLOOKUP($E$4&amp;$A66,'Data Induk Pegawai'!$A:$Z,M$6,FALSE),"-")</f>
        <v>-</v>
      </c>
      <c r="N66" s="54" t="str">
        <f>IFERROR(VLOOKUP($E$4&amp;$A66,'Data Induk Pegawai'!$A:$Z,N$6,FALSE),"-")</f>
        <v>-</v>
      </c>
      <c r="O66" s="54" t="str">
        <f>IFERROR(VLOOKUP($E$4&amp;$A66,'Data Induk Pegawai'!$A:$Z,O$6,FALSE),"-")</f>
        <v>-</v>
      </c>
      <c r="P66" s="54" t="str">
        <f>IFERROR(VLOOKUP($E$4&amp;$A66,'Data Induk Pegawai'!$A:$Z,P$6,FALSE),"-")</f>
        <v>-</v>
      </c>
      <c r="Q66" s="53" t="str">
        <f>IFERROR(VLOOKUP($E$4&amp;$A66,'Data Induk Pegawai'!$A:$Z,Q$6,FALSE),"-")</f>
        <v>-</v>
      </c>
      <c r="R66" s="54" t="str">
        <f>IFERROR(VLOOKUP($E$4&amp;$A66,'Data Induk Pegawai'!$A:$Z,R$6,FALSE),"-")</f>
        <v>-</v>
      </c>
      <c r="S66" s="54" t="str">
        <f>IFERROR(VLOOKUP($E$4&amp;$A66,'Data Induk Pegawai'!$A:$Z,S$6,FALSE),"-")</f>
        <v>-</v>
      </c>
      <c r="T66" s="53" t="str">
        <f>IFERROR(VLOOKUP($E$4&amp;$A66,'Data Induk Pegawai'!$A:$Z,T$6,FALSE),"-")</f>
        <v>-</v>
      </c>
      <c r="U66" s="53" t="str">
        <f>IFERROR(VLOOKUP($E$4&amp;$A66,'Data Induk Pegawai'!$A:$Z,U$6,FALSE),"-")</f>
        <v>-</v>
      </c>
      <c r="V66" s="53" t="str">
        <f>IFERROR(VLOOKUP($E$4&amp;$A66,'Data Induk Pegawai'!$A:$Z,V$6,FALSE),"-")</f>
        <v>-</v>
      </c>
    </row>
    <row r="67" spans="1:22" ht="15.5" x14ac:dyDescent="0.35">
      <c r="A67" s="51">
        <v>59</v>
      </c>
      <c r="B67" s="52" t="str">
        <f>IFERROR(VLOOKUP($E$4&amp;$A67,'Data Induk Pegawai'!$A:$Z,B$6,FALSE),"-")</f>
        <v>-</v>
      </c>
      <c r="C67" s="53" t="str">
        <f>IFERROR(VLOOKUP($E$4&amp;$A67,'Data Induk Pegawai'!$A:$Z,C$6,FALSE),"-")</f>
        <v>-</v>
      </c>
      <c r="D67" s="53" t="str">
        <f>IFERROR(VLOOKUP($E$4&amp;$A67,'Data Induk Pegawai'!$A:$Z,D$6,FALSE),"-")</f>
        <v>-</v>
      </c>
      <c r="E67" s="150" t="str">
        <f>IFERROR(VLOOKUP($E$4&amp;$A67,'Data Induk Pegawai'!$A:$Z,E$6,FALSE),"-")</f>
        <v>-</v>
      </c>
      <c r="F67" s="150" t="str">
        <f>IFERROR(VLOOKUP($E$4&amp;$A67,'Data Induk Pegawai'!$A:$Z,F$6,FALSE),"-")</f>
        <v>-</v>
      </c>
      <c r="G67" s="53" t="str">
        <f>IFERROR(VLOOKUP($E$4&amp;$A67,'Data Induk Pegawai'!$A:$Z,G$6,FALSE),"-")</f>
        <v>-</v>
      </c>
      <c r="H67" s="53" t="str">
        <f>IFERROR(LEFT(VLOOKUP($E$4&amp;$A67,'Data Induk Pegawai'!$A:$Z,H$6,FALSE),3),"-")</f>
        <v>-</v>
      </c>
      <c r="I67" s="53" t="str">
        <f>IFERROR(VLOOKUP($E$4&amp;$A67,'Data Induk Pegawai'!$A:$Z,I$6,FALSE),"-")</f>
        <v>-</v>
      </c>
      <c r="J67" s="91" t="str">
        <f>IFERROR(VLOOKUP($E$4&amp;$A67,'Data Induk Pegawai'!$A:$Z,J$6,FALSE),"-")</f>
        <v>-</v>
      </c>
      <c r="K67" s="54" t="str">
        <f>IFERROR(VLOOKUP($E$4&amp;$A67,'Data Induk Pegawai'!$A:$Z,K$6,FALSE),"-")</f>
        <v>-</v>
      </c>
      <c r="L67" s="54" t="str">
        <f>IFERROR(VLOOKUP($E$4&amp;$A67,'Data Induk Pegawai'!$A:$Z,L$6,FALSE),"-")</f>
        <v>-</v>
      </c>
      <c r="M67" s="91" t="str">
        <f>IFERROR(VLOOKUP($E$4&amp;$A67,'Data Induk Pegawai'!$A:$Z,M$6,FALSE),"-")</f>
        <v>-</v>
      </c>
      <c r="N67" s="54" t="str">
        <f>IFERROR(VLOOKUP($E$4&amp;$A67,'Data Induk Pegawai'!$A:$Z,N$6,FALSE),"-")</f>
        <v>-</v>
      </c>
      <c r="O67" s="54" t="str">
        <f>IFERROR(VLOOKUP($E$4&amp;$A67,'Data Induk Pegawai'!$A:$Z,O$6,FALSE),"-")</f>
        <v>-</v>
      </c>
      <c r="P67" s="54" t="str">
        <f>IFERROR(VLOOKUP($E$4&amp;$A67,'Data Induk Pegawai'!$A:$Z,P$6,FALSE),"-")</f>
        <v>-</v>
      </c>
      <c r="Q67" s="53" t="str">
        <f>IFERROR(VLOOKUP($E$4&amp;$A67,'Data Induk Pegawai'!$A:$Z,Q$6,FALSE),"-")</f>
        <v>-</v>
      </c>
      <c r="R67" s="54" t="str">
        <f>IFERROR(VLOOKUP($E$4&amp;$A67,'Data Induk Pegawai'!$A:$Z,R$6,FALSE),"-")</f>
        <v>-</v>
      </c>
      <c r="S67" s="54" t="str">
        <f>IFERROR(VLOOKUP($E$4&amp;$A67,'Data Induk Pegawai'!$A:$Z,S$6,FALSE),"-")</f>
        <v>-</v>
      </c>
      <c r="T67" s="53" t="str">
        <f>IFERROR(VLOOKUP($E$4&amp;$A67,'Data Induk Pegawai'!$A:$Z,T$6,FALSE),"-")</f>
        <v>-</v>
      </c>
      <c r="U67" s="53" t="str">
        <f>IFERROR(VLOOKUP($E$4&amp;$A67,'Data Induk Pegawai'!$A:$Z,U$6,FALSE),"-")</f>
        <v>-</v>
      </c>
      <c r="V67" s="53" t="str">
        <f>IFERROR(VLOOKUP($E$4&amp;$A67,'Data Induk Pegawai'!$A:$Z,V$6,FALSE),"-")</f>
        <v>-</v>
      </c>
    </row>
    <row r="68" spans="1:22" ht="15.5" x14ac:dyDescent="0.35">
      <c r="A68" s="51">
        <v>60</v>
      </c>
      <c r="B68" s="52" t="str">
        <f>IFERROR(VLOOKUP($E$4&amp;$A68,'Data Induk Pegawai'!$A:$Z,B$6,FALSE),"-")</f>
        <v>-</v>
      </c>
      <c r="C68" s="53" t="str">
        <f>IFERROR(VLOOKUP($E$4&amp;$A68,'Data Induk Pegawai'!$A:$Z,C$6,FALSE),"-")</f>
        <v>-</v>
      </c>
      <c r="D68" s="53" t="str">
        <f>IFERROR(VLOOKUP($E$4&amp;$A68,'Data Induk Pegawai'!$A:$Z,D$6,FALSE),"-")</f>
        <v>-</v>
      </c>
      <c r="E68" s="150" t="str">
        <f>IFERROR(VLOOKUP($E$4&amp;$A68,'Data Induk Pegawai'!$A:$Z,E$6,FALSE),"-")</f>
        <v>-</v>
      </c>
      <c r="F68" s="150" t="str">
        <f>IFERROR(VLOOKUP($E$4&amp;$A68,'Data Induk Pegawai'!$A:$Z,F$6,FALSE),"-")</f>
        <v>-</v>
      </c>
      <c r="G68" s="53" t="str">
        <f>IFERROR(VLOOKUP($E$4&amp;$A68,'Data Induk Pegawai'!$A:$Z,G$6,FALSE),"-")</f>
        <v>-</v>
      </c>
      <c r="H68" s="53" t="str">
        <f>IFERROR(LEFT(VLOOKUP($E$4&amp;$A68,'Data Induk Pegawai'!$A:$Z,H$6,FALSE),3),"-")</f>
        <v>-</v>
      </c>
      <c r="I68" s="53" t="str">
        <f>IFERROR(VLOOKUP($E$4&amp;$A68,'Data Induk Pegawai'!$A:$Z,I$6,FALSE),"-")</f>
        <v>-</v>
      </c>
      <c r="J68" s="91" t="str">
        <f>IFERROR(VLOOKUP($E$4&amp;$A68,'Data Induk Pegawai'!$A:$Z,J$6,FALSE),"-")</f>
        <v>-</v>
      </c>
      <c r="K68" s="54" t="str">
        <f>IFERROR(VLOOKUP($E$4&amp;$A68,'Data Induk Pegawai'!$A:$Z,K$6,FALSE),"-")</f>
        <v>-</v>
      </c>
      <c r="L68" s="54" t="str">
        <f>IFERROR(VLOOKUP($E$4&amp;$A68,'Data Induk Pegawai'!$A:$Z,L$6,FALSE),"-")</f>
        <v>-</v>
      </c>
      <c r="M68" s="91" t="str">
        <f>IFERROR(VLOOKUP($E$4&amp;$A68,'Data Induk Pegawai'!$A:$Z,M$6,FALSE),"-")</f>
        <v>-</v>
      </c>
      <c r="N68" s="54" t="str">
        <f>IFERROR(VLOOKUP($E$4&amp;$A68,'Data Induk Pegawai'!$A:$Z,N$6,FALSE),"-")</f>
        <v>-</v>
      </c>
      <c r="O68" s="54" t="str">
        <f>IFERROR(VLOOKUP($E$4&amp;$A68,'Data Induk Pegawai'!$A:$Z,O$6,FALSE),"-")</f>
        <v>-</v>
      </c>
      <c r="P68" s="54" t="str">
        <f>IFERROR(VLOOKUP($E$4&amp;$A68,'Data Induk Pegawai'!$A:$Z,P$6,FALSE),"-")</f>
        <v>-</v>
      </c>
      <c r="Q68" s="53" t="str">
        <f>IFERROR(VLOOKUP($E$4&amp;$A68,'Data Induk Pegawai'!$A:$Z,Q$6,FALSE),"-")</f>
        <v>-</v>
      </c>
      <c r="R68" s="54" t="str">
        <f>IFERROR(VLOOKUP($E$4&amp;$A68,'Data Induk Pegawai'!$A:$Z,R$6,FALSE),"-")</f>
        <v>-</v>
      </c>
      <c r="S68" s="54" t="str">
        <f>IFERROR(VLOOKUP($E$4&amp;$A68,'Data Induk Pegawai'!$A:$Z,S$6,FALSE),"-")</f>
        <v>-</v>
      </c>
      <c r="T68" s="53" t="str">
        <f>IFERROR(VLOOKUP($E$4&amp;$A68,'Data Induk Pegawai'!$A:$Z,T$6,FALSE),"-")</f>
        <v>-</v>
      </c>
      <c r="U68" s="53" t="str">
        <f>IFERROR(VLOOKUP($E$4&amp;$A68,'Data Induk Pegawai'!$A:$Z,U$6,FALSE),"-")</f>
        <v>-</v>
      </c>
      <c r="V68" s="53" t="str">
        <f>IFERROR(VLOOKUP($E$4&amp;$A68,'Data Induk Pegawai'!$A:$Z,V$6,FALSE),"-")</f>
        <v>-</v>
      </c>
    </row>
    <row r="69" spans="1:22" ht="15.5" x14ac:dyDescent="0.35">
      <c r="A69" s="51">
        <v>61</v>
      </c>
      <c r="B69" s="52" t="str">
        <f>IFERROR(VLOOKUP($E$4&amp;$A69,'Data Induk Pegawai'!$A:$Z,B$6,FALSE),"-")</f>
        <v>-</v>
      </c>
      <c r="C69" s="53" t="str">
        <f>IFERROR(VLOOKUP($E$4&amp;$A69,'Data Induk Pegawai'!$A:$Z,C$6,FALSE),"-")</f>
        <v>-</v>
      </c>
      <c r="D69" s="53" t="str">
        <f>IFERROR(VLOOKUP($E$4&amp;$A69,'Data Induk Pegawai'!$A:$Z,D$6,FALSE),"-")</f>
        <v>-</v>
      </c>
      <c r="E69" s="150" t="str">
        <f>IFERROR(VLOOKUP($E$4&amp;$A69,'Data Induk Pegawai'!$A:$Z,E$6,FALSE),"-")</f>
        <v>-</v>
      </c>
      <c r="F69" s="150" t="str">
        <f>IFERROR(VLOOKUP($E$4&amp;$A69,'Data Induk Pegawai'!$A:$Z,F$6,FALSE),"-")</f>
        <v>-</v>
      </c>
      <c r="G69" s="53" t="str">
        <f>IFERROR(VLOOKUP($E$4&amp;$A69,'Data Induk Pegawai'!$A:$Z,G$6,FALSE),"-")</f>
        <v>-</v>
      </c>
      <c r="H69" s="53" t="str">
        <f>IFERROR(LEFT(VLOOKUP($E$4&amp;$A69,'Data Induk Pegawai'!$A:$Z,H$6,FALSE),3),"-")</f>
        <v>-</v>
      </c>
      <c r="I69" s="53" t="str">
        <f>IFERROR(VLOOKUP($E$4&amp;$A69,'Data Induk Pegawai'!$A:$Z,I$6,FALSE),"-")</f>
        <v>-</v>
      </c>
      <c r="J69" s="91" t="str">
        <f>IFERROR(VLOOKUP($E$4&amp;$A69,'Data Induk Pegawai'!$A:$Z,J$6,FALSE),"-")</f>
        <v>-</v>
      </c>
      <c r="K69" s="54" t="str">
        <f>IFERROR(VLOOKUP($E$4&amp;$A69,'Data Induk Pegawai'!$A:$Z,K$6,FALSE),"-")</f>
        <v>-</v>
      </c>
      <c r="L69" s="54" t="str">
        <f>IFERROR(VLOOKUP($E$4&amp;$A69,'Data Induk Pegawai'!$A:$Z,L$6,FALSE),"-")</f>
        <v>-</v>
      </c>
      <c r="M69" s="91" t="str">
        <f>IFERROR(VLOOKUP($E$4&amp;$A69,'Data Induk Pegawai'!$A:$Z,M$6,FALSE),"-")</f>
        <v>-</v>
      </c>
      <c r="N69" s="54" t="str">
        <f>IFERROR(VLOOKUP($E$4&amp;$A69,'Data Induk Pegawai'!$A:$Z,N$6,FALSE),"-")</f>
        <v>-</v>
      </c>
      <c r="O69" s="54" t="str">
        <f>IFERROR(VLOOKUP($E$4&amp;$A69,'Data Induk Pegawai'!$A:$Z,O$6,FALSE),"-")</f>
        <v>-</v>
      </c>
      <c r="P69" s="54" t="str">
        <f>IFERROR(VLOOKUP($E$4&amp;$A69,'Data Induk Pegawai'!$A:$Z,P$6,FALSE),"-")</f>
        <v>-</v>
      </c>
      <c r="Q69" s="53" t="str">
        <f>IFERROR(VLOOKUP($E$4&amp;$A69,'Data Induk Pegawai'!$A:$Z,Q$6,FALSE),"-")</f>
        <v>-</v>
      </c>
      <c r="R69" s="54" t="str">
        <f>IFERROR(VLOOKUP($E$4&amp;$A69,'Data Induk Pegawai'!$A:$Z,R$6,FALSE),"-")</f>
        <v>-</v>
      </c>
      <c r="S69" s="54" t="str">
        <f>IFERROR(VLOOKUP($E$4&amp;$A69,'Data Induk Pegawai'!$A:$Z,S$6,FALSE),"-")</f>
        <v>-</v>
      </c>
      <c r="T69" s="53" t="str">
        <f>IFERROR(VLOOKUP($E$4&amp;$A69,'Data Induk Pegawai'!$A:$Z,T$6,FALSE),"-")</f>
        <v>-</v>
      </c>
      <c r="U69" s="53" t="str">
        <f>IFERROR(VLOOKUP($E$4&amp;$A69,'Data Induk Pegawai'!$A:$Z,U$6,FALSE),"-")</f>
        <v>-</v>
      </c>
      <c r="V69" s="53" t="str">
        <f>IFERROR(VLOOKUP($E$4&amp;$A69,'Data Induk Pegawai'!$A:$Z,V$6,FALSE),"-")</f>
        <v>-</v>
      </c>
    </row>
    <row r="70" spans="1:22" ht="15.5" x14ac:dyDescent="0.35">
      <c r="A70" s="51">
        <v>62</v>
      </c>
      <c r="B70" s="52" t="str">
        <f>IFERROR(VLOOKUP($E$4&amp;$A70,'Data Induk Pegawai'!$A:$Z,B$6,FALSE),"-")</f>
        <v>-</v>
      </c>
      <c r="C70" s="53" t="str">
        <f>IFERROR(VLOOKUP($E$4&amp;$A70,'Data Induk Pegawai'!$A:$Z,C$6,FALSE),"-")</f>
        <v>-</v>
      </c>
      <c r="D70" s="53" t="str">
        <f>IFERROR(VLOOKUP($E$4&amp;$A70,'Data Induk Pegawai'!$A:$Z,D$6,FALSE),"-")</f>
        <v>-</v>
      </c>
      <c r="E70" s="150" t="str">
        <f>IFERROR(VLOOKUP($E$4&amp;$A70,'Data Induk Pegawai'!$A:$Z,E$6,FALSE),"-")</f>
        <v>-</v>
      </c>
      <c r="F70" s="150" t="str">
        <f>IFERROR(VLOOKUP($E$4&amp;$A70,'Data Induk Pegawai'!$A:$Z,F$6,FALSE),"-")</f>
        <v>-</v>
      </c>
      <c r="G70" s="53" t="str">
        <f>IFERROR(VLOOKUP($E$4&amp;$A70,'Data Induk Pegawai'!$A:$Z,G$6,FALSE),"-")</f>
        <v>-</v>
      </c>
      <c r="H70" s="53" t="str">
        <f>IFERROR(LEFT(VLOOKUP($E$4&amp;$A70,'Data Induk Pegawai'!$A:$Z,H$6,FALSE),3),"-")</f>
        <v>-</v>
      </c>
      <c r="I70" s="53" t="str">
        <f>IFERROR(VLOOKUP($E$4&amp;$A70,'Data Induk Pegawai'!$A:$Z,I$6,FALSE),"-")</f>
        <v>-</v>
      </c>
      <c r="J70" s="91" t="str">
        <f>IFERROR(VLOOKUP($E$4&amp;$A70,'Data Induk Pegawai'!$A:$Z,J$6,FALSE),"-")</f>
        <v>-</v>
      </c>
      <c r="K70" s="54" t="str">
        <f>IFERROR(VLOOKUP($E$4&amp;$A70,'Data Induk Pegawai'!$A:$Z,K$6,FALSE),"-")</f>
        <v>-</v>
      </c>
      <c r="L70" s="54" t="str">
        <f>IFERROR(VLOOKUP($E$4&amp;$A70,'Data Induk Pegawai'!$A:$Z,L$6,FALSE),"-")</f>
        <v>-</v>
      </c>
      <c r="M70" s="91" t="str">
        <f>IFERROR(VLOOKUP($E$4&amp;$A70,'Data Induk Pegawai'!$A:$Z,M$6,FALSE),"-")</f>
        <v>-</v>
      </c>
      <c r="N70" s="54" t="str">
        <f>IFERROR(VLOOKUP($E$4&amp;$A70,'Data Induk Pegawai'!$A:$Z,N$6,FALSE),"-")</f>
        <v>-</v>
      </c>
      <c r="O70" s="54" t="str">
        <f>IFERROR(VLOOKUP($E$4&amp;$A70,'Data Induk Pegawai'!$A:$Z,O$6,FALSE),"-")</f>
        <v>-</v>
      </c>
      <c r="P70" s="54" t="str">
        <f>IFERROR(VLOOKUP($E$4&amp;$A70,'Data Induk Pegawai'!$A:$Z,P$6,FALSE),"-")</f>
        <v>-</v>
      </c>
      <c r="Q70" s="53" t="str">
        <f>IFERROR(VLOOKUP($E$4&amp;$A70,'Data Induk Pegawai'!$A:$Z,Q$6,FALSE),"-")</f>
        <v>-</v>
      </c>
      <c r="R70" s="54" t="str">
        <f>IFERROR(VLOOKUP($E$4&amp;$A70,'Data Induk Pegawai'!$A:$Z,R$6,FALSE),"-")</f>
        <v>-</v>
      </c>
      <c r="S70" s="54" t="str">
        <f>IFERROR(VLOOKUP($E$4&amp;$A70,'Data Induk Pegawai'!$A:$Z,S$6,FALSE),"-")</f>
        <v>-</v>
      </c>
      <c r="T70" s="53" t="str">
        <f>IFERROR(VLOOKUP($E$4&amp;$A70,'Data Induk Pegawai'!$A:$Z,T$6,FALSE),"-")</f>
        <v>-</v>
      </c>
      <c r="U70" s="53" t="str">
        <f>IFERROR(VLOOKUP($E$4&amp;$A70,'Data Induk Pegawai'!$A:$Z,U$6,FALSE),"-")</f>
        <v>-</v>
      </c>
      <c r="V70" s="53" t="str">
        <f>IFERROR(VLOOKUP($E$4&amp;$A70,'Data Induk Pegawai'!$A:$Z,V$6,FALSE),"-")</f>
        <v>-</v>
      </c>
    </row>
    <row r="71" spans="1:22" ht="15.5" x14ac:dyDescent="0.35">
      <c r="A71" s="51">
        <v>63</v>
      </c>
      <c r="B71" s="52" t="str">
        <f>IFERROR(VLOOKUP($E$4&amp;$A71,'Data Induk Pegawai'!$A:$Z,B$6,FALSE),"-")</f>
        <v>-</v>
      </c>
      <c r="C71" s="53" t="str">
        <f>IFERROR(VLOOKUP($E$4&amp;$A71,'Data Induk Pegawai'!$A:$Z,C$6,FALSE),"-")</f>
        <v>-</v>
      </c>
      <c r="D71" s="53" t="str">
        <f>IFERROR(VLOOKUP($E$4&amp;$A71,'Data Induk Pegawai'!$A:$Z,D$6,FALSE),"-")</f>
        <v>-</v>
      </c>
      <c r="E71" s="150" t="str">
        <f>IFERROR(VLOOKUP($E$4&amp;$A71,'Data Induk Pegawai'!$A:$Z,E$6,FALSE),"-")</f>
        <v>-</v>
      </c>
      <c r="F71" s="150" t="str">
        <f>IFERROR(VLOOKUP($E$4&amp;$A71,'Data Induk Pegawai'!$A:$Z,F$6,FALSE),"-")</f>
        <v>-</v>
      </c>
      <c r="G71" s="53" t="str">
        <f>IFERROR(VLOOKUP($E$4&amp;$A71,'Data Induk Pegawai'!$A:$Z,G$6,FALSE),"-")</f>
        <v>-</v>
      </c>
      <c r="H71" s="53" t="str">
        <f>IFERROR(LEFT(VLOOKUP($E$4&amp;$A71,'Data Induk Pegawai'!$A:$Z,H$6,FALSE),3),"-")</f>
        <v>-</v>
      </c>
      <c r="I71" s="53" t="str">
        <f>IFERROR(VLOOKUP($E$4&amp;$A71,'Data Induk Pegawai'!$A:$Z,I$6,FALSE),"-")</f>
        <v>-</v>
      </c>
      <c r="J71" s="91" t="str">
        <f>IFERROR(VLOOKUP($E$4&amp;$A71,'Data Induk Pegawai'!$A:$Z,J$6,FALSE),"-")</f>
        <v>-</v>
      </c>
      <c r="K71" s="54" t="str">
        <f>IFERROR(VLOOKUP($E$4&amp;$A71,'Data Induk Pegawai'!$A:$Z,K$6,FALSE),"-")</f>
        <v>-</v>
      </c>
      <c r="L71" s="54" t="str">
        <f>IFERROR(VLOOKUP($E$4&amp;$A71,'Data Induk Pegawai'!$A:$Z,L$6,FALSE),"-")</f>
        <v>-</v>
      </c>
      <c r="M71" s="91" t="str">
        <f>IFERROR(VLOOKUP($E$4&amp;$A71,'Data Induk Pegawai'!$A:$Z,M$6,FALSE),"-")</f>
        <v>-</v>
      </c>
      <c r="N71" s="54" t="str">
        <f>IFERROR(VLOOKUP($E$4&amp;$A71,'Data Induk Pegawai'!$A:$Z,N$6,FALSE),"-")</f>
        <v>-</v>
      </c>
      <c r="O71" s="54" t="str">
        <f>IFERROR(VLOOKUP($E$4&amp;$A71,'Data Induk Pegawai'!$A:$Z,O$6,FALSE),"-")</f>
        <v>-</v>
      </c>
      <c r="P71" s="54" t="str">
        <f>IFERROR(VLOOKUP($E$4&amp;$A71,'Data Induk Pegawai'!$A:$Z,P$6,FALSE),"-")</f>
        <v>-</v>
      </c>
      <c r="Q71" s="53" t="str">
        <f>IFERROR(VLOOKUP($E$4&amp;$A71,'Data Induk Pegawai'!$A:$Z,Q$6,FALSE),"-")</f>
        <v>-</v>
      </c>
      <c r="R71" s="54" t="str">
        <f>IFERROR(VLOOKUP($E$4&amp;$A71,'Data Induk Pegawai'!$A:$Z,R$6,FALSE),"-")</f>
        <v>-</v>
      </c>
      <c r="S71" s="54" t="str">
        <f>IFERROR(VLOOKUP($E$4&amp;$A71,'Data Induk Pegawai'!$A:$Z,S$6,FALSE),"-")</f>
        <v>-</v>
      </c>
      <c r="T71" s="53" t="str">
        <f>IFERROR(VLOOKUP($E$4&amp;$A71,'Data Induk Pegawai'!$A:$Z,T$6,FALSE),"-")</f>
        <v>-</v>
      </c>
      <c r="U71" s="53" t="str">
        <f>IFERROR(VLOOKUP($E$4&amp;$A71,'Data Induk Pegawai'!$A:$Z,U$6,FALSE),"-")</f>
        <v>-</v>
      </c>
      <c r="V71" s="53" t="str">
        <f>IFERROR(VLOOKUP($E$4&amp;$A71,'Data Induk Pegawai'!$A:$Z,V$6,FALSE),"-")</f>
        <v>-</v>
      </c>
    </row>
    <row r="72" spans="1:22" ht="15.5" x14ac:dyDescent="0.35">
      <c r="A72" s="51">
        <v>64</v>
      </c>
      <c r="B72" s="52" t="str">
        <f>IFERROR(VLOOKUP($E$4&amp;$A72,'Data Induk Pegawai'!$A:$Z,B$6,FALSE),"-")</f>
        <v>-</v>
      </c>
      <c r="C72" s="53" t="str">
        <f>IFERROR(VLOOKUP($E$4&amp;$A72,'Data Induk Pegawai'!$A:$Z,C$6,FALSE),"-")</f>
        <v>-</v>
      </c>
      <c r="D72" s="53" t="str">
        <f>IFERROR(VLOOKUP($E$4&amp;$A72,'Data Induk Pegawai'!$A:$Z,D$6,FALSE),"-")</f>
        <v>-</v>
      </c>
      <c r="E72" s="150" t="str">
        <f>IFERROR(VLOOKUP($E$4&amp;$A72,'Data Induk Pegawai'!$A:$Z,E$6,FALSE),"-")</f>
        <v>-</v>
      </c>
      <c r="F72" s="150" t="str">
        <f>IFERROR(VLOOKUP($E$4&amp;$A72,'Data Induk Pegawai'!$A:$Z,F$6,FALSE),"-")</f>
        <v>-</v>
      </c>
      <c r="G72" s="53" t="str">
        <f>IFERROR(VLOOKUP($E$4&amp;$A72,'Data Induk Pegawai'!$A:$Z,G$6,FALSE),"-")</f>
        <v>-</v>
      </c>
      <c r="H72" s="53" t="str">
        <f>IFERROR(LEFT(VLOOKUP($E$4&amp;$A72,'Data Induk Pegawai'!$A:$Z,H$6,FALSE),3),"-")</f>
        <v>-</v>
      </c>
      <c r="I72" s="53" t="str">
        <f>IFERROR(VLOOKUP($E$4&amp;$A72,'Data Induk Pegawai'!$A:$Z,I$6,FALSE),"-")</f>
        <v>-</v>
      </c>
      <c r="J72" s="91" t="str">
        <f>IFERROR(VLOOKUP($E$4&amp;$A72,'Data Induk Pegawai'!$A:$Z,J$6,FALSE),"-")</f>
        <v>-</v>
      </c>
      <c r="K72" s="54" t="str">
        <f>IFERROR(VLOOKUP($E$4&amp;$A72,'Data Induk Pegawai'!$A:$Z,K$6,FALSE),"-")</f>
        <v>-</v>
      </c>
      <c r="L72" s="54" t="str">
        <f>IFERROR(VLOOKUP($E$4&amp;$A72,'Data Induk Pegawai'!$A:$Z,L$6,FALSE),"-")</f>
        <v>-</v>
      </c>
      <c r="M72" s="91" t="str">
        <f>IFERROR(VLOOKUP($E$4&amp;$A72,'Data Induk Pegawai'!$A:$Z,M$6,FALSE),"-")</f>
        <v>-</v>
      </c>
      <c r="N72" s="54" t="str">
        <f>IFERROR(VLOOKUP($E$4&amp;$A72,'Data Induk Pegawai'!$A:$Z,N$6,FALSE),"-")</f>
        <v>-</v>
      </c>
      <c r="O72" s="54" t="str">
        <f>IFERROR(VLOOKUP($E$4&amp;$A72,'Data Induk Pegawai'!$A:$Z,O$6,FALSE),"-")</f>
        <v>-</v>
      </c>
      <c r="P72" s="54" t="str">
        <f>IFERROR(VLOOKUP($E$4&amp;$A72,'Data Induk Pegawai'!$A:$Z,P$6,FALSE),"-")</f>
        <v>-</v>
      </c>
      <c r="Q72" s="53" t="str">
        <f>IFERROR(VLOOKUP($E$4&amp;$A72,'Data Induk Pegawai'!$A:$Z,Q$6,FALSE),"-")</f>
        <v>-</v>
      </c>
      <c r="R72" s="54" t="str">
        <f>IFERROR(VLOOKUP($E$4&amp;$A72,'Data Induk Pegawai'!$A:$Z,R$6,FALSE),"-")</f>
        <v>-</v>
      </c>
      <c r="S72" s="54" t="str">
        <f>IFERROR(VLOOKUP($E$4&amp;$A72,'Data Induk Pegawai'!$A:$Z,S$6,FALSE),"-")</f>
        <v>-</v>
      </c>
      <c r="T72" s="53" t="str">
        <f>IFERROR(VLOOKUP($E$4&amp;$A72,'Data Induk Pegawai'!$A:$Z,T$6,FALSE),"-")</f>
        <v>-</v>
      </c>
      <c r="U72" s="53" t="str">
        <f>IFERROR(VLOOKUP($E$4&amp;$A72,'Data Induk Pegawai'!$A:$Z,U$6,FALSE),"-")</f>
        <v>-</v>
      </c>
      <c r="V72" s="53" t="str">
        <f>IFERROR(VLOOKUP($E$4&amp;$A72,'Data Induk Pegawai'!$A:$Z,V$6,FALSE),"-")</f>
        <v>-</v>
      </c>
    </row>
    <row r="73" spans="1:22" ht="15.5" x14ac:dyDescent="0.35">
      <c r="A73" s="51">
        <v>65</v>
      </c>
      <c r="B73" s="52" t="str">
        <f>IFERROR(VLOOKUP($E$4&amp;$A73,'Data Induk Pegawai'!$A:$Z,B$6,FALSE),"-")</f>
        <v>-</v>
      </c>
      <c r="C73" s="53" t="str">
        <f>IFERROR(VLOOKUP($E$4&amp;$A73,'Data Induk Pegawai'!$A:$Z,C$6,FALSE),"-")</f>
        <v>-</v>
      </c>
      <c r="D73" s="53" t="str">
        <f>IFERROR(VLOOKUP($E$4&amp;$A73,'Data Induk Pegawai'!$A:$Z,D$6,FALSE),"-")</f>
        <v>-</v>
      </c>
      <c r="E73" s="150" t="str">
        <f>IFERROR(VLOOKUP($E$4&amp;$A73,'Data Induk Pegawai'!$A:$Z,E$6,FALSE),"-")</f>
        <v>-</v>
      </c>
      <c r="F73" s="150" t="str">
        <f>IFERROR(VLOOKUP($E$4&amp;$A73,'Data Induk Pegawai'!$A:$Z,F$6,FALSE),"-")</f>
        <v>-</v>
      </c>
      <c r="G73" s="53" t="str">
        <f>IFERROR(VLOOKUP($E$4&amp;$A73,'Data Induk Pegawai'!$A:$Z,G$6,FALSE),"-")</f>
        <v>-</v>
      </c>
      <c r="H73" s="53" t="str">
        <f>IFERROR(LEFT(VLOOKUP($E$4&amp;$A73,'Data Induk Pegawai'!$A:$Z,H$6,FALSE),3),"-")</f>
        <v>-</v>
      </c>
      <c r="I73" s="53" t="str">
        <f>IFERROR(VLOOKUP($E$4&amp;$A73,'Data Induk Pegawai'!$A:$Z,I$6,FALSE),"-")</f>
        <v>-</v>
      </c>
      <c r="J73" s="91" t="str">
        <f>IFERROR(VLOOKUP($E$4&amp;$A73,'Data Induk Pegawai'!$A:$Z,J$6,FALSE),"-")</f>
        <v>-</v>
      </c>
      <c r="K73" s="54" t="str">
        <f>IFERROR(VLOOKUP($E$4&amp;$A73,'Data Induk Pegawai'!$A:$Z,K$6,FALSE),"-")</f>
        <v>-</v>
      </c>
      <c r="L73" s="54" t="str">
        <f>IFERROR(VLOOKUP($E$4&amp;$A73,'Data Induk Pegawai'!$A:$Z,L$6,FALSE),"-")</f>
        <v>-</v>
      </c>
      <c r="M73" s="91" t="str">
        <f>IFERROR(VLOOKUP($E$4&amp;$A73,'Data Induk Pegawai'!$A:$Z,M$6,FALSE),"-")</f>
        <v>-</v>
      </c>
      <c r="N73" s="54" t="str">
        <f>IFERROR(VLOOKUP($E$4&amp;$A73,'Data Induk Pegawai'!$A:$Z,N$6,FALSE),"-")</f>
        <v>-</v>
      </c>
      <c r="O73" s="54" t="str">
        <f>IFERROR(VLOOKUP($E$4&amp;$A73,'Data Induk Pegawai'!$A:$Z,O$6,FALSE),"-")</f>
        <v>-</v>
      </c>
      <c r="P73" s="54" t="str">
        <f>IFERROR(VLOOKUP($E$4&amp;$A73,'Data Induk Pegawai'!$A:$Z,P$6,FALSE),"-")</f>
        <v>-</v>
      </c>
      <c r="Q73" s="53" t="str">
        <f>IFERROR(VLOOKUP($E$4&amp;$A73,'Data Induk Pegawai'!$A:$Z,Q$6,FALSE),"-")</f>
        <v>-</v>
      </c>
      <c r="R73" s="54" t="str">
        <f>IFERROR(VLOOKUP($E$4&amp;$A73,'Data Induk Pegawai'!$A:$Z,R$6,FALSE),"-")</f>
        <v>-</v>
      </c>
      <c r="S73" s="54" t="str">
        <f>IFERROR(VLOOKUP($E$4&amp;$A73,'Data Induk Pegawai'!$A:$Z,S$6,FALSE),"-")</f>
        <v>-</v>
      </c>
      <c r="T73" s="53" t="str">
        <f>IFERROR(VLOOKUP($E$4&amp;$A73,'Data Induk Pegawai'!$A:$Z,T$6,FALSE),"-")</f>
        <v>-</v>
      </c>
      <c r="U73" s="53" t="str">
        <f>IFERROR(VLOOKUP($E$4&amp;$A73,'Data Induk Pegawai'!$A:$Z,U$6,FALSE),"-")</f>
        <v>-</v>
      </c>
      <c r="V73" s="53" t="str">
        <f>IFERROR(VLOOKUP($E$4&amp;$A73,'Data Induk Pegawai'!$A:$Z,V$6,FALSE),"-")</f>
        <v>-</v>
      </c>
    </row>
    <row r="74" spans="1:22" ht="15.5" x14ac:dyDescent="0.35">
      <c r="A74" s="51">
        <v>66</v>
      </c>
      <c r="B74" s="52" t="str">
        <f>IFERROR(VLOOKUP($E$4&amp;$A74,'Data Induk Pegawai'!$A:$Z,B$6,FALSE),"-")</f>
        <v>-</v>
      </c>
      <c r="C74" s="53" t="str">
        <f>IFERROR(VLOOKUP($E$4&amp;$A74,'Data Induk Pegawai'!$A:$Z,C$6,FALSE),"-")</f>
        <v>-</v>
      </c>
      <c r="D74" s="53" t="str">
        <f>IFERROR(VLOOKUP($E$4&amp;$A74,'Data Induk Pegawai'!$A:$Z,D$6,FALSE),"-")</f>
        <v>-</v>
      </c>
      <c r="E74" s="150" t="str">
        <f>IFERROR(VLOOKUP($E$4&amp;$A74,'Data Induk Pegawai'!$A:$Z,E$6,FALSE),"-")</f>
        <v>-</v>
      </c>
      <c r="F74" s="150" t="str">
        <f>IFERROR(VLOOKUP($E$4&amp;$A74,'Data Induk Pegawai'!$A:$Z,F$6,FALSE),"-")</f>
        <v>-</v>
      </c>
      <c r="G74" s="53" t="str">
        <f>IFERROR(VLOOKUP($E$4&amp;$A74,'Data Induk Pegawai'!$A:$Z,G$6,FALSE),"-")</f>
        <v>-</v>
      </c>
      <c r="H74" s="53" t="str">
        <f>IFERROR(LEFT(VLOOKUP($E$4&amp;$A74,'Data Induk Pegawai'!$A:$Z,H$6,FALSE),3),"-")</f>
        <v>-</v>
      </c>
      <c r="I74" s="53" t="str">
        <f>IFERROR(VLOOKUP($E$4&amp;$A74,'Data Induk Pegawai'!$A:$Z,I$6,FALSE),"-")</f>
        <v>-</v>
      </c>
      <c r="J74" s="91" t="str">
        <f>IFERROR(VLOOKUP($E$4&amp;$A74,'Data Induk Pegawai'!$A:$Z,J$6,FALSE),"-")</f>
        <v>-</v>
      </c>
      <c r="K74" s="54" t="str">
        <f>IFERROR(VLOOKUP($E$4&amp;$A74,'Data Induk Pegawai'!$A:$Z,K$6,FALSE),"-")</f>
        <v>-</v>
      </c>
      <c r="L74" s="54" t="str">
        <f>IFERROR(VLOOKUP($E$4&amp;$A74,'Data Induk Pegawai'!$A:$Z,L$6,FALSE),"-")</f>
        <v>-</v>
      </c>
      <c r="M74" s="91" t="str">
        <f>IFERROR(VLOOKUP($E$4&amp;$A74,'Data Induk Pegawai'!$A:$Z,M$6,FALSE),"-")</f>
        <v>-</v>
      </c>
      <c r="N74" s="54" t="str">
        <f>IFERROR(VLOOKUP($E$4&amp;$A74,'Data Induk Pegawai'!$A:$Z,N$6,FALSE),"-")</f>
        <v>-</v>
      </c>
      <c r="O74" s="54" t="str">
        <f>IFERROR(VLOOKUP($E$4&amp;$A74,'Data Induk Pegawai'!$A:$Z,O$6,FALSE),"-")</f>
        <v>-</v>
      </c>
      <c r="P74" s="54" t="str">
        <f>IFERROR(VLOOKUP($E$4&amp;$A74,'Data Induk Pegawai'!$A:$Z,P$6,FALSE),"-")</f>
        <v>-</v>
      </c>
      <c r="Q74" s="53" t="str">
        <f>IFERROR(VLOOKUP($E$4&amp;$A74,'Data Induk Pegawai'!$A:$Z,Q$6,FALSE),"-")</f>
        <v>-</v>
      </c>
      <c r="R74" s="54" t="str">
        <f>IFERROR(VLOOKUP($E$4&amp;$A74,'Data Induk Pegawai'!$A:$Z,R$6,FALSE),"-")</f>
        <v>-</v>
      </c>
      <c r="S74" s="54" t="str">
        <f>IFERROR(VLOOKUP($E$4&amp;$A74,'Data Induk Pegawai'!$A:$Z,S$6,FALSE),"-")</f>
        <v>-</v>
      </c>
      <c r="T74" s="53" t="str">
        <f>IFERROR(VLOOKUP($E$4&amp;$A74,'Data Induk Pegawai'!$A:$Z,T$6,FALSE),"-")</f>
        <v>-</v>
      </c>
      <c r="U74" s="53" t="str">
        <f>IFERROR(VLOOKUP($E$4&amp;$A74,'Data Induk Pegawai'!$A:$Z,U$6,FALSE),"-")</f>
        <v>-</v>
      </c>
      <c r="V74" s="53" t="str">
        <f>IFERROR(VLOOKUP($E$4&amp;$A74,'Data Induk Pegawai'!$A:$Z,V$6,FALSE),"-")</f>
        <v>-</v>
      </c>
    </row>
    <row r="75" spans="1:22" ht="15.5" outlineLevel="1" x14ac:dyDescent="0.35">
      <c r="A75" s="51">
        <v>67</v>
      </c>
      <c r="B75" s="135" t="str">
        <f>IFERROR(VLOOKUP($E$4&amp;$A75,'Data Induk Pegawai'!$A:$Z,B$6,FALSE),"-")</f>
        <v>-</v>
      </c>
      <c r="C75" s="136" t="str">
        <f>IFERROR(VLOOKUP($E$4&amp;$A75,'Data Induk Pegawai'!$A:$Z,C$6,FALSE),"-")</f>
        <v>-</v>
      </c>
      <c r="D75" s="53" t="str">
        <f>IFERROR(VLOOKUP($E$4&amp;$A75,'Data Induk Pegawai'!$A:$Z,D$6,FALSE),"-")</f>
        <v>-</v>
      </c>
      <c r="E75" s="140" t="str">
        <f>IFERROR(VLOOKUP($E$4&amp;$A75,'Data Induk Pegawai'!$A:$Z,E$6,FALSE),"-")</f>
        <v>-</v>
      </c>
      <c r="F75" s="140" t="str">
        <f>IFERROR(VLOOKUP($E$4&amp;$A75,'Data Induk Pegawai'!$A:$Z,F$6,FALSE),"-")</f>
        <v>-</v>
      </c>
      <c r="G75" s="136" t="str">
        <f>IFERROR(VLOOKUP($E$4&amp;$A75,'Data Induk Pegawai'!$A:$Z,G$6,FALSE),"-")</f>
        <v>-</v>
      </c>
      <c r="H75" s="53" t="str">
        <f>IFERROR(LEFT(VLOOKUP($E$4&amp;$A75,'Data Induk Pegawai'!$A:$Z,H$6,FALSE),3),"-")</f>
        <v>-</v>
      </c>
      <c r="I75" s="53" t="str">
        <f>IFERROR(VLOOKUP($E$4&amp;$A75,'Data Induk Pegawai'!$A:$Z,I$6,FALSE),"-")</f>
        <v>-</v>
      </c>
      <c r="J75" s="91" t="str">
        <f>IFERROR(VLOOKUP($E$4&amp;$A75,'Data Induk Pegawai'!$A:$Z,J$6,FALSE),"-")</f>
        <v>-</v>
      </c>
      <c r="K75" s="148" t="str">
        <f>IFERROR(VLOOKUP($E$4&amp;$A75,'Data Induk Pegawai'!$A:$Z,K$6,FALSE),"-")</f>
        <v>-</v>
      </c>
      <c r="L75" s="148" t="str">
        <f>IFERROR(VLOOKUP($E$4&amp;$A75,'Data Induk Pegawai'!$A:$Z,L$6,FALSE),"-")</f>
        <v>-</v>
      </c>
      <c r="M75" s="91" t="str">
        <f>IFERROR(VLOOKUP($E$4&amp;$A75,'Data Induk Pegawai'!$A:$Z,M$6,FALSE),"-")</f>
        <v>-</v>
      </c>
      <c r="N75" s="148" t="str">
        <f>IFERROR(VLOOKUP($E$4&amp;$A75,'Data Induk Pegawai'!$A:$Z,N$6,FALSE),"-")</f>
        <v>-</v>
      </c>
      <c r="O75" s="148" t="str">
        <f>IFERROR(VLOOKUP($E$4&amp;$A75,'Data Induk Pegawai'!$A:$Z,O$6,FALSE),"-")</f>
        <v>-</v>
      </c>
      <c r="P75" s="148" t="str">
        <f>IFERROR(VLOOKUP($E$4&amp;$A75,'Data Induk Pegawai'!$A:$Z,P$6,FALSE),"-")</f>
        <v>-</v>
      </c>
      <c r="Q75" s="136" t="str">
        <f>IFERROR(VLOOKUP($E$4&amp;$A75,'Data Induk Pegawai'!$A:$Z,Q$6,FALSE),"-")</f>
        <v>-</v>
      </c>
      <c r="R75" s="136" t="str">
        <f>IFERROR(VLOOKUP($E$4&amp;$A75,'Data Induk Pegawai'!$A:$Z,R$6,FALSE),"-")</f>
        <v>-</v>
      </c>
      <c r="S75" s="136" t="str">
        <f>IFERROR(VLOOKUP($E$4&amp;$A75,'Data Induk Pegawai'!$A:$Z,S$6,FALSE),"-")</f>
        <v>-</v>
      </c>
      <c r="T75" s="53" t="str">
        <f>IFERROR(VLOOKUP($E$4&amp;$A75,'Data Induk Pegawai'!$A:$Z,T$6,FALSE),"-")</f>
        <v>-</v>
      </c>
      <c r="U75" s="53" t="str">
        <f>IFERROR(VLOOKUP($E$4&amp;$A75,'Data Induk Pegawai'!$A:$Z,U$6,FALSE),"-")</f>
        <v>-</v>
      </c>
      <c r="V75" s="53" t="str">
        <f>IFERROR(VLOOKUP($E$4&amp;$A75,'Data Induk Pegawai'!$A:$Z,V$6,FALSE),"-")</f>
        <v>-</v>
      </c>
    </row>
    <row r="76" spans="1:22" ht="15.5" outlineLevel="1" x14ac:dyDescent="0.35">
      <c r="A76" s="51">
        <v>68</v>
      </c>
      <c r="B76" s="135" t="str">
        <f>IFERROR(VLOOKUP($E$4&amp;$A76,'Data Induk Pegawai'!$A:$Z,B$6,FALSE),"-")</f>
        <v>-</v>
      </c>
      <c r="C76" s="136" t="str">
        <f>IFERROR(VLOOKUP($E$4&amp;$A76,'Data Induk Pegawai'!$A:$Z,C$6,FALSE),"-")</f>
        <v>-</v>
      </c>
      <c r="D76" s="53" t="str">
        <f>IFERROR(VLOOKUP($E$4&amp;$A76,'Data Induk Pegawai'!$A:$Z,D$6,FALSE),"-")</f>
        <v>-</v>
      </c>
      <c r="E76" s="140" t="str">
        <f>IFERROR(VLOOKUP($E$4&amp;$A76,'Data Induk Pegawai'!$A:$Z,E$6,FALSE),"-")</f>
        <v>-</v>
      </c>
      <c r="F76" s="140" t="str">
        <f>IFERROR(VLOOKUP($E$4&amp;$A76,'Data Induk Pegawai'!$A:$Z,F$6,FALSE),"-")</f>
        <v>-</v>
      </c>
      <c r="G76" s="136" t="str">
        <f>IFERROR(VLOOKUP($E$4&amp;$A76,'Data Induk Pegawai'!$A:$Z,G$6,FALSE),"-")</f>
        <v>-</v>
      </c>
      <c r="H76" s="53" t="str">
        <f>IFERROR(LEFT(VLOOKUP($E$4&amp;$A76,'Data Induk Pegawai'!$A:$Z,H$6,FALSE),3),"-")</f>
        <v>-</v>
      </c>
      <c r="I76" s="53" t="str">
        <f>IFERROR(VLOOKUP($E$4&amp;$A76,'Data Induk Pegawai'!$A:$Z,I$6,FALSE),"-")</f>
        <v>-</v>
      </c>
      <c r="J76" s="91" t="str">
        <f>IFERROR(VLOOKUP($E$4&amp;$A76,'Data Induk Pegawai'!$A:$Z,J$6,FALSE),"-")</f>
        <v>-</v>
      </c>
      <c r="K76" s="148" t="str">
        <f>IFERROR(VLOOKUP($E$4&amp;$A76,'Data Induk Pegawai'!$A:$Z,K$6,FALSE),"-")</f>
        <v>-</v>
      </c>
      <c r="L76" s="148" t="str">
        <f>IFERROR(VLOOKUP($E$4&amp;$A76,'Data Induk Pegawai'!$A:$Z,L$6,FALSE),"-")</f>
        <v>-</v>
      </c>
      <c r="M76" s="91" t="str">
        <f>IFERROR(VLOOKUP($E$4&amp;$A76,'Data Induk Pegawai'!$A:$Z,M$6,FALSE),"-")</f>
        <v>-</v>
      </c>
      <c r="N76" s="148" t="str">
        <f>IFERROR(VLOOKUP($E$4&amp;$A76,'Data Induk Pegawai'!$A:$Z,N$6,FALSE),"-")</f>
        <v>-</v>
      </c>
      <c r="O76" s="148" t="str">
        <f>IFERROR(VLOOKUP($E$4&amp;$A76,'Data Induk Pegawai'!$A:$Z,O$6,FALSE),"-")</f>
        <v>-</v>
      </c>
      <c r="P76" s="148" t="str">
        <f>IFERROR(VLOOKUP($E$4&amp;$A76,'Data Induk Pegawai'!$A:$Z,P$6,FALSE),"-")</f>
        <v>-</v>
      </c>
      <c r="Q76" s="136" t="str">
        <f>IFERROR(VLOOKUP($E$4&amp;$A76,'Data Induk Pegawai'!$A:$Z,Q$6,FALSE),"-")</f>
        <v>-</v>
      </c>
      <c r="R76" s="136" t="str">
        <f>IFERROR(VLOOKUP($E$4&amp;$A76,'Data Induk Pegawai'!$A:$Z,R$6,FALSE),"-")</f>
        <v>-</v>
      </c>
      <c r="S76" s="136" t="str">
        <f>IFERROR(VLOOKUP($E$4&amp;$A76,'Data Induk Pegawai'!$A:$Z,S$6,FALSE),"-")</f>
        <v>-</v>
      </c>
      <c r="T76" s="53" t="str">
        <f>IFERROR(VLOOKUP($E$4&amp;$A76,'Data Induk Pegawai'!$A:$Z,T$6,FALSE),"-")</f>
        <v>-</v>
      </c>
      <c r="U76" s="53" t="str">
        <f>IFERROR(VLOOKUP($E$4&amp;$A76,'Data Induk Pegawai'!$A:$Z,U$6,FALSE),"-")</f>
        <v>-</v>
      </c>
      <c r="V76" s="53" t="str">
        <f>IFERROR(VLOOKUP($E$4&amp;$A76,'Data Induk Pegawai'!$A:$Z,V$6,FALSE),"-")</f>
        <v>-</v>
      </c>
    </row>
    <row r="77" spans="1:22" ht="15.5" outlineLevel="1" x14ac:dyDescent="0.35">
      <c r="A77" s="51">
        <v>69</v>
      </c>
      <c r="B77" s="135" t="str">
        <f>IFERROR(VLOOKUP($E$4&amp;$A77,'Data Induk Pegawai'!$A:$Z,B$6,FALSE),"-")</f>
        <v>-</v>
      </c>
      <c r="C77" s="136" t="str">
        <f>IFERROR(VLOOKUP($E$4&amp;$A77,'Data Induk Pegawai'!$A:$Z,C$6,FALSE),"-")</f>
        <v>-</v>
      </c>
      <c r="D77" s="53" t="str">
        <f>IFERROR(VLOOKUP($E$4&amp;$A77,'Data Induk Pegawai'!$A:$Z,D$6,FALSE),"-")</f>
        <v>-</v>
      </c>
      <c r="E77" s="140" t="str">
        <f>IFERROR(VLOOKUP($E$4&amp;$A77,'Data Induk Pegawai'!$A:$Z,E$6,FALSE),"-")</f>
        <v>-</v>
      </c>
      <c r="F77" s="140" t="str">
        <f>IFERROR(VLOOKUP($E$4&amp;$A77,'Data Induk Pegawai'!$A:$Z,F$6,FALSE),"-")</f>
        <v>-</v>
      </c>
      <c r="G77" s="136" t="str">
        <f>IFERROR(VLOOKUP($E$4&amp;$A77,'Data Induk Pegawai'!$A:$Z,G$6,FALSE),"-")</f>
        <v>-</v>
      </c>
      <c r="H77" s="53" t="str">
        <f>IFERROR(LEFT(VLOOKUP($E$4&amp;$A77,'Data Induk Pegawai'!$A:$Z,H$6,FALSE),3),"-")</f>
        <v>-</v>
      </c>
      <c r="I77" s="53" t="str">
        <f>IFERROR(VLOOKUP($E$4&amp;$A77,'Data Induk Pegawai'!$A:$Z,I$6,FALSE),"-")</f>
        <v>-</v>
      </c>
      <c r="J77" s="91" t="str">
        <f>IFERROR(VLOOKUP($E$4&amp;$A77,'Data Induk Pegawai'!$A:$Z,J$6,FALSE),"-")</f>
        <v>-</v>
      </c>
      <c r="K77" s="148" t="str">
        <f>IFERROR(VLOOKUP($E$4&amp;$A77,'Data Induk Pegawai'!$A:$Z,K$6,FALSE),"-")</f>
        <v>-</v>
      </c>
      <c r="L77" s="148" t="str">
        <f>IFERROR(VLOOKUP($E$4&amp;$A77,'Data Induk Pegawai'!$A:$Z,L$6,FALSE),"-")</f>
        <v>-</v>
      </c>
      <c r="M77" s="91" t="str">
        <f>IFERROR(VLOOKUP($E$4&amp;$A77,'Data Induk Pegawai'!$A:$Z,M$6,FALSE),"-")</f>
        <v>-</v>
      </c>
      <c r="N77" s="148" t="str">
        <f>IFERROR(VLOOKUP($E$4&amp;$A77,'Data Induk Pegawai'!$A:$Z,N$6,FALSE),"-")</f>
        <v>-</v>
      </c>
      <c r="O77" s="148" t="str">
        <f>IFERROR(VLOOKUP($E$4&amp;$A77,'Data Induk Pegawai'!$A:$Z,O$6,FALSE),"-")</f>
        <v>-</v>
      </c>
      <c r="P77" s="148" t="str">
        <f>IFERROR(VLOOKUP($E$4&amp;$A77,'Data Induk Pegawai'!$A:$Z,P$6,FALSE),"-")</f>
        <v>-</v>
      </c>
      <c r="Q77" s="136" t="str">
        <f>IFERROR(VLOOKUP($E$4&amp;$A77,'Data Induk Pegawai'!$A:$Z,Q$6,FALSE),"-")</f>
        <v>-</v>
      </c>
      <c r="R77" s="136" t="str">
        <f>IFERROR(VLOOKUP($E$4&amp;$A77,'Data Induk Pegawai'!$A:$Z,R$6,FALSE),"-")</f>
        <v>-</v>
      </c>
      <c r="S77" s="136" t="str">
        <f>IFERROR(VLOOKUP($E$4&amp;$A77,'Data Induk Pegawai'!$A:$Z,S$6,FALSE),"-")</f>
        <v>-</v>
      </c>
      <c r="T77" s="53" t="str">
        <f>IFERROR(VLOOKUP($E$4&amp;$A77,'Data Induk Pegawai'!$A:$Z,T$6,FALSE),"-")</f>
        <v>-</v>
      </c>
      <c r="U77" s="53" t="str">
        <f>IFERROR(VLOOKUP($E$4&amp;$A77,'Data Induk Pegawai'!$A:$Z,U$6,FALSE),"-")</f>
        <v>-</v>
      </c>
      <c r="V77" s="53" t="str">
        <f>IFERROR(VLOOKUP($E$4&amp;$A77,'Data Induk Pegawai'!$A:$Z,V$6,FALSE),"-")</f>
        <v>-</v>
      </c>
    </row>
    <row r="78" spans="1:22" ht="15.5" outlineLevel="1" x14ac:dyDescent="0.35">
      <c r="A78" s="51">
        <v>70</v>
      </c>
      <c r="B78" s="135" t="str">
        <f>IFERROR(VLOOKUP($E$4&amp;$A78,'Data Induk Pegawai'!$A:$Z,B$6,FALSE),"-")</f>
        <v>-</v>
      </c>
      <c r="C78" s="136" t="str">
        <f>IFERROR(VLOOKUP($E$4&amp;$A78,'Data Induk Pegawai'!$A:$Z,C$6,FALSE),"-")</f>
        <v>-</v>
      </c>
      <c r="D78" s="53" t="str">
        <f>IFERROR(VLOOKUP($E$4&amp;$A78,'Data Induk Pegawai'!$A:$Z,D$6,FALSE),"-")</f>
        <v>-</v>
      </c>
      <c r="E78" s="140" t="str">
        <f>IFERROR(VLOOKUP($E$4&amp;$A78,'Data Induk Pegawai'!$A:$Z,E$6,FALSE),"-")</f>
        <v>-</v>
      </c>
      <c r="F78" s="140" t="str">
        <f>IFERROR(VLOOKUP($E$4&amp;$A78,'Data Induk Pegawai'!$A:$Z,F$6,FALSE),"-")</f>
        <v>-</v>
      </c>
      <c r="G78" s="136" t="str">
        <f>IFERROR(VLOOKUP($E$4&amp;$A78,'Data Induk Pegawai'!$A:$Z,G$6,FALSE),"-")</f>
        <v>-</v>
      </c>
      <c r="H78" s="53" t="str">
        <f>IFERROR(LEFT(VLOOKUP($E$4&amp;$A78,'Data Induk Pegawai'!$A:$Z,H$6,FALSE),3),"-")</f>
        <v>-</v>
      </c>
      <c r="I78" s="53" t="str">
        <f>IFERROR(VLOOKUP($E$4&amp;$A78,'Data Induk Pegawai'!$A:$Z,I$6,FALSE),"-")</f>
        <v>-</v>
      </c>
      <c r="J78" s="91" t="str">
        <f>IFERROR(VLOOKUP($E$4&amp;$A78,'Data Induk Pegawai'!$A:$Z,J$6,FALSE),"-")</f>
        <v>-</v>
      </c>
      <c r="K78" s="148" t="str">
        <f>IFERROR(VLOOKUP($E$4&amp;$A78,'Data Induk Pegawai'!$A:$Z,K$6,FALSE),"-")</f>
        <v>-</v>
      </c>
      <c r="L78" s="148" t="str">
        <f>IFERROR(VLOOKUP($E$4&amp;$A78,'Data Induk Pegawai'!$A:$Z,L$6,FALSE),"-")</f>
        <v>-</v>
      </c>
      <c r="M78" s="91" t="str">
        <f>IFERROR(VLOOKUP($E$4&amp;$A78,'Data Induk Pegawai'!$A:$Z,M$6,FALSE),"-")</f>
        <v>-</v>
      </c>
      <c r="N78" s="148" t="str">
        <f>IFERROR(VLOOKUP($E$4&amp;$A78,'Data Induk Pegawai'!$A:$Z,N$6,FALSE),"-")</f>
        <v>-</v>
      </c>
      <c r="O78" s="148" t="str">
        <f>IFERROR(VLOOKUP($E$4&amp;$A78,'Data Induk Pegawai'!$A:$Z,O$6,FALSE),"-")</f>
        <v>-</v>
      </c>
      <c r="P78" s="148" t="str">
        <f>IFERROR(VLOOKUP($E$4&amp;$A78,'Data Induk Pegawai'!$A:$Z,P$6,FALSE),"-")</f>
        <v>-</v>
      </c>
      <c r="Q78" s="136" t="str">
        <f>IFERROR(VLOOKUP($E$4&amp;$A78,'Data Induk Pegawai'!$A:$Z,Q$6,FALSE),"-")</f>
        <v>-</v>
      </c>
      <c r="R78" s="136" t="str">
        <f>IFERROR(VLOOKUP($E$4&amp;$A78,'Data Induk Pegawai'!$A:$Z,R$6,FALSE),"-")</f>
        <v>-</v>
      </c>
      <c r="S78" s="136" t="str">
        <f>IFERROR(VLOOKUP($E$4&amp;$A78,'Data Induk Pegawai'!$A:$Z,S$6,FALSE),"-")</f>
        <v>-</v>
      </c>
      <c r="T78" s="53" t="str">
        <f>IFERROR(VLOOKUP($E$4&amp;$A78,'Data Induk Pegawai'!$A:$Z,T$6,FALSE),"-")</f>
        <v>-</v>
      </c>
      <c r="U78" s="53" t="str">
        <f>IFERROR(VLOOKUP($E$4&amp;$A78,'Data Induk Pegawai'!$A:$Z,U$6,FALSE),"-")</f>
        <v>-</v>
      </c>
      <c r="V78" s="53" t="str">
        <f>IFERROR(VLOOKUP($E$4&amp;$A78,'Data Induk Pegawai'!$A:$Z,V$6,FALSE),"-")</f>
        <v>-</v>
      </c>
    </row>
    <row r="79" spans="1:22" ht="15.5" outlineLevel="1" x14ac:dyDescent="0.35">
      <c r="A79" s="51">
        <v>71</v>
      </c>
      <c r="B79" s="135" t="str">
        <f>IFERROR(VLOOKUP($E$4&amp;$A79,'Data Induk Pegawai'!$A:$Z,B$6,FALSE),"-")</f>
        <v>-</v>
      </c>
      <c r="C79" s="136" t="str">
        <f>IFERROR(VLOOKUP($E$4&amp;$A79,'Data Induk Pegawai'!$A:$Z,C$6,FALSE),"-")</f>
        <v>-</v>
      </c>
      <c r="D79" s="53" t="str">
        <f>IFERROR(VLOOKUP($E$4&amp;$A79,'Data Induk Pegawai'!$A:$Z,D$6,FALSE),"-")</f>
        <v>-</v>
      </c>
      <c r="E79" s="140" t="str">
        <f>IFERROR(VLOOKUP($E$4&amp;$A79,'Data Induk Pegawai'!$A:$Z,E$6,FALSE),"-")</f>
        <v>-</v>
      </c>
      <c r="F79" s="140" t="str">
        <f>IFERROR(VLOOKUP($E$4&amp;$A79,'Data Induk Pegawai'!$A:$Z,F$6,FALSE),"-")</f>
        <v>-</v>
      </c>
      <c r="G79" s="136" t="str">
        <f>IFERROR(VLOOKUP($E$4&amp;$A79,'Data Induk Pegawai'!$A:$Z,G$6,FALSE),"-")</f>
        <v>-</v>
      </c>
      <c r="H79" s="53" t="str">
        <f>IFERROR(LEFT(VLOOKUP($E$4&amp;$A79,'Data Induk Pegawai'!$A:$Z,H$6,FALSE),3),"-")</f>
        <v>-</v>
      </c>
      <c r="I79" s="53" t="str">
        <f>IFERROR(VLOOKUP($E$4&amp;$A79,'Data Induk Pegawai'!$A:$Z,I$6,FALSE),"-")</f>
        <v>-</v>
      </c>
      <c r="J79" s="91" t="str">
        <f>IFERROR(VLOOKUP($E$4&amp;$A79,'Data Induk Pegawai'!$A:$Z,J$6,FALSE),"-")</f>
        <v>-</v>
      </c>
      <c r="K79" s="148" t="str">
        <f>IFERROR(VLOOKUP($E$4&amp;$A79,'Data Induk Pegawai'!$A:$Z,K$6,FALSE),"-")</f>
        <v>-</v>
      </c>
      <c r="L79" s="148" t="str">
        <f>IFERROR(VLOOKUP($E$4&amp;$A79,'Data Induk Pegawai'!$A:$Z,L$6,FALSE),"-")</f>
        <v>-</v>
      </c>
      <c r="M79" s="91" t="str">
        <f>IFERROR(VLOOKUP($E$4&amp;$A79,'Data Induk Pegawai'!$A:$Z,M$6,FALSE),"-")</f>
        <v>-</v>
      </c>
      <c r="N79" s="148" t="str">
        <f>IFERROR(VLOOKUP($E$4&amp;$A79,'Data Induk Pegawai'!$A:$Z,N$6,FALSE),"-")</f>
        <v>-</v>
      </c>
      <c r="O79" s="148" t="str">
        <f>IFERROR(VLOOKUP($E$4&amp;$A79,'Data Induk Pegawai'!$A:$Z,O$6,FALSE),"-")</f>
        <v>-</v>
      </c>
      <c r="P79" s="148" t="str">
        <f>IFERROR(VLOOKUP($E$4&amp;$A79,'Data Induk Pegawai'!$A:$Z,P$6,FALSE),"-")</f>
        <v>-</v>
      </c>
      <c r="Q79" s="136" t="str">
        <f>IFERROR(VLOOKUP($E$4&amp;$A79,'Data Induk Pegawai'!$A:$Z,Q$6,FALSE),"-")</f>
        <v>-</v>
      </c>
      <c r="R79" s="136" t="str">
        <f>IFERROR(VLOOKUP($E$4&amp;$A79,'Data Induk Pegawai'!$A:$Z,R$6,FALSE),"-")</f>
        <v>-</v>
      </c>
      <c r="S79" s="136" t="str">
        <f>IFERROR(VLOOKUP($E$4&amp;$A79,'Data Induk Pegawai'!$A:$Z,S$6,FALSE),"-")</f>
        <v>-</v>
      </c>
      <c r="T79" s="53" t="str">
        <f>IFERROR(VLOOKUP($E$4&amp;$A79,'Data Induk Pegawai'!$A:$Z,T$6,FALSE),"-")</f>
        <v>-</v>
      </c>
      <c r="U79" s="53" t="str">
        <f>IFERROR(VLOOKUP($E$4&amp;$A79,'Data Induk Pegawai'!$A:$Z,U$6,FALSE),"-")</f>
        <v>-</v>
      </c>
      <c r="V79" s="53" t="str">
        <f>IFERROR(VLOOKUP($E$4&amp;$A79,'Data Induk Pegawai'!$A:$Z,V$6,FALSE),"-")</f>
        <v>-</v>
      </c>
    </row>
    <row r="80" spans="1:22" ht="15.5" outlineLevel="1" x14ac:dyDescent="0.35">
      <c r="A80" s="51">
        <v>72</v>
      </c>
      <c r="B80" s="135" t="str">
        <f>IFERROR(VLOOKUP($E$4&amp;$A80,'Data Induk Pegawai'!$A:$Z,B$6,FALSE),"-")</f>
        <v>-</v>
      </c>
      <c r="C80" s="136" t="str">
        <f>IFERROR(VLOOKUP($E$4&amp;$A80,'Data Induk Pegawai'!$A:$Z,C$6,FALSE),"-")</f>
        <v>-</v>
      </c>
      <c r="D80" s="53" t="str">
        <f>IFERROR(VLOOKUP($E$4&amp;$A80,'Data Induk Pegawai'!$A:$Z,D$6,FALSE),"-")</f>
        <v>-</v>
      </c>
      <c r="E80" s="140" t="str">
        <f>IFERROR(VLOOKUP($E$4&amp;$A80,'Data Induk Pegawai'!$A:$Z,E$6,FALSE),"-")</f>
        <v>-</v>
      </c>
      <c r="F80" s="140" t="str">
        <f>IFERROR(VLOOKUP($E$4&amp;$A80,'Data Induk Pegawai'!$A:$Z,F$6,FALSE),"-")</f>
        <v>-</v>
      </c>
      <c r="G80" s="136" t="str">
        <f>IFERROR(VLOOKUP($E$4&amp;$A80,'Data Induk Pegawai'!$A:$Z,G$6,FALSE),"-")</f>
        <v>-</v>
      </c>
      <c r="H80" s="53" t="str">
        <f>IFERROR(LEFT(VLOOKUP($E$4&amp;$A80,'Data Induk Pegawai'!$A:$Z,H$6,FALSE),3),"-")</f>
        <v>-</v>
      </c>
      <c r="I80" s="53" t="str">
        <f>IFERROR(VLOOKUP($E$4&amp;$A80,'Data Induk Pegawai'!$A:$Z,I$6,FALSE),"-")</f>
        <v>-</v>
      </c>
      <c r="J80" s="91" t="str">
        <f>IFERROR(VLOOKUP($E$4&amp;$A80,'Data Induk Pegawai'!$A:$Z,J$6,FALSE),"-")</f>
        <v>-</v>
      </c>
      <c r="K80" s="148" t="str">
        <f>IFERROR(VLOOKUP($E$4&amp;$A80,'Data Induk Pegawai'!$A:$Z,K$6,FALSE),"-")</f>
        <v>-</v>
      </c>
      <c r="L80" s="148" t="str">
        <f>IFERROR(VLOOKUP($E$4&amp;$A80,'Data Induk Pegawai'!$A:$Z,L$6,FALSE),"-")</f>
        <v>-</v>
      </c>
      <c r="M80" s="91" t="str">
        <f>IFERROR(VLOOKUP($E$4&amp;$A80,'Data Induk Pegawai'!$A:$Z,M$6,FALSE),"-")</f>
        <v>-</v>
      </c>
      <c r="N80" s="148" t="str">
        <f>IFERROR(VLOOKUP($E$4&amp;$A80,'Data Induk Pegawai'!$A:$Z,N$6,FALSE),"-")</f>
        <v>-</v>
      </c>
      <c r="O80" s="148" t="str">
        <f>IFERROR(VLOOKUP($E$4&amp;$A80,'Data Induk Pegawai'!$A:$Z,O$6,FALSE),"-")</f>
        <v>-</v>
      </c>
      <c r="P80" s="148" t="str">
        <f>IFERROR(VLOOKUP($E$4&amp;$A80,'Data Induk Pegawai'!$A:$Z,P$6,FALSE),"-")</f>
        <v>-</v>
      </c>
      <c r="Q80" s="136" t="str">
        <f>IFERROR(VLOOKUP($E$4&amp;$A80,'Data Induk Pegawai'!$A:$Z,Q$6,FALSE),"-")</f>
        <v>-</v>
      </c>
      <c r="R80" s="136" t="str">
        <f>IFERROR(VLOOKUP($E$4&amp;$A80,'Data Induk Pegawai'!$A:$Z,R$6,FALSE),"-")</f>
        <v>-</v>
      </c>
      <c r="S80" s="136" t="str">
        <f>IFERROR(VLOOKUP($E$4&amp;$A80,'Data Induk Pegawai'!$A:$Z,S$6,FALSE),"-")</f>
        <v>-</v>
      </c>
      <c r="T80" s="53" t="str">
        <f>IFERROR(VLOOKUP($E$4&amp;$A80,'Data Induk Pegawai'!$A:$Z,T$6,FALSE),"-")</f>
        <v>-</v>
      </c>
      <c r="U80" s="53" t="str">
        <f>IFERROR(VLOOKUP($E$4&amp;$A80,'Data Induk Pegawai'!$A:$Z,U$6,FALSE),"-")</f>
        <v>-</v>
      </c>
      <c r="V80" s="53" t="str">
        <f>IFERROR(VLOOKUP($E$4&amp;$A80,'Data Induk Pegawai'!$A:$Z,V$6,FALSE),"-")</f>
        <v>-</v>
      </c>
    </row>
    <row r="81" spans="1:22" ht="15.5" outlineLevel="1" x14ac:dyDescent="0.35">
      <c r="A81" s="51">
        <v>73</v>
      </c>
      <c r="B81" s="135" t="str">
        <f>IFERROR(VLOOKUP($E$4&amp;$A81,'Data Induk Pegawai'!$A:$Z,B$6,FALSE),"-")</f>
        <v>-</v>
      </c>
      <c r="C81" s="136" t="str">
        <f>IFERROR(VLOOKUP($E$4&amp;$A81,'Data Induk Pegawai'!$A:$Z,C$6,FALSE),"-")</f>
        <v>-</v>
      </c>
      <c r="D81" s="53" t="str">
        <f>IFERROR(VLOOKUP($E$4&amp;$A81,'Data Induk Pegawai'!$A:$Z,D$6,FALSE),"-")</f>
        <v>-</v>
      </c>
      <c r="E81" s="140" t="str">
        <f>IFERROR(VLOOKUP($E$4&amp;$A81,'Data Induk Pegawai'!$A:$Z,E$6,FALSE),"-")</f>
        <v>-</v>
      </c>
      <c r="F81" s="140" t="str">
        <f>IFERROR(VLOOKUP($E$4&amp;$A81,'Data Induk Pegawai'!$A:$Z,F$6,FALSE),"-")</f>
        <v>-</v>
      </c>
      <c r="G81" s="136" t="str">
        <f>IFERROR(VLOOKUP($E$4&amp;$A81,'Data Induk Pegawai'!$A:$Z,G$6,FALSE),"-")</f>
        <v>-</v>
      </c>
      <c r="H81" s="53" t="str">
        <f>IFERROR(LEFT(VLOOKUP($E$4&amp;$A81,'Data Induk Pegawai'!$A:$Z,H$6,FALSE),3),"-")</f>
        <v>-</v>
      </c>
      <c r="I81" s="53" t="str">
        <f>IFERROR(VLOOKUP($E$4&amp;$A81,'Data Induk Pegawai'!$A:$Z,I$6,FALSE),"-")</f>
        <v>-</v>
      </c>
      <c r="J81" s="91" t="str">
        <f>IFERROR(VLOOKUP($E$4&amp;$A81,'Data Induk Pegawai'!$A:$Z,J$6,FALSE),"-")</f>
        <v>-</v>
      </c>
      <c r="K81" s="148" t="str">
        <f>IFERROR(VLOOKUP($E$4&amp;$A81,'Data Induk Pegawai'!$A:$Z,K$6,FALSE),"-")</f>
        <v>-</v>
      </c>
      <c r="L81" s="148" t="str">
        <f>IFERROR(VLOOKUP($E$4&amp;$A81,'Data Induk Pegawai'!$A:$Z,L$6,FALSE),"-")</f>
        <v>-</v>
      </c>
      <c r="M81" s="91" t="str">
        <f>IFERROR(VLOOKUP($E$4&amp;$A81,'Data Induk Pegawai'!$A:$Z,M$6,FALSE),"-")</f>
        <v>-</v>
      </c>
      <c r="N81" s="148" t="str">
        <f>IFERROR(VLOOKUP($E$4&amp;$A81,'Data Induk Pegawai'!$A:$Z,N$6,FALSE),"-")</f>
        <v>-</v>
      </c>
      <c r="O81" s="148" t="str">
        <f>IFERROR(VLOOKUP($E$4&amp;$A81,'Data Induk Pegawai'!$A:$Z,O$6,FALSE),"-")</f>
        <v>-</v>
      </c>
      <c r="P81" s="148" t="str">
        <f>IFERROR(VLOOKUP($E$4&amp;$A81,'Data Induk Pegawai'!$A:$Z,P$6,FALSE),"-")</f>
        <v>-</v>
      </c>
      <c r="Q81" s="136" t="str">
        <f>IFERROR(VLOOKUP($E$4&amp;$A81,'Data Induk Pegawai'!$A:$Z,Q$6,FALSE),"-")</f>
        <v>-</v>
      </c>
      <c r="R81" s="136" t="str">
        <f>IFERROR(VLOOKUP($E$4&amp;$A81,'Data Induk Pegawai'!$A:$Z,R$6,FALSE),"-")</f>
        <v>-</v>
      </c>
      <c r="S81" s="136" t="str">
        <f>IFERROR(VLOOKUP($E$4&amp;$A81,'Data Induk Pegawai'!$A:$Z,S$6,FALSE),"-")</f>
        <v>-</v>
      </c>
      <c r="T81" s="53" t="str">
        <f>IFERROR(VLOOKUP($E$4&amp;$A81,'Data Induk Pegawai'!$A:$Z,T$6,FALSE),"-")</f>
        <v>-</v>
      </c>
      <c r="U81" s="53" t="str">
        <f>IFERROR(VLOOKUP($E$4&amp;$A81,'Data Induk Pegawai'!$A:$Z,U$6,FALSE),"-")</f>
        <v>-</v>
      </c>
      <c r="V81" s="53" t="str">
        <f>IFERROR(VLOOKUP($E$4&amp;$A81,'Data Induk Pegawai'!$A:$Z,V$6,FALSE),"-")</f>
        <v>-</v>
      </c>
    </row>
    <row r="82" spans="1:22" ht="15.5" outlineLevel="1" x14ac:dyDescent="0.35">
      <c r="A82" s="51">
        <v>74</v>
      </c>
      <c r="B82" s="135" t="str">
        <f>IFERROR(VLOOKUP($E$4&amp;$A82,'Data Induk Pegawai'!$A:$Z,B$6,FALSE),"-")</f>
        <v>-</v>
      </c>
      <c r="C82" s="136" t="str">
        <f>IFERROR(VLOOKUP($E$4&amp;$A82,'Data Induk Pegawai'!$A:$Z,C$6,FALSE),"-")</f>
        <v>-</v>
      </c>
      <c r="D82" s="53" t="str">
        <f>IFERROR(VLOOKUP($E$4&amp;$A82,'Data Induk Pegawai'!$A:$Z,D$6,FALSE),"-")</f>
        <v>-</v>
      </c>
      <c r="E82" s="140" t="str">
        <f>IFERROR(VLOOKUP($E$4&amp;$A82,'Data Induk Pegawai'!$A:$Z,E$6,FALSE),"-")</f>
        <v>-</v>
      </c>
      <c r="F82" s="140" t="str">
        <f>IFERROR(VLOOKUP($E$4&amp;$A82,'Data Induk Pegawai'!$A:$Z,F$6,FALSE),"-")</f>
        <v>-</v>
      </c>
      <c r="G82" s="136" t="str">
        <f>IFERROR(VLOOKUP($E$4&amp;$A82,'Data Induk Pegawai'!$A:$Z,G$6,FALSE),"-")</f>
        <v>-</v>
      </c>
      <c r="H82" s="53" t="str">
        <f>IFERROR(LEFT(VLOOKUP($E$4&amp;$A82,'Data Induk Pegawai'!$A:$Z,H$6,FALSE),3),"-")</f>
        <v>-</v>
      </c>
      <c r="I82" s="53" t="str">
        <f>IFERROR(VLOOKUP($E$4&amp;$A82,'Data Induk Pegawai'!$A:$Z,I$6,FALSE),"-")</f>
        <v>-</v>
      </c>
      <c r="J82" s="91" t="str">
        <f>IFERROR(VLOOKUP($E$4&amp;$A82,'Data Induk Pegawai'!$A:$Z,J$6,FALSE),"-")</f>
        <v>-</v>
      </c>
      <c r="K82" s="148" t="str">
        <f>IFERROR(VLOOKUP($E$4&amp;$A82,'Data Induk Pegawai'!$A:$Z,K$6,FALSE),"-")</f>
        <v>-</v>
      </c>
      <c r="L82" s="148" t="str">
        <f>IFERROR(VLOOKUP($E$4&amp;$A82,'Data Induk Pegawai'!$A:$Z,L$6,FALSE),"-")</f>
        <v>-</v>
      </c>
      <c r="M82" s="91" t="str">
        <f>IFERROR(VLOOKUP($E$4&amp;$A82,'Data Induk Pegawai'!$A:$Z,M$6,FALSE),"-")</f>
        <v>-</v>
      </c>
      <c r="N82" s="148" t="str">
        <f>IFERROR(VLOOKUP($E$4&amp;$A82,'Data Induk Pegawai'!$A:$Z,N$6,FALSE),"-")</f>
        <v>-</v>
      </c>
      <c r="O82" s="148" t="str">
        <f>IFERROR(VLOOKUP($E$4&amp;$A82,'Data Induk Pegawai'!$A:$Z,O$6,FALSE),"-")</f>
        <v>-</v>
      </c>
      <c r="P82" s="148" t="str">
        <f>IFERROR(VLOOKUP($E$4&amp;$A82,'Data Induk Pegawai'!$A:$Z,P$6,FALSE),"-")</f>
        <v>-</v>
      </c>
      <c r="Q82" s="136" t="str">
        <f>IFERROR(VLOOKUP($E$4&amp;$A82,'Data Induk Pegawai'!$A:$Z,Q$6,FALSE),"-")</f>
        <v>-</v>
      </c>
      <c r="R82" s="136" t="str">
        <f>IFERROR(VLOOKUP($E$4&amp;$A82,'Data Induk Pegawai'!$A:$Z,R$6,FALSE),"-")</f>
        <v>-</v>
      </c>
      <c r="S82" s="136" t="str">
        <f>IFERROR(VLOOKUP($E$4&amp;$A82,'Data Induk Pegawai'!$A:$Z,S$6,FALSE),"-")</f>
        <v>-</v>
      </c>
      <c r="T82" s="53" t="str">
        <f>IFERROR(VLOOKUP($E$4&amp;$A82,'Data Induk Pegawai'!$A:$Z,T$6,FALSE),"-")</f>
        <v>-</v>
      </c>
      <c r="U82" s="53" t="str">
        <f>IFERROR(VLOOKUP($E$4&amp;$A82,'Data Induk Pegawai'!$A:$Z,U$6,FALSE),"-")</f>
        <v>-</v>
      </c>
      <c r="V82" s="53" t="str">
        <f>IFERROR(VLOOKUP($E$4&amp;$A82,'Data Induk Pegawai'!$A:$Z,V$6,FALSE),"-")</f>
        <v>-</v>
      </c>
    </row>
    <row r="83" spans="1:22" ht="15.5" outlineLevel="1" x14ac:dyDescent="0.35">
      <c r="A83" s="51">
        <v>75</v>
      </c>
      <c r="B83" s="135" t="str">
        <f>IFERROR(VLOOKUP($E$4&amp;$A83,'Data Induk Pegawai'!$A:$Z,B$6,FALSE),"-")</f>
        <v>-</v>
      </c>
      <c r="C83" s="136" t="str">
        <f>IFERROR(VLOOKUP($E$4&amp;$A83,'Data Induk Pegawai'!$A:$Z,C$6,FALSE),"-")</f>
        <v>-</v>
      </c>
      <c r="D83" s="53" t="str">
        <f>IFERROR(VLOOKUP($E$4&amp;$A83,'Data Induk Pegawai'!$A:$Z,D$6,FALSE),"-")</f>
        <v>-</v>
      </c>
      <c r="E83" s="140" t="str">
        <f>IFERROR(VLOOKUP($E$4&amp;$A83,'Data Induk Pegawai'!$A:$Z,E$6,FALSE),"-")</f>
        <v>-</v>
      </c>
      <c r="F83" s="140" t="str">
        <f>IFERROR(VLOOKUP($E$4&amp;$A83,'Data Induk Pegawai'!$A:$Z,F$6,FALSE),"-")</f>
        <v>-</v>
      </c>
      <c r="G83" s="136" t="str">
        <f>IFERROR(VLOOKUP($E$4&amp;$A83,'Data Induk Pegawai'!$A:$Z,G$6,FALSE),"-")</f>
        <v>-</v>
      </c>
      <c r="H83" s="53" t="str">
        <f>IFERROR(LEFT(VLOOKUP($E$4&amp;$A83,'Data Induk Pegawai'!$A:$Z,H$6,FALSE),3),"-")</f>
        <v>-</v>
      </c>
      <c r="I83" s="53" t="str">
        <f>IFERROR(VLOOKUP($E$4&amp;$A83,'Data Induk Pegawai'!$A:$Z,I$6,FALSE),"-")</f>
        <v>-</v>
      </c>
      <c r="J83" s="91" t="str">
        <f>IFERROR(VLOOKUP($E$4&amp;$A83,'Data Induk Pegawai'!$A:$Z,J$6,FALSE),"-")</f>
        <v>-</v>
      </c>
      <c r="K83" s="148" t="str">
        <f>IFERROR(VLOOKUP($E$4&amp;$A83,'Data Induk Pegawai'!$A:$Z,K$6,FALSE),"-")</f>
        <v>-</v>
      </c>
      <c r="L83" s="148" t="str">
        <f>IFERROR(VLOOKUP($E$4&amp;$A83,'Data Induk Pegawai'!$A:$Z,L$6,FALSE),"-")</f>
        <v>-</v>
      </c>
      <c r="M83" s="91" t="str">
        <f>IFERROR(VLOOKUP($E$4&amp;$A83,'Data Induk Pegawai'!$A:$Z,M$6,FALSE),"-")</f>
        <v>-</v>
      </c>
      <c r="N83" s="148" t="str">
        <f>IFERROR(VLOOKUP($E$4&amp;$A83,'Data Induk Pegawai'!$A:$Z,N$6,FALSE),"-")</f>
        <v>-</v>
      </c>
      <c r="O83" s="148" t="str">
        <f>IFERROR(VLOOKUP($E$4&amp;$A83,'Data Induk Pegawai'!$A:$Z,O$6,FALSE),"-")</f>
        <v>-</v>
      </c>
      <c r="P83" s="148" t="str">
        <f>IFERROR(VLOOKUP($E$4&amp;$A83,'Data Induk Pegawai'!$A:$Z,P$6,FALSE),"-")</f>
        <v>-</v>
      </c>
      <c r="Q83" s="136" t="str">
        <f>IFERROR(VLOOKUP($E$4&amp;$A83,'Data Induk Pegawai'!$A:$Z,Q$6,FALSE),"-")</f>
        <v>-</v>
      </c>
      <c r="R83" s="136" t="str">
        <f>IFERROR(VLOOKUP($E$4&amp;$A83,'Data Induk Pegawai'!$A:$Z,R$6,FALSE),"-")</f>
        <v>-</v>
      </c>
      <c r="S83" s="136" t="str">
        <f>IFERROR(VLOOKUP($E$4&amp;$A83,'Data Induk Pegawai'!$A:$Z,S$6,FALSE),"-")</f>
        <v>-</v>
      </c>
      <c r="T83" s="53" t="str">
        <f>IFERROR(VLOOKUP($E$4&amp;$A83,'Data Induk Pegawai'!$A:$Z,T$6,FALSE),"-")</f>
        <v>-</v>
      </c>
      <c r="U83" s="53" t="str">
        <f>IFERROR(VLOOKUP($E$4&amp;$A83,'Data Induk Pegawai'!$A:$Z,U$6,FALSE),"-")</f>
        <v>-</v>
      </c>
      <c r="V83" s="53" t="str">
        <f>IFERROR(VLOOKUP($E$4&amp;$A83,'Data Induk Pegawai'!$A:$Z,V$6,FALSE),"-")</f>
        <v>-</v>
      </c>
    </row>
    <row r="84" spans="1:22" ht="15.5" outlineLevel="1" x14ac:dyDescent="0.35">
      <c r="A84" s="51">
        <v>76</v>
      </c>
      <c r="B84" s="135" t="str">
        <f>IFERROR(VLOOKUP($E$4&amp;$A84,'Data Induk Pegawai'!$A:$Z,B$6,FALSE),"-")</f>
        <v>-</v>
      </c>
      <c r="C84" s="136" t="str">
        <f>IFERROR(VLOOKUP($E$4&amp;$A84,'Data Induk Pegawai'!$A:$Z,C$6,FALSE),"-")</f>
        <v>-</v>
      </c>
      <c r="D84" s="53" t="str">
        <f>IFERROR(VLOOKUP($E$4&amp;$A84,'Data Induk Pegawai'!$A:$Z,D$6,FALSE),"-")</f>
        <v>-</v>
      </c>
      <c r="E84" s="140" t="str">
        <f>IFERROR(VLOOKUP($E$4&amp;$A84,'Data Induk Pegawai'!$A:$Z,E$6,FALSE),"-")</f>
        <v>-</v>
      </c>
      <c r="F84" s="140" t="str">
        <f>IFERROR(VLOOKUP($E$4&amp;$A84,'Data Induk Pegawai'!$A:$Z,F$6,FALSE),"-")</f>
        <v>-</v>
      </c>
      <c r="G84" s="136" t="str">
        <f>IFERROR(VLOOKUP($E$4&amp;$A84,'Data Induk Pegawai'!$A:$Z,G$6,FALSE),"-")</f>
        <v>-</v>
      </c>
      <c r="H84" s="53" t="str">
        <f>IFERROR(LEFT(VLOOKUP($E$4&amp;$A84,'Data Induk Pegawai'!$A:$Z,H$6,FALSE),3),"-")</f>
        <v>-</v>
      </c>
      <c r="I84" s="53" t="str">
        <f>IFERROR(VLOOKUP($E$4&amp;$A84,'Data Induk Pegawai'!$A:$Z,I$6,FALSE),"-")</f>
        <v>-</v>
      </c>
      <c r="J84" s="91" t="str">
        <f>IFERROR(VLOOKUP($E$4&amp;$A84,'Data Induk Pegawai'!$A:$Z,J$6,FALSE),"-")</f>
        <v>-</v>
      </c>
      <c r="K84" s="148" t="str">
        <f>IFERROR(VLOOKUP($E$4&amp;$A84,'Data Induk Pegawai'!$A:$Z,K$6,FALSE),"-")</f>
        <v>-</v>
      </c>
      <c r="L84" s="148" t="str">
        <f>IFERROR(VLOOKUP($E$4&amp;$A84,'Data Induk Pegawai'!$A:$Z,L$6,FALSE),"-")</f>
        <v>-</v>
      </c>
      <c r="M84" s="91" t="str">
        <f>IFERROR(VLOOKUP($E$4&amp;$A84,'Data Induk Pegawai'!$A:$Z,M$6,FALSE),"-")</f>
        <v>-</v>
      </c>
      <c r="N84" s="148" t="str">
        <f>IFERROR(VLOOKUP($E$4&amp;$A84,'Data Induk Pegawai'!$A:$Z,N$6,FALSE),"-")</f>
        <v>-</v>
      </c>
      <c r="O84" s="148" t="str">
        <f>IFERROR(VLOOKUP($E$4&amp;$A84,'Data Induk Pegawai'!$A:$Z,O$6,FALSE),"-")</f>
        <v>-</v>
      </c>
      <c r="P84" s="148" t="str">
        <f>IFERROR(VLOOKUP($E$4&amp;$A84,'Data Induk Pegawai'!$A:$Z,P$6,FALSE),"-")</f>
        <v>-</v>
      </c>
      <c r="Q84" s="136" t="str">
        <f>IFERROR(VLOOKUP($E$4&amp;$A84,'Data Induk Pegawai'!$A:$Z,Q$6,FALSE),"-")</f>
        <v>-</v>
      </c>
      <c r="R84" s="136" t="str">
        <f>IFERROR(VLOOKUP($E$4&amp;$A84,'Data Induk Pegawai'!$A:$Z,R$6,FALSE),"-")</f>
        <v>-</v>
      </c>
      <c r="S84" s="136" t="str">
        <f>IFERROR(VLOOKUP($E$4&amp;$A84,'Data Induk Pegawai'!$A:$Z,S$6,FALSE),"-")</f>
        <v>-</v>
      </c>
      <c r="T84" s="53" t="str">
        <f>IFERROR(VLOOKUP($E$4&amp;$A84,'Data Induk Pegawai'!$A:$Z,T$6,FALSE),"-")</f>
        <v>-</v>
      </c>
      <c r="U84" s="53" t="str">
        <f>IFERROR(VLOOKUP($E$4&amp;$A84,'Data Induk Pegawai'!$A:$Z,U$6,FALSE),"-")</f>
        <v>-</v>
      </c>
      <c r="V84" s="53" t="str">
        <f>IFERROR(VLOOKUP($E$4&amp;$A84,'Data Induk Pegawai'!$A:$Z,V$6,FALSE),"-")</f>
        <v>-</v>
      </c>
    </row>
    <row r="85" spans="1:22" ht="15.5" outlineLevel="1" x14ac:dyDescent="0.35">
      <c r="A85" s="51">
        <v>77</v>
      </c>
      <c r="B85" s="135" t="str">
        <f>IFERROR(VLOOKUP($E$4&amp;$A85,'Data Induk Pegawai'!$A:$Z,B$6,FALSE),"-")</f>
        <v>-</v>
      </c>
      <c r="C85" s="136" t="str">
        <f>IFERROR(VLOOKUP($E$4&amp;$A85,'Data Induk Pegawai'!$A:$Z,C$6,FALSE),"-")</f>
        <v>-</v>
      </c>
      <c r="D85" s="53" t="str">
        <f>IFERROR(VLOOKUP($E$4&amp;$A85,'Data Induk Pegawai'!$A:$Z,D$6,FALSE),"-")</f>
        <v>-</v>
      </c>
      <c r="E85" s="140" t="str">
        <f>IFERROR(VLOOKUP($E$4&amp;$A85,'Data Induk Pegawai'!$A:$Z,E$6,FALSE),"-")</f>
        <v>-</v>
      </c>
      <c r="F85" s="140" t="str">
        <f>IFERROR(VLOOKUP($E$4&amp;$A85,'Data Induk Pegawai'!$A:$Z,F$6,FALSE),"-")</f>
        <v>-</v>
      </c>
      <c r="G85" s="136" t="str">
        <f>IFERROR(VLOOKUP($E$4&amp;$A85,'Data Induk Pegawai'!$A:$Z,G$6,FALSE),"-")</f>
        <v>-</v>
      </c>
      <c r="H85" s="53" t="str">
        <f>IFERROR(LEFT(VLOOKUP($E$4&amp;$A85,'Data Induk Pegawai'!$A:$Z,H$6,FALSE),3),"-")</f>
        <v>-</v>
      </c>
      <c r="I85" s="53" t="str">
        <f>IFERROR(VLOOKUP($E$4&amp;$A85,'Data Induk Pegawai'!$A:$Z,I$6,FALSE),"-")</f>
        <v>-</v>
      </c>
      <c r="J85" s="91" t="str">
        <f>IFERROR(VLOOKUP($E$4&amp;$A85,'Data Induk Pegawai'!$A:$Z,J$6,FALSE),"-")</f>
        <v>-</v>
      </c>
      <c r="K85" s="148" t="str">
        <f>IFERROR(VLOOKUP($E$4&amp;$A85,'Data Induk Pegawai'!$A:$Z,K$6,FALSE),"-")</f>
        <v>-</v>
      </c>
      <c r="L85" s="148" t="str">
        <f>IFERROR(VLOOKUP($E$4&amp;$A85,'Data Induk Pegawai'!$A:$Z,L$6,FALSE),"-")</f>
        <v>-</v>
      </c>
      <c r="M85" s="91" t="str">
        <f>IFERROR(VLOOKUP($E$4&amp;$A85,'Data Induk Pegawai'!$A:$Z,M$6,FALSE),"-")</f>
        <v>-</v>
      </c>
      <c r="N85" s="148" t="str">
        <f>IFERROR(VLOOKUP($E$4&amp;$A85,'Data Induk Pegawai'!$A:$Z,N$6,FALSE),"-")</f>
        <v>-</v>
      </c>
      <c r="O85" s="148" t="str">
        <f>IFERROR(VLOOKUP($E$4&amp;$A85,'Data Induk Pegawai'!$A:$Z,O$6,FALSE),"-")</f>
        <v>-</v>
      </c>
      <c r="P85" s="148" t="str">
        <f>IFERROR(VLOOKUP($E$4&amp;$A85,'Data Induk Pegawai'!$A:$Z,P$6,FALSE),"-")</f>
        <v>-</v>
      </c>
      <c r="Q85" s="136" t="str">
        <f>IFERROR(VLOOKUP($E$4&amp;$A85,'Data Induk Pegawai'!$A:$Z,Q$6,FALSE),"-")</f>
        <v>-</v>
      </c>
      <c r="R85" s="136" t="str">
        <f>IFERROR(VLOOKUP($E$4&amp;$A85,'Data Induk Pegawai'!$A:$Z,R$6,FALSE),"-")</f>
        <v>-</v>
      </c>
      <c r="S85" s="136" t="str">
        <f>IFERROR(VLOOKUP($E$4&amp;$A85,'Data Induk Pegawai'!$A:$Z,S$6,FALSE),"-")</f>
        <v>-</v>
      </c>
      <c r="T85" s="53" t="str">
        <f>IFERROR(VLOOKUP($E$4&amp;$A85,'Data Induk Pegawai'!$A:$Z,T$6,FALSE),"-")</f>
        <v>-</v>
      </c>
      <c r="U85" s="53" t="str">
        <f>IFERROR(VLOOKUP($E$4&amp;$A85,'Data Induk Pegawai'!$A:$Z,U$6,FALSE),"-")</f>
        <v>-</v>
      </c>
      <c r="V85" s="53" t="str">
        <f>IFERROR(VLOOKUP($E$4&amp;$A85,'Data Induk Pegawai'!$A:$Z,V$6,FALSE),"-")</f>
        <v>-</v>
      </c>
    </row>
    <row r="86" spans="1:22" ht="15.5" outlineLevel="1" x14ac:dyDescent="0.35">
      <c r="A86" s="51">
        <v>78</v>
      </c>
      <c r="B86" s="135" t="str">
        <f>IFERROR(VLOOKUP($E$4&amp;$A86,'Data Induk Pegawai'!$A:$Z,B$6,FALSE),"-")</f>
        <v>-</v>
      </c>
      <c r="C86" s="136" t="str">
        <f>IFERROR(VLOOKUP($E$4&amp;$A86,'Data Induk Pegawai'!$A:$Z,C$6,FALSE),"-")</f>
        <v>-</v>
      </c>
      <c r="D86" s="53" t="str">
        <f>IFERROR(VLOOKUP($E$4&amp;$A86,'Data Induk Pegawai'!$A:$Z,D$6,FALSE),"-")</f>
        <v>-</v>
      </c>
      <c r="E86" s="140" t="str">
        <f>IFERROR(VLOOKUP($E$4&amp;$A86,'Data Induk Pegawai'!$A:$Z,E$6,FALSE),"-")</f>
        <v>-</v>
      </c>
      <c r="F86" s="140" t="str">
        <f>IFERROR(VLOOKUP($E$4&amp;$A86,'Data Induk Pegawai'!$A:$Z,F$6,FALSE),"-")</f>
        <v>-</v>
      </c>
      <c r="G86" s="136" t="str">
        <f>IFERROR(VLOOKUP($E$4&amp;$A86,'Data Induk Pegawai'!$A:$Z,G$6,FALSE),"-")</f>
        <v>-</v>
      </c>
      <c r="H86" s="53" t="str">
        <f>IFERROR(LEFT(VLOOKUP($E$4&amp;$A86,'Data Induk Pegawai'!$A:$Z,H$6,FALSE),3),"-")</f>
        <v>-</v>
      </c>
      <c r="I86" s="53" t="str">
        <f>IFERROR(VLOOKUP($E$4&amp;$A86,'Data Induk Pegawai'!$A:$Z,I$6,FALSE),"-")</f>
        <v>-</v>
      </c>
      <c r="J86" s="91" t="str">
        <f>IFERROR(VLOOKUP($E$4&amp;$A86,'Data Induk Pegawai'!$A:$Z,J$6,FALSE),"-")</f>
        <v>-</v>
      </c>
      <c r="K86" s="148" t="str">
        <f>IFERROR(VLOOKUP($E$4&amp;$A86,'Data Induk Pegawai'!$A:$Z,K$6,FALSE),"-")</f>
        <v>-</v>
      </c>
      <c r="L86" s="148" t="str">
        <f>IFERROR(VLOOKUP($E$4&amp;$A86,'Data Induk Pegawai'!$A:$Z,L$6,FALSE),"-")</f>
        <v>-</v>
      </c>
      <c r="M86" s="91" t="str">
        <f>IFERROR(VLOOKUP($E$4&amp;$A86,'Data Induk Pegawai'!$A:$Z,M$6,FALSE),"-")</f>
        <v>-</v>
      </c>
      <c r="N86" s="148" t="str">
        <f>IFERROR(VLOOKUP($E$4&amp;$A86,'Data Induk Pegawai'!$A:$Z,N$6,FALSE),"-")</f>
        <v>-</v>
      </c>
      <c r="O86" s="148" t="str">
        <f>IFERROR(VLOOKUP($E$4&amp;$A86,'Data Induk Pegawai'!$A:$Z,O$6,FALSE),"-")</f>
        <v>-</v>
      </c>
      <c r="P86" s="148" t="str">
        <f>IFERROR(VLOOKUP($E$4&amp;$A86,'Data Induk Pegawai'!$A:$Z,P$6,FALSE),"-")</f>
        <v>-</v>
      </c>
      <c r="Q86" s="136" t="str">
        <f>IFERROR(VLOOKUP($E$4&amp;$A86,'Data Induk Pegawai'!$A:$Z,Q$6,FALSE),"-")</f>
        <v>-</v>
      </c>
      <c r="R86" s="136" t="str">
        <f>IFERROR(VLOOKUP($E$4&amp;$A86,'Data Induk Pegawai'!$A:$Z,R$6,FALSE),"-")</f>
        <v>-</v>
      </c>
      <c r="S86" s="136" t="str">
        <f>IFERROR(VLOOKUP($E$4&amp;$A86,'Data Induk Pegawai'!$A:$Z,S$6,FALSE),"-")</f>
        <v>-</v>
      </c>
      <c r="T86" s="53" t="str">
        <f>IFERROR(VLOOKUP($E$4&amp;$A86,'Data Induk Pegawai'!$A:$Z,T$6,FALSE),"-")</f>
        <v>-</v>
      </c>
      <c r="U86" s="53" t="str">
        <f>IFERROR(VLOOKUP($E$4&amp;$A86,'Data Induk Pegawai'!$A:$Z,U$6,FALSE),"-")</f>
        <v>-</v>
      </c>
      <c r="V86" s="53" t="str">
        <f>IFERROR(VLOOKUP($E$4&amp;$A86,'Data Induk Pegawai'!$A:$Z,V$6,FALSE),"-")</f>
        <v>-</v>
      </c>
    </row>
    <row r="87" spans="1:22" ht="15.5" outlineLevel="1" x14ac:dyDescent="0.35">
      <c r="A87" s="51">
        <v>79</v>
      </c>
      <c r="B87" s="135" t="str">
        <f>IFERROR(VLOOKUP($E$4&amp;$A87,'Data Induk Pegawai'!$A:$Z,B$6,FALSE),"-")</f>
        <v>-</v>
      </c>
      <c r="C87" s="136" t="str">
        <f>IFERROR(VLOOKUP($E$4&amp;$A87,'Data Induk Pegawai'!$A:$Z,C$6,FALSE),"-")</f>
        <v>-</v>
      </c>
      <c r="D87" s="53" t="str">
        <f>IFERROR(VLOOKUP($E$4&amp;$A87,'Data Induk Pegawai'!$A:$Z,D$6,FALSE),"-")</f>
        <v>-</v>
      </c>
      <c r="E87" s="140" t="str">
        <f>IFERROR(VLOOKUP($E$4&amp;$A87,'Data Induk Pegawai'!$A:$Z,E$6,FALSE),"-")</f>
        <v>-</v>
      </c>
      <c r="F87" s="140" t="str">
        <f>IFERROR(VLOOKUP($E$4&amp;$A87,'Data Induk Pegawai'!$A:$Z,F$6,FALSE),"-")</f>
        <v>-</v>
      </c>
      <c r="G87" s="136" t="str">
        <f>IFERROR(VLOOKUP($E$4&amp;$A87,'Data Induk Pegawai'!$A:$Z,G$6,FALSE),"-")</f>
        <v>-</v>
      </c>
      <c r="H87" s="53" t="str">
        <f>IFERROR(LEFT(VLOOKUP($E$4&amp;$A87,'Data Induk Pegawai'!$A:$Z,H$6,FALSE),3),"-")</f>
        <v>-</v>
      </c>
      <c r="I87" s="53" t="str">
        <f>IFERROR(VLOOKUP($E$4&amp;$A87,'Data Induk Pegawai'!$A:$Z,I$6,FALSE),"-")</f>
        <v>-</v>
      </c>
      <c r="J87" s="91" t="str">
        <f>IFERROR(VLOOKUP($E$4&amp;$A87,'Data Induk Pegawai'!$A:$Z,J$6,FALSE),"-")</f>
        <v>-</v>
      </c>
      <c r="K87" s="148" t="str">
        <f>IFERROR(VLOOKUP($E$4&amp;$A87,'Data Induk Pegawai'!$A:$Z,K$6,FALSE),"-")</f>
        <v>-</v>
      </c>
      <c r="L87" s="148" t="str">
        <f>IFERROR(VLOOKUP($E$4&amp;$A87,'Data Induk Pegawai'!$A:$Z,L$6,FALSE),"-")</f>
        <v>-</v>
      </c>
      <c r="M87" s="91" t="str">
        <f>IFERROR(VLOOKUP($E$4&amp;$A87,'Data Induk Pegawai'!$A:$Z,M$6,FALSE),"-")</f>
        <v>-</v>
      </c>
      <c r="N87" s="148" t="str">
        <f>IFERROR(VLOOKUP($E$4&amp;$A87,'Data Induk Pegawai'!$A:$Z,N$6,FALSE),"-")</f>
        <v>-</v>
      </c>
      <c r="O87" s="148" t="str">
        <f>IFERROR(VLOOKUP($E$4&amp;$A87,'Data Induk Pegawai'!$A:$Z,O$6,FALSE),"-")</f>
        <v>-</v>
      </c>
      <c r="P87" s="148" t="str">
        <f>IFERROR(VLOOKUP($E$4&amp;$A87,'Data Induk Pegawai'!$A:$Z,P$6,FALSE),"-")</f>
        <v>-</v>
      </c>
      <c r="Q87" s="136" t="str">
        <f>IFERROR(VLOOKUP($E$4&amp;$A87,'Data Induk Pegawai'!$A:$Z,Q$6,FALSE),"-")</f>
        <v>-</v>
      </c>
      <c r="R87" s="136" t="str">
        <f>IFERROR(VLOOKUP($E$4&amp;$A87,'Data Induk Pegawai'!$A:$Z,R$6,FALSE),"-")</f>
        <v>-</v>
      </c>
      <c r="S87" s="136" t="str">
        <f>IFERROR(VLOOKUP($E$4&amp;$A87,'Data Induk Pegawai'!$A:$Z,S$6,FALSE),"-")</f>
        <v>-</v>
      </c>
      <c r="T87" s="53" t="str">
        <f>IFERROR(VLOOKUP($E$4&amp;$A87,'Data Induk Pegawai'!$A:$Z,T$6,FALSE),"-")</f>
        <v>-</v>
      </c>
      <c r="U87" s="53" t="str">
        <f>IFERROR(VLOOKUP($E$4&amp;$A87,'Data Induk Pegawai'!$A:$Z,U$6,FALSE),"-")</f>
        <v>-</v>
      </c>
      <c r="V87" s="53" t="str">
        <f>IFERROR(VLOOKUP($E$4&amp;$A87,'Data Induk Pegawai'!$A:$Z,V$6,FALSE),"-")</f>
        <v>-</v>
      </c>
    </row>
    <row r="88" spans="1:22" ht="15.5" outlineLevel="1" x14ac:dyDescent="0.35">
      <c r="A88" s="51">
        <v>80</v>
      </c>
      <c r="B88" s="135" t="str">
        <f>IFERROR(VLOOKUP($E$4&amp;$A88,'Data Induk Pegawai'!$A:$Z,B$6,FALSE),"-")</f>
        <v>-</v>
      </c>
      <c r="C88" s="136" t="str">
        <f>IFERROR(VLOOKUP($E$4&amp;$A88,'Data Induk Pegawai'!$A:$Z,C$6,FALSE),"-")</f>
        <v>-</v>
      </c>
      <c r="D88" s="53" t="str">
        <f>IFERROR(VLOOKUP($E$4&amp;$A88,'Data Induk Pegawai'!$A:$Z,D$6,FALSE),"-")</f>
        <v>-</v>
      </c>
      <c r="E88" s="140" t="str">
        <f>IFERROR(VLOOKUP($E$4&amp;$A88,'Data Induk Pegawai'!$A:$Z,E$6,FALSE),"-")</f>
        <v>-</v>
      </c>
      <c r="F88" s="140" t="str">
        <f>IFERROR(VLOOKUP($E$4&amp;$A88,'Data Induk Pegawai'!$A:$Z,F$6,FALSE),"-")</f>
        <v>-</v>
      </c>
      <c r="G88" s="136" t="str">
        <f>IFERROR(VLOOKUP($E$4&amp;$A88,'Data Induk Pegawai'!$A:$Z,G$6,FALSE),"-")</f>
        <v>-</v>
      </c>
      <c r="H88" s="53" t="str">
        <f>IFERROR(LEFT(VLOOKUP($E$4&amp;$A88,'Data Induk Pegawai'!$A:$Z,H$6,FALSE),3),"-")</f>
        <v>-</v>
      </c>
      <c r="I88" s="53" t="str">
        <f>IFERROR(VLOOKUP($E$4&amp;$A88,'Data Induk Pegawai'!$A:$Z,I$6,FALSE),"-")</f>
        <v>-</v>
      </c>
      <c r="J88" s="91" t="str">
        <f>IFERROR(VLOOKUP($E$4&amp;$A88,'Data Induk Pegawai'!$A:$Z,J$6,FALSE),"-")</f>
        <v>-</v>
      </c>
      <c r="K88" s="148" t="str">
        <f>IFERROR(VLOOKUP($E$4&amp;$A88,'Data Induk Pegawai'!$A:$Z,K$6,FALSE),"-")</f>
        <v>-</v>
      </c>
      <c r="L88" s="148" t="str">
        <f>IFERROR(VLOOKUP($E$4&amp;$A88,'Data Induk Pegawai'!$A:$Z,L$6,FALSE),"-")</f>
        <v>-</v>
      </c>
      <c r="M88" s="91" t="str">
        <f>IFERROR(VLOOKUP($E$4&amp;$A88,'Data Induk Pegawai'!$A:$Z,M$6,FALSE),"-")</f>
        <v>-</v>
      </c>
      <c r="N88" s="148" t="str">
        <f>IFERROR(VLOOKUP($E$4&amp;$A88,'Data Induk Pegawai'!$A:$Z,N$6,FALSE),"-")</f>
        <v>-</v>
      </c>
      <c r="O88" s="148" t="str">
        <f>IFERROR(VLOOKUP($E$4&amp;$A88,'Data Induk Pegawai'!$A:$Z,O$6,FALSE),"-")</f>
        <v>-</v>
      </c>
      <c r="P88" s="148" t="str">
        <f>IFERROR(VLOOKUP($E$4&amp;$A88,'Data Induk Pegawai'!$A:$Z,P$6,FALSE),"-")</f>
        <v>-</v>
      </c>
      <c r="Q88" s="136" t="str">
        <f>IFERROR(VLOOKUP($E$4&amp;$A88,'Data Induk Pegawai'!$A:$Z,Q$6,FALSE),"-")</f>
        <v>-</v>
      </c>
      <c r="R88" s="136" t="str">
        <f>IFERROR(VLOOKUP($E$4&amp;$A88,'Data Induk Pegawai'!$A:$Z,R$6,FALSE),"-")</f>
        <v>-</v>
      </c>
      <c r="S88" s="136" t="str">
        <f>IFERROR(VLOOKUP($E$4&amp;$A88,'Data Induk Pegawai'!$A:$Z,S$6,FALSE),"-")</f>
        <v>-</v>
      </c>
      <c r="T88" s="53" t="str">
        <f>IFERROR(VLOOKUP($E$4&amp;$A88,'Data Induk Pegawai'!$A:$Z,T$6,FALSE),"-")</f>
        <v>-</v>
      </c>
      <c r="U88" s="53" t="str">
        <f>IFERROR(VLOOKUP($E$4&amp;$A88,'Data Induk Pegawai'!$A:$Z,U$6,FALSE),"-")</f>
        <v>-</v>
      </c>
      <c r="V88" s="53" t="str">
        <f>IFERROR(VLOOKUP($E$4&amp;$A88,'Data Induk Pegawai'!$A:$Z,V$6,FALSE),"-")</f>
        <v>-</v>
      </c>
    </row>
    <row r="89" spans="1:22" ht="15.5" outlineLevel="1" x14ac:dyDescent="0.35">
      <c r="A89" s="51">
        <v>81</v>
      </c>
      <c r="B89" s="135" t="str">
        <f>IFERROR(VLOOKUP($E$4&amp;$A89,'Data Induk Pegawai'!$A:$Z,B$6,FALSE),"-")</f>
        <v>-</v>
      </c>
      <c r="C89" s="136" t="str">
        <f>IFERROR(VLOOKUP($E$4&amp;$A89,'Data Induk Pegawai'!$A:$Z,C$6,FALSE),"-")</f>
        <v>-</v>
      </c>
      <c r="D89" s="53" t="str">
        <f>IFERROR(VLOOKUP($E$4&amp;$A89,'Data Induk Pegawai'!$A:$Z,D$6,FALSE),"-")</f>
        <v>-</v>
      </c>
      <c r="E89" s="140" t="str">
        <f>IFERROR(VLOOKUP($E$4&amp;$A89,'Data Induk Pegawai'!$A:$Z,E$6,FALSE),"-")</f>
        <v>-</v>
      </c>
      <c r="F89" s="140" t="str">
        <f>IFERROR(VLOOKUP($E$4&amp;$A89,'Data Induk Pegawai'!$A:$Z,F$6,FALSE),"-")</f>
        <v>-</v>
      </c>
      <c r="G89" s="136" t="str">
        <f>IFERROR(VLOOKUP($E$4&amp;$A89,'Data Induk Pegawai'!$A:$Z,G$6,FALSE),"-")</f>
        <v>-</v>
      </c>
      <c r="H89" s="53" t="str">
        <f>IFERROR(LEFT(VLOOKUP($E$4&amp;$A89,'Data Induk Pegawai'!$A:$Z,H$6,FALSE),3),"-")</f>
        <v>-</v>
      </c>
      <c r="I89" s="53" t="str">
        <f>IFERROR(VLOOKUP($E$4&amp;$A89,'Data Induk Pegawai'!$A:$Z,I$6,FALSE),"-")</f>
        <v>-</v>
      </c>
      <c r="J89" s="91" t="str">
        <f>IFERROR(VLOOKUP($E$4&amp;$A89,'Data Induk Pegawai'!$A:$Z,J$6,FALSE),"-")</f>
        <v>-</v>
      </c>
      <c r="K89" s="148" t="str">
        <f>IFERROR(VLOOKUP($E$4&amp;$A89,'Data Induk Pegawai'!$A:$Z,K$6,FALSE),"-")</f>
        <v>-</v>
      </c>
      <c r="L89" s="148" t="str">
        <f>IFERROR(VLOOKUP($E$4&amp;$A89,'Data Induk Pegawai'!$A:$Z,L$6,FALSE),"-")</f>
        <v>-</v>
      </c>
      <c r="M89" s="91" t="str">
        <f>IFERROR(VLOOKUP($E$4&amp;$A89,'Data Induk Pegawai'!$A:$Z,M$6,FALSE),"-")</f>
        <v>-</v>
      </c>
      <c r="N89" s="148" t="str">
        <f>IFERROR(VLOOKUP($E$4&amp;$A89,'Data Induk Pegawai'!$A:$Z,N$6,FALSE),"-")</f>
        <v>-</v>
      </c>
      <c r="O89" s="148" t="str">
        <f>IFERROR(VLOOKUP($E$4&amp;$A89,'Data Induk Pegawai'!$A:$Z,O$6,FALSE),"-")</f>
        <v>-</v>
      </c>
      <c r="P89" s="148" t="str">
        <f>IFERROR(VLOOKUP($E$4&amp;$A89,'Data Induk Pegawai'!$A:$Z,P$6,FALSE),"-")</f>
        <v>-</v>
      </c>
      <c r="Q89" s="136" t="str">
        <f>IFERROR(VLOOKUP($E$4&amp;$A89,'Data Induk Pegawai'!$A:$Z,Q$6,FALSE),"-")</f>
        <v>-</v>
      </c>
      <c r="R89" s="136" t="str">
        <f>IFERROR(VLOOKUP($E$4&amp;$A89,'Data Induk Pegawai'!$A:$Z,R$6,FALSE),"-")</f>
        <v>-</v>
      </c>
      <c r="S89" s="136" t="str">
        <f>IFERROR(VLOOKUP($E$4&amp;$A89,'Data Induk Pegawai'!$A:$Z,S$6,FALSE),"-")</f>
        <v>-</v>
      </c>
      <c r="T89" s="53" t="str">
        <f>IFERROR(VLOOKUP($E$4&amp;$A89,'Data Induk Pegawai'!$A:$Z,T$6,FALSE),"-")</f>
        <v>-</v>
      </c>
      <c r="U89" s="53" t="str">
        <f>IFERROR(VLOOKUP($E$4&amp;$A89,'Data Induk Pegawai'!$A:$Z,U$6,FALSE),"-")</f>
        <v>-</v>
      </c>
      <c r="V89" s="53" t="str">
        <f>IFERROR(VLOOKUP($E$4&amp;$A89,'Data Induk Pegawai'!$A:$Z,V$6,FALSE),"-")</f>
        <v>-</v>
      </c>
    </row>
    <row r="90" spans="1:22" ht="15.5" outlineLevel="1" x14ac:dyDescent="0.35">
      <c r="A90" s="51">
        <v>82</v>
      </c>
      <c r="B90" s="135" t="str">
        <f>IFERROR(VLOOKUP($E$4&amp;$A90,'Data Induk Pegawai'!$A:$Z,B$6,FALSE),"-")</f>
        <v>-</v>
      </c>
      <c r="C90" s="136" t="str">
        <f>IFERROR(VLOOKUP($E$4&amp;$A90,'Data Induk Pegawai'!$A:$Z,C$6,FALSE),"-")</f>
        <v>-</v>
      </c>
      <c r="D90" s="53" t="str">
        <f>IFERROR(VLOOKUP($E$4&amp;$A90,'Data Induk Pegawai'!$A:$Z,D$6,FALSE),"-")</f>
        <v>-</v>
      </c>
      <c r="E90" s="140" t="str">
        <f>IFERROR(VLOOKUP($E$4&amp;$A90,'Data Induk Pegawai'!$A:$Z,E$6,FALSE),"-")</f>
        <v>-</v>
      </c>
      <c r="F90" s="140" t="str">
        <f>IFERROR(VLOOKUP($E$4&amp;$A90,'Data Induk Pegawai'!$A:$Z,F$6,FALSE),"-")</f>
        <v>-</v>
      </c>
      <c r="G90" s="136" t="str">
        <f>IFERROR(VLOOKUP($E$4&amp;$A90,'Data Induk Pegawai'!$A:$Z,G$6,FALSE),"-")</f>
        <v>-</v>
      </c>
      <c r="H90" s="53" t="str">
        <f>IFERROR(LEFT(VLOOKUP($E$4&amp;$A90,'Data Induk Pegawai'!$A:$Z,H$6,FALSE),3),"-")</f>
        <v>-</v>
      </c>
      <c r="I90" s="53" t="str">
        <f>IFERROR(VLOOKUP($E$4&amp;$A90,'Data Induk Pegawai'!$A:$Z,I$6,FALSE),"-")</f>
        <v>-</v>
      </c>
      <c r="J90" s="91" t="str">
        <f>IFERROR(VLOOKUP($E$4&amp;$A90,'Data Induk Pegawai'!$A:$Z,J$6,FALSE),"-")</f>
        <v>-</v>
      </c>
      <c r="K90" s="148" t="str">
        <f>IFERROR(VLOOKUP($E$4&amp;$A90,'Data Induk Pegawai'!$A:$Z,K$6,FALSE),"-")</f>
        <v>-</v>
      </c>
      <c r="L90" s="148" t="str">
        <f>IFERROR(VLOOKUP($E$4&amp;$A90,'Data Induk Pegawai'!$A:$Z,L$6,FALSE),"-")</f>
        <v>-</v>
      </c>
      <c r="M90" s="91" t="str">
        <f>IFERROR(VLOOKUP($E$4&amp;$A90,'Data Induk Pegawai'!$A:$Z,M$6,FALSE),"-")</f>
        <v>-</v>
      </c>
      <c r="N90" s="148" t="str">
        <f>IFERROR(VLOOKUP($E$4&amp;$A90,'Data Induk Pegawai'!$A:$Z,N$6,FALSE),"-")</f>
        <v>-</v>
      </c>
      <c r="O90" s="148" t="str">
        <f>IFERROR(VLOOKUP($E$4&amp;$A90,'Data Induk Pegawai'!$A:$Z,O$6,FALSE),"-")</f>
        <v>-</v>
      </c>
      <c r="P90" s="148" t="str">
        <f>IFERROR(VLOOKUP($E$4&amp;$A90,'Data Induk Pegawai'!$A:$Z,P$6,FALSE),"-")</f>
        <v>-</v>
      </c>
      <c r="Q90" s="136" t="str">
        <f>IFERROR(VLOOKUP($E$4&amp;$A90,'Data Induk Pegawai'!$A:$Z,Q$6,FALSE),"-")</f>
        <v>-</v>
      </c>
      <c r="R90" s="136" t="str">
        <f>IFERROR(VLOOKUP($E$4&amp;$A90,'Data Induk Pegawai'!$A:$Z,R$6,FALSE),"-")</f>
        <v>-</v>
      </c>
      <c r="S90" s="136" t="str">
        <f>IFERROR(VLOOKUP($E$4&amp;$A90,'Data Induk Pegawai'!$A:$Z,S$6,FALSE),"-")</f>
        <v>-</v>
      </c>
      <c r="T90" s="53" t="str">
        <f>IFERROR(VLOOKUP($E$4&amp;$A90,'Data Induk Pegawai'!$A:$Z,T$6,FALSE),"-")</f>
        <v>-</v>
      </c>
      <c r="U90" s="53" t="str">
        <f>IFERROR(VLOOKUP($E$4&amp;$A90,'Data Induk Pegawai'!$A:$Z,U$6,FALSE),"-")</f>
        <v>-</v>
      </c>
      <c r="V90" s="53" t="str">
        <f>IFERROR(VLOOKUP($E$4&amp;$A90,'Data Induk Pegawai'!$A:$Z,V$6,FALSE),"-")</f>
        <v>-</v>
      </c>
    </row>
    <row r="91" spans="1:22" ht="15.5" outlineLevel="1" x14ac:dyDescent="0.35">
      <c r="A91" s="51">
        <v>83</v>
      </c>
      <c r="B91" s="135" t="str">
        <f>IFERROR(VLOOKUP($E$4&amp;$A91,'Data Induk Pegawai'!$A:$Z,B$6,FALSE),"-")</f>
        <v>-</v>
      </c>
      <c r="C91" s="136" t="str">
        <f>IFERROR(VLOOKUP($E$4&amp;$A91,'Data Induk Pegawai'!$A:$Z,C$6,FALSE),"-")</f>
        <v>-</v>
      </c>
      <c r="D91" s="53" t="str">
        <f>IFERROR(VLOOKUP($E$4&amp;$A91,'Data Induk Pegawai'!$A:$Z,D$6,FALSE),"-")</f>
        <v>-</v>
      </c>
      <c r="E91" s="140" t="str">
        <f>IFERROR(VLOOKUP($E$4&amp;$A91,'Data Induk Pegawai'!$A:$Z,E$6,FALSE),"-")</f>
        <v>-</v>
      </c>
      <c r="F91" s="140" t="str">
        <f>IFERROR(VLOOKUP($E$4&amp;$A91,'Data Induk Pegawai'!$A:$Z,F$6,FALSE),"-")</f>
        <v>-</v>
      </c>
      <c r="G91" s="136" t="str">
        <f>IFERROR(VLOOKUP($E$4&amp;$A91,'Data Induk Pegawai'!$A:$Z,G$6,FALSE),"-")</f>
        <v>-</v>
      </c>
      <c r="H91" s="53" t="str">
        <f>IFERROR(LEFT(VLOOKUP($E$4&amp;$A91,'Data Induk Pegawai'!$A:$Z,H$6,FALSE),3),"-")</f>
        <v>-</v>
      </c>
      <c r="I91" s="53" t="str">
        <f>IFERROR(VLOOKUP($E$4&amp;$A91,'Data Induk Pegawai'!$A:$Z,I$6,FALSE),"-")</f>
        <v>-</v>
      </c>
      <c r="J91" s="91" t="str">
        <f>IFERROR(VLOOKUP($E$4&amp;$A91,'Data Induk Pegawai'!$A:$Z,J$6,FALSE),"-")</f>
        <v>-</v>
      </c>
      <c r="K91" s="148" t="str">
        <f>IFERROR(VLOOKUP($E$4&amp;$A91,'Data Induk Pegawai'!$A:$Z,K$6,FALSE),"-")</f>
        <v>-</v>
      </c>
      <c r="L91" s="148" t="str">
        <f>IFERROR(VLOOKUP($E$4&amp;$A91,'Data Induk Pegawai'!$A:$Z,L$6,FALSE),"-")</f>
        <v>-</v>
      </c>
      <c r="M91" s="91" t="str">
        <f>IFERROR(VLOOKUP($E$4&amp;$A91,'Data Induk Pegawai'!$A:$Z,M$6,FALSE),"-")</f>
        <v>-</v>
      </c>
      <c r="N91" s="148" t="str">
        <f>IFERROR(VLOOKUP($E$4&amp;$A91,'Data Induk Pegawai'!$A:$Z,N$6,FALSE),"-")</f>
        <v>-</v>
      </c>
      <c r="O91" s="148" t="str">
        <f>IFERROR(VLOOKUP($E$4&amp;$A91,'Data Induk Pegawai'!$A:$Z,O$6,FALSE),"-")</f>
        <v>-</v>
      </c>
      <c r="P91" s="148" t="str">
        <f>IFERROR(VLOOKUP($E$4&amp;$A91,'Data Induk Pegawai'!$A:$Z,P$6,FALSE),"-")</f>
        <v>-</v>
      </c>
      <c r="Q91" s="136" t="str">
        <f>IFERROR(VLOOKUP($E$4&amp;$A91,'Data Induk Pegawai'!$A:$Z,Q$6,FALSE),"-")</f>
        <v>-</v>
      </c>
      <c r="R91" s="136" t="str">
        <f>IFERROR(VLOOKUP($E$4&amp;$A91,'Data Induk Pegawai'!$A:$Z,R$6,FALSE),"-")</f>
        <v>-</v>
      </c>
      <c r="S91" s="136" t="str">
        <f>IFERROR(VLOOKUP($E$4&amp;$A91,'Data Induk Pegawai'!$A:$Z,S$6,FALSE),"-")</f>
        <v>-</v>
      </c>
      <c r="T91" s="53" t="str">
        <f>IFERROR(VLOOKUP($E$4&amp;$A91,'Data Induk Pegawai'!$A:$Z,T$6,FALSE),"-")</f>
        <v>-</v>
      </c>
      <c r="U91" s="53" t="str">
        <f>IFERROR(VLOOKUP($E$4&amp;$A91,'Data Induk Pegawai'!$A:$Z,U$6,FALSE),"-")</f>
        <v>-</v>
      </c>
      <c r="V91" s="53" t="str">
        <f>IFERROR(VLOOKUP($E$4&amp;$A91,'Data Induk Pegawai'!$A:$Z,V$6,FALSE),"-")</f>
        <v>-</v>
      </c>
    </row>
    <row r="92" spans="1:22" ht="15.5" outlineLevel="1" x14ac:dyDescent="0.35">
      <c r="A92" s="51">
        <v>84</v>
      </c>
      <c r="B92" s="135" t="str">
        <f>IFERROR(VLOOKUP($E$4&amp;$A92,'Data Induk Pegawai'!$A:$Z,B$6,FALSE),"-")</f>
        <v>-</v>
      </c>
      <c r="C92" s="136" t="str">
        <f>IFERROR(VLOOKUP($E$4&amp;$A92,'Data Induk Pegawai'!$A:$Z,C$6,FALSE),"-")</f>
        <v>-</v>
      </c>
      <c r="D92" s="53" t="str">
        <f>IFERROR(VLOOKUP($E$4&amp;$A92,'Data Induk Pegawai'!$A:$Z,D$6,FALSE),"-")</f>
        <v>-</v>
      </c>
      <c r="E92" s="140" t="str">
        <f>IFERROR(VLOOKUP($E$4&amp;$A92,'Data Induk Pegawai'!$A:$Z,E$6,FALSE),"-")</f>
        <v>-</v>
      </c>
      <c r="F92" s="140" t="str">
        <f>IFERROR(VLOOKUP($E$4&amp;$A92,'Data Induk Pegawai'!$A:$Z,F$6,FALSE),"-")</f>
        <v>-</v>
      </c>
      <c r="G92" s="136" t="str">
        <f>IFERROR(VLOOKUP($E$4&amp;$A92,'Data Induk Pegawai'!$A:$Z,G$6,FALSE),"-")</f>
        <v>-</v>
      </c>
      <c r="H92" s="53" t="str">
        <f>IFERROR(LEFT(VLOOKUP($E$4&amp;$A92,'Data Induk Pegawai'!$A:$Z,H$6,FALSE),3),"-")</f>
        <v>-</v>
      </c>
      <c r="I92" s="53" t="str">
        <f>IFERROR(VLOOKUP($E$4&amp;$A92,'Data Induk Pegawai'!$A:$Z,I$6,FALSE),"-")</f>
        <v>-</v>
      </c>
      <c r="J92" s="91" t="str">
        <f>IFERROR(VLOOKUP($E$4&amp;$A92,'Data Induk Pegawai'!$A:$Z,J$6,FALSE),"-")</f>
        <v>-</v>
      </c>
      <c r="K92" s="148" t="str">
        <f>IFERROR(VLOOKUP($E$4&amp;$A92,'Data Induk Pegawai'!$A:$Z,K$6,FALSE),"-")</f>
        <v>-</v>
      </c>
      <c r="L92" s="148" t="str">
        <f>IFERROR(VLOOKUP($E$4&amp;$A92,'Data Induk Pegawai'!$A:$Z,L$6,FALSE),"-")</f>
        <v>-</v>
      </c>
      <c r="M92" s="91" t="str">
        <f>IFERROR(VLOOKUP($E$4&amp;$A92,'Data Induk Pegawai'!$A:$Z,M$6,FALSE),"-")</f>
        <v>-</v>
      </c>
      <c r="N92" s="148" t="str">
        <f>IFERROR(VLOOKUP($E$4&amp;$A92,'Data Induk Pegawai'!$A:$Z,N$6,FALSE),"-")</f>
        <v>-</v>
      </c>
      <c r="O92" s="148" t="str">
        <f>IFERROR(VLOOKUP($E$4&amp;$A92,'Data Induk Pegawai'!$A:$Z,O$6,FALSE),"-")</f>
        <v>-</v>
      </c>
      <c r="P92" s="148" t="str">
        <f>IFERROR(VLOOKUP($E$4&amp;$A92,'Data Induk Pegawai'!$A:$Z,P$6,FALSE),"-")</f>
        <v>-</v>
      </c>
      <c r="Q92" s="136" t="str">
        <f>IFERROR(VLOOKUP($E$4&amp;$A92,'Data Induk Pegawai'!$A:$Z,Q$6,FALSE),"-")</f>
        <v>-</v>
      </c>
      <c r="R92" s="136" t="str">
        <f>IFERROR(VLOOKUP($E$4&amp;$A92,'Data Induk Pegawai'!$A:$Z,R$6,FALSE),"-")</f>
        <v>-</v>
      </c>
      <c r="S92" s="136" t="str">
        <f>IFERROR(VLOOKUP($E$4&amp;$A92,'Data Induk Pegawai'!$A:$Z,S$6,FALSE),"-")</f>
        <v>-</v>
      </c>
      <c r="T92" s="53" t="str">
        <f>IFERROR(VLOOKUP($E$4&amp;$A92,'Data Induk Pegawai'!$A:$Z,T$6,FALSE),"-")</f>
        <v>-</v>
      </c>
      <c r="U92" s="53" t="str">
        <f>IFERROR(VLOOKUP($E$4&amp;$A92,'Data Induk Pegawai'!$A:$Z,U$6,FALSE),"-")</f>
        <v>-</v>
      </c>
      <c r="V92" s="53" t="str">
        <f>IFERROR(VLOOKUP($E$4&amp;$A92,'Data Induk Pegawai'!$A:$Z,V$6,FALSE),"-")</f>
        <v>-</v>
      </c>
    </row>
    <row r="93" spans="1:22" ht="15.5" outlineLevel="1" x14ac:dyDescent="0.35">
      <c r="A93" s="51">
        <v>85</v>
      </c>
      <c r="B93" s="135" t="str">
        <f>IFERROR(VLOOKUP($E$4&amp;$A93,'Data Induk Pegawai'!$A:$Z,B$6,FALSE),"-")</f>
        <v>-</v>
      </c>
      <c r="C93" s="136" t="str">
        <f>IFERROR(VLOOKUP($E$4&amp;$A93,'Data Induk Pegawai'!$A:$Z,C$6,FALSE),"-")</f>
        <v>-</v>
      </c>
      <c r="D93" s="53" t="str">
        <f>IFERROR(VLOOKUP($E$4&amp;$A93,'Data Induk Pegawai'!$A:$Z,D$6,FALSE),"-")</f>
        <v>-</v>
      </c>
      <c r="E93" s="140" t="str">
        <f>IFERROR(VLOOKUP($E$4&amp;$A93,'Data Induk Pegawai'!$A:$Z,E$6,FALSE),"-")</f>
        <v>-</v>
      </c>
      <c r="F93" s="140" t="str">
        <f>IFERROR(VLOOKUP($E$4&amp;$A93,'Data Induk Pegawai'!$A:$Z,F$6,FALSE),"-")</f>
        <v>-</v>
      </c>
      <c r="G93" s="136" t="str">
        <f>IFERROR(VLOOKUP($E$4&amp;$A93,'Data Induk Pegawai'!$A:$Z,G$6,FALSE),"-")</f>
        <v>-</v>
      </c>
      <c r="H93" s="53" t="str">
        <f>IFERROR(LEFT(VLOOKUP($E$4&amp;$A93,'Data Induk Pegawai'!$A:$Z,H$6,FALSE),3),"-")</f>
        <v>-</v>
      </c>
      <c r="I93" s="53" t="str">
        <f>IFERROR(VLOOKUP($E$4&amp;$A93,'Data Induk Pegawai'!$A:$Z,I$6,FALSE),"-")</f>
        <v>-</v>
      </c>
      <c r="J93" s="91" t="str">
        <f>IFERROR(VLOOKUP($E$4&amp;$A93,'Data Induk Pegawai'!$A:$Z,J$6,FALSE),"-")</f>
        <v>-</v>
      </c>
      <c r="K93" s="148" t="str">
        <f>IFERROR(VLOOKUP($E$4&amp;$A93,'Data Induk Pegawai'!$A:$Z,K$6,FALSE),"-")</f>
        <v>-</v>
      </c>
      <c r="L93" s="148" t="str">
        <f>IFERROR(VLOOKUP($E$4&amp;$A93,'Data Induk Pegawai'!$A:$Z,L$6,FALSE),"-")</f>
        <v>-</v>
      </c>
      <c r="M93" s="91" t="str">
        <f>IFERROR(VLOOKUP($E$4&amp;$A93,'Data Induk Pegawai'!$A:$Z,M$6,FALSE),"-")</f>
        <v>-</v>
      </c>
      <c r="N93" s="148" t="str">
        <f>IFERROR(VLOOKUP($E$4&amp;$A93,'Data Induk Pegawai'!$A:$Z,N$6,FALSE),"-")</f>
        <v>-</v>
      </c>
      <c r="O93" s="148" t="str">
        <f>IFERROR(VLOOKUP($E$4&amp;$A93,'Data Induk Pegawai'!$A:$Z,O$6,FALSE),"-")</f>
        <v>-</v>
      </c>
      <c r="P93" s="148" t="str">
        <f>IFERROR(VLOOKUP($E$4&amp;$A93,'Data Induk Pegawai'!$A:$Z,P$6,FALSE),"-")</f>
        <v>-</v>
      </c>
      <c r="Q93" s="136" t="str">
        <f>IFERROR(VLOOKUP($E$4&amp;$A93,'Data Induk Pegawai'!$A:$Z,Q$6,FALSE),"-")</f>
        <v>-</v>
      </c>
      <c r="R93" s="136" t="str">
        <f>IFERROR(VLOOKUP($E$4&amp;$A93,'Data Induk Pegawai'!$A:$Z,R$6,FALSE),"-")</f>
        <v>-</v>
      </c>
      <c r="S93" s="136" t="str">
        <f>IFERROR(VLOOKUP($E$4&amp;$A93,'Data Induk Pegawai'!$A:$Z,S$6,FALSE),"-")</f>
        <v>-</v>
      </c>
      <c r="T93" s="53" t="str">
        <f>IFERROR(VLOOKUP($E$4&amp;$A93,'Data Induk Pegawai'!$A:$Z,T$6,FALSE),"-")</f>
        <v>-</v>
      </c>
      <c r="U93" s="53" t="str">
        <f>IFERROR(VLOOKUP($E$4&amp;$A93,'Data Induk Pegawai'!$A:$Z,U$6,FALSE),"-")</f>
        <v>-</v>
      </c>
      <c r="V93" s="53" t="str">
        <f>IFERROR(VLOOKUP($E$4&amp;$A93,'Data Induk Pegawai'!$A:$Z,V$6,FALSE),"-")</f>
        <v>-</v>
      </c>
    </row>
    <row r="94" spans="1:22" ht="15.5" outlineLevel="1" x14ac:dyDescent="0.35">
      <c r="A94" s="51">
        <v>86</v>
      </c>
      <c r="B94" s="135" t="str">
        <f>IFERROR(VLOOKUP($E$4&amp;$A94,'Data Induk Pegawai'!$A:$Z,B$6,FALSE),"-")</f>
        <v>-</v>
      </c>
      <c r="C94" s="136" t="str">
        <f>IFERROR(VLOOKUP($E$4&amp;$A94,'Data Induk Pegawai'!$A:$Z,C$6,FALSE),"-")</f>
        <v>-</v>
      </c>
      <c r="D94" s="53" t="str">
        <f>IFERROR(VLOOKUP($E$4&amp;$A94,'Data Induk Pegawai'!$A:$Z,D$6,FALSE),"-")</f>
        <v>-</v>
      </c>
      <c r="E94" s="140" t="str">
        <f>IFERROR(VLOOKUP($E$4&amp;$A94,'Data Induk Pegawai'!$A:$Z,E$6,FALSE),"-")</f>
        <v>-</v>
      </c>
      <c r="F94" s="140" t="str">
        <f>IFERROR(VLOOKUP($E$4&amp;$A94,'Data Induk Pegawai'!$A:$Z,F$6,FALSE),"-")</f>
        <v>-</v>
      </c>
      <c r="G94" s="136" t="str">
        <f>IFERROR(VLOOKUP($E$4&amp;$A94,'Data Induk Pegawai'!$A:$Z,G$6,FALSE),"-")</f>
        <v>-</v>
      </c>
      <c r="H94" s="53" t="str">
        <f>IFERROR(LEFT(VLOOKUP($E$4&amp;$A94,'Data Induk Pegawai'!$A:$Z,H$6,FALSE),3),"-")</f>
        <v>-</v>
      </c>
      <c r="I94" s="53" t="str">
        <f>IFERROR(VLOOKUP($E$4&amp;$A94,'Data Induk Pegawai'!$A:$Z,I$6,FALSE),"-")</f>
        <v>-</v>
      </c>
      <c r="J94" s="91" t="str">
        <f>IFERROR(VLOOKUP($E$4&amp;$A94,'Data Induk Pegawai'!$A:$Z,J$6,FALSE),"-")</f>
        <v>-</v>
      </c>
      <c r="K94" s="148" t="str">
        <f>IFERROR(VLOOKUP($E$4&amp;$A94,'Data Induk Pegawai'!$A:$Z,K$6,FALSE),"-")</f>
        <v>-</v>
      </c>
      <c r="L94" s="148" t="str">
        <f>IFERROR(VLOOKUP($E$4&amp;$A94,'Data Induk Pegawai'!$A:$Z,L$6,FALSE),"-")</f>
        <v>-</v>
      </c>
      <c r="M94" s="91" t="str">
        <f>IFERROR(VLOOKUP($E$4&amp;$A94,'Data Induk Pegawai'!$A:$Z,M$6,FALSE),"-")</f>
        <v>-</v>
      </c>
      <c r="N94" s="148" t="str">
        <f>IFERROR(VLOOKUP($E$4&amp;$A94,'Data Induk Pegawai'!$A:$Z,N$6,FALSE),"-")</f>
        <v>-</v>
      </c>
      <c r="O94" s="148" t="str">
        <f>IFERROR(VLOOKUP($E$4&amp;$A94,'Data Induk Pegawai'!$A:$Z,O$6,FALSE),"-")</f>
        <v>-</v>
      </c>
      <c r="P94" s="148" t="str">
        <f>IFERROR(VLOOKUP($E$4&amp;$A94,'Data Induk Pegawai'!$A:$Z,P$6,FALSE),"-")</f>
        <v>-</v>
      </c>
      <c r="Q94" s="136" t="str">
        <f>IFERROR(VLOOKUP($E$4&amp;$A94,'Data Induk Pegawai'!$A:$Z,Q$6,FALSE),"-")</f>
        <v>-</v>
      </c>
      <c r="R94" s="136" t="str">
        <f>IFERROR(VLOOKUP($E$4&amp;$A94,'Data Induk Pegawai'!$A:$Z,R$6,FALSE),"-")</f>
        <v>-</v>
      </c>
      <c r="S94" s="136" t="str">
        <f>IFERROR(VLOOKUP($E$4&amp;$A94,'Data Induk Pegawai'!$A:$Z,S$6,FALSE),"-")</f>
        <v>-</v>
      </c>
      <c r="T94" s="53" t="str">
        <f>IFERROR(VLOOKUP($E$4&amp;$A94,'Data Induk Pegawai'!$A:$Z,T$6,FALSE),"-")</f>
        <v>-</v>
      </c>
      <c r="U94" s="53" t="str">
        <f>IFERROR(VLOOKUP($E$4&amp;$A94,'Data Induk Pegawai'!$A:$Z,U$6,FALSE),"-")</f>
        <v>-</v>
      </c>
      <c r="V94" s="53" t="str">
        <f>IFERROR(VLOOKUP($E$4&amp;$A94,'Data Induk Pegawai'!$A:$Z,V$6,FALSE),"-")</f>
        <v>-</v>
      </c>
    </row>
    <row r="95" spans="1:22" ht="15.5" outlineLevel="1" x14ac:dyDescent="0.35">
      <c r="A95" s="51">
        <v>87</v>
      </c>
      <c r="B95" s="135" t="str">
        <f>IFERROR(VLOOKUP($E$4&amp;$A95,'Data Induk Pegawai'!$A:$Z,B$6,FALSE),"-")</f>
        <v>-</v>
      </c>
      <c r="C95" s="136" t="str">
        <f>IFERROR(VLOOKUP($E$4&amp;$A95,'Data Induk Pegawai'!$A:$Z,C$6,FALSE),"-")</f>
        <v>-</v>
      </c>
      <c r="D95" s="53" t="str">
        <f>IFERROR(VLOOKUP($E$4&amp;$A95,'Data Induk Pegawai'!$A:$Z,D$6,FALSE),"-")</f>
        <v>-</v>
      </c>
      <c r="E95" s="140" t="str">
        <f>IFERROR(VLOOKUP($E$4&amp;$A95,'Data Induk Pegawai'!$A:$Z,E$6,FALSE),"-")</f>
        <v>-</v>
      </c>
      <c r="F95" s="140" t="str">
        <f>IFERROR(VLOOKUP($E$4&amp;$A95,'Data Induk Pegawai'!$A:$Z,F$6,FALSE),"-")</f>
        <v>-</v>
      </c>
      <c r="G95" s="136" t="str">
        <f>IFERROR(VLOOKUP($E$4&amp;$A95,'Data Induk Pegawai'!$A:$Z,G$6,FALSE),"-")</f>
        <v>-</v>
      </c>
      <c r="H95" s="53" t="str">
        <f>IFERROR(LEFT(VLOOKUP($E$4&amp;$A95,'Data Induk Pegawai'!$A:$Z,H$6,FALSE),3),"-")</f>
        <v>-</v>
      </c>
      <c r="I95" s="53" t="str">
        <f>IFERROR(VLOOKUP($E$4&amp;$A95,'Data Induk Pegawai'!$A:$Z,I$6,FALSE),"-")</f>
        <v>-</v>
      </c>
      <c r="J95" s="91" t="str">
        <f>IFERROR(VLOOKUP($E$4&amp;$A95,'Data Induk Pegawai'!$A:$Z,J$6,FALSE),"-")</f>
        <v>-</v>
      </c>
      <c r="K95" s="148" t="str">
        <f>IFERROR(VLOOKUP($E$4&amp;$A95,'Data Induk Pegawai'!$A:$Z,K$6,FALSE),"-")</f>
        <v>-</v>
      </c>
      <c r="L95" s="148" t="str">
        <f>IFERROR(VLOOKUP($E$4&amp;$A95,'Data Induk Pegawai'!$A:$Z,L$6,FALSE),"-")</f>
        <v>-</v>
      </c>
      <c r="M95" s="91" t="str">
        <f>IFERROR(VLOOKUP($E$4&amp;$A95,'Data Induk Pegawai'!$A:$Z,M$6,FALSE),"-")</f>
        <v>-</v>
      </c>
      <c r="N95" s="148" t="str">
        <f>IFERROR(VLOOKUP($E$4&amp;$A95,'Data Induk Pegawai'!$A:$Z,N$6,FALSE),"-")</f>
        <v>-</v>
      </c>
      <c r="O95" s="148" t="str">
        <f>IFERROR(VLOOKUP($E$4&amp;$A95,'Data Induk Pegawai'!$A:$Z,O$6,FALSE),"-")</f>
        <v>-</v>
      </c>
      <c r="P95" s="148" t="str">
        <f>IFERROR(VLOOKUP($E$4&amp;$A95,'Data Induk Pegawai'!$A:$Z,P$6,FALSE),"-")</f>
        <v>-</v>
      </c>
      <c r="Q95" s="136" t="str">
        <f>IFERROR(VLOOKUP($E$4&amp;$A95,'Data Induk Pegawai'!$A:$Z,Q$6,FALSE),"-")</f>
        <v>-</v>
      </c>
      <c r="R95" s="136" t="str">
        <f>IFERROR(VLOOKUP($E$4&amp;$A95,'Data Induk Pegawai'!$A:$Z,R$6,FALSE),"-")</f>
        <v>-</v>
      </c>
      <c r="S95" s="136" t="str">
        <f>IFERROR(VLOOKUP($E$4&amp;$A95,'Data Induk Pegawai'!$A:$Z,S$6,FALSE),"-")</f>
        <v>-</v>
      </c>
      <c r="T95" s="53" t="str">
        <f>IFERROR(VLOOKUP($E$4&amp;$A95,'Data Induk Pegawai'!$A:$Z,T$6,FALSE),"-")</f>
        <v>-</v>
      </c>
      <c r="U95" s="53" t="str">
        <f>IFERROR(VLOOKUP($E$4&amp;$A95,'Data Induk Pegawai'!$A:$Z,U$6,FALSE),"-")</f>
        <v>-</v>
      </c>
      <c r="V95" s="53" t="str">
        <f>IFERROR(VLOOKUP($E$4&amp;$A95,'Data Induk Pegawai'!$A:$Z,V$6,FALSE),"-")</f>
        <v>-</v>
      </c>
    </row>
    <row r="96" spans="1:22" ht="15.5" outlineLevel="1" x14ac:dyDescent="0.35">
      <c r="A96" s="51">
        <v>88</v>
      </c>
      <c r="B96" s="135" t="str">
        <f>IFERROR(VLOOKUP($E$4&amp;$A96,'Data Induk Pegawai'!$A:$Z,B$6,FALSE),"-")</f>
        <v>-</v>
      </c>
      <c r="C96" s="136" t="str">
        <f>IFERROR(VLOOKUP($E$4&amp;$A96,'Data Induk Pegawai'!$A:$Z,C$6,FALSE),"-")</f>
        <v>-</v>
      </c>
      <c r="D96" s="53" t="str">
        <f>IFERROR(VLOOKUP($E$4&amp;$A96,'Data Induk Pegawai'!$A:$Z,D$6,FALSE),"-")</f>
        <v>-</v>
      </c>
      <c r="E96" s="140" t="str">
        <f>IFERROR(VLOOKUP($E$4&amp;$A96,'Data Induk Pegawai'!$A:$Z,E$6,FALSE),"-")</f>
        <v>-</v>
      </c>
      <c r="F96" s="140" t="str">
        <f>IFERROR(VLOOKUP($E$4&amp;$A96,'Data Induk Pegawai'!$A:$Z,F$6,FALSE),"-")</f>
        <v>-</v>
      </c>
      <c r="G96" s="136" t="str">
        <f>IFERROR(VLOOKUP($E$4&amp;$A96,'Data Induk Pegawai'!$A:$Z,G$6,FALSE),"-")</f>
        <v>-</v>
      </c>
      <c r="H96" s="53" t="str">
        <f>IFERROR(LEFT(VLOOKUP($E$4&amp;$A96,'Data Induk Pegawai'!$A:$Z,H$6,FALSE),3),"-")</f>
        <v>-</v>
      </c>
      <c r="I96" s="53" t="str">
        <f>IFERROR(VLOOKUP($E$4&amp;$A96,'Data Induk Pegawai'!$A:$Z,I$6,FALSE),"-")</f>
        <v>-</v>
      </c>
      <c r="J96" s="91" t="str">
        <f>IFERROR(VLOOKUP($E$4&amp;$A96,'Data Induk Pegawai'!$A:$Z,J$6,FALSE),"-")</f>
        <v>-</v>
      </c>
      <c r="K96" s="148" t="str">
        <f>IFERROR(VLOOKUP($E$4&amp;$A96,'Data Induk Pegawai'!$A:$Z,K$6,FALSE),"-")</f>
        <v>-</v>
      </c>
      <c r="L96" s="148" t="str">
        <f>IFERROR(VLOOKUP($E$4&amp;$A96,'Data Induk Pegawai'!$A:$Z,L$6,FALSE),"-")</f>
        <v>-</v>
      </c>
      <c r="M96" s="91" t="str">
        <f>IFERROR(VLOOKUP($E$4&amp;$A96,'Data Induk Pegawai'!$A:$Z,M$6,FALSE),"-")</f>
        <v>-</v>
      </c>
      <c r="N96" s="148" t="str">
        <f>IFERROR(VLOOKUP($E$4&amp;$A96,'Data Induk Pegawai'!$A:$Z,N$6,FALSE),"-")</f>
        <v>-</v>
      </c>
      <c r="O96" s="148" t="str">
        <f>IFERROR(VLOOKUP($E$4&amp;$A96,'Data Induk Pegawai'!$A:$Z,O$6,FALSE),"-")</f>
        <v>-</v>
      </c>
      <c r="P96" s="148" t="str">
        <f>IFERROR(VLOOKUP($E$4&amp;$A96,'Data Induk Pegawai'!$A:$Z,P$6,FALSE),"-")</f>
        <v>-</v>
      </c>
      <c r="Q96" s="136" t="str">
        <f>IFERROR(VLOOKUP($E$4&amp;$A96,'Data Induk Pegawai'!$A:$Z,Q$6,FALSE),"-")</f>
        <v>-</v>
      </c>
      <c r="R96" s="136" t="str">
        <f>IFERROR(VLOOKUP($E$4&amp;$A96,'Data Induk Pegawai'!$A:$Z,R$6,FALSE),"-")</f>
        <v>-</v>
      </c>
      <c r="S96" s="136" t="str">
        <f>IFERROR(VLOOKUP($E$4&amp;$A96,'Data Induk Pegawai'!$A:$Z,S$6,FALSE),"-")</f>
        <v>-</v>
      </c>
      <c r="T96" s="53" t="str">
        <f>IFERROR(VLOOKUP($E$4&amp;$A96,'Data Induk Pegawai'!$A:$Z,T$6,FALSE),"-")</f>
        <v>-</v>
      </c>
      <c r="U96" s="53" t="str">
        <f>IFERROR(VLOOKUP($E$4&amp;$A96,'Data Induk Pegawai'!$A:$Z,U$6,FALSE),"-")</f>
        <v>-</v>
      </c>
      <c r="V96" s="53" t="str">
        <f>IFERROR(VLOOKUP($E$4&amp;$A96,'Data Induk Pegawai'!$A:$Z,V$6,FALSE),"-")</f>
        <v>-</v>
      </c>
    </row>
    <row r="97" spans="1:22" ht="15.5" outlineLevel="1" x14ac:dyDescent="0.35">
      <c r="A97" s="51">
        <v>89</v>
      </c>
      <c r="B97" s="135" t="str">
        <f>IFERROR(VLOOKUP($E$4&amp;$A97,'Data Induk Pegawai'!$A:$Z,B$6,FALSE),"-")</f>
        <v>-</v>
      </c>
      <c r="C97" s="136" t="str">
        <f>IFERROR(VLOOKUP($E$4&amp;$A97,'Data Induk Pegawai'!$A:$Z,C$6,FALSE),"-")</f>
        <v>-</v>
      </c>
      <c r="D97" s="53" t="str">
        <f>IFERROR(VLOOKUP($E$4&amp;$A97,'Data Induk Pegawai'!$A:$Z,D$6,FALSE),"-")</f>
        <v>-</v>
      </c>
      <c r="E97" s="140" t="str">
        <f>IFERROR(VLOOKUP($E$4&amp;$A97,'Data Induk Pegawai'!$A:$Z,E$6,FALSE),"-")</f>
        <v>-</v>
      </c>
      <c r="F97" s="140" t="str">
        <f>IFERROR(VLOOKUP($E$4&amp;$A97,'Data Induk Pegawai'!$A:$Z,F$6,FALSE),"-")</f>
        <v>-</v>
      </c>
      <c r="G97" s="136" t="str">
        <f>IFERROR(VLOOKUP($E$4&amp;$A97,'Data Induk Pegawai'!$A:$Z,G$6,FALSE),"-")</f>
        <v>-</v>
      </c>
      <c r="H97" s="53" t="str">
        <f>IFERROR(LEFT(VLOOKUP($E$4&amp;$A97,'Data Induk Pegawai'!$A:$Z,H$6,FALSE),3),"-")</f>
        <v>-</v>
      </c>
      <c r="I97" s="53" t="str">
        <f>IFERROR(VLOOKUP($E$4&amp;$A97,'Data Induk Pegawai'!$A:$Z,I$6,FALSE),"-")</f>
        <v>-</v>
      </c>
      <c r="J97" s="91" t="str">
        <f>IFERROR(VLOOKUP($E$4&amp;$A97,'Data Induk Pegawai'!$A:$Z,J$6,FALSE),"-")</f>
        <v>-</v>
      </c>
      <c r="K97" s="148" t="str">
        <f>IFERROR(VLOOKUP($E$4&amp;$A97,'Data Induk Pegawai'!$A:$Z,K$6,FALSE),"-")</f>
        <v>-</v>
      </c>
      <c r="L97" s="148" t="str">
        <f>IFERROR(VLOOKUP($E$4&amp;$A97,'Data Induk Pegawai'!$A:$Z,L$6,FALSE),"-")</f>
        <v>-</v>
      </c>
      <c r="M97" s="91" t="str">
        <f>IFERROR(VLOOKUP($E$4&amp;$A97,'Data Induk Pegawai'!$A:$Z,M$6,FALSE),"-")</f>
        <v>-</v>
      </c>
      <c r="N97" s="148" t="str">
        <f>IFERROR(VLOOKUP($E$4&amp;$A97,'Data Induk Pegawai'!$A:$Z,N$6,FALSE),"-")</f>
        <v>-</v>
      </c>
      <c r="O97" s="148" t="str">
        <f>IFERROR(VLOOKUP($E$4&amp;$A97,'Data Induk Pegawai'!$A:$Z,O$6,FALSE),"-")</f>
        <v>-</v>
      </c>
      <c r="P97" s="148" t="str">
        <f>IFERROR(VLOOKUP($E$4&amp;$A97,'Data Induk Pegawai'!$A:$Z,P$6,FALSE),"-")</f>
        <v>-</v>
      </c>
      <c r="Q97" s="136" t="str">
        <f>IFERROR(VLOOKUP($E$4&amp;$A97,'Data Induk Pegawai'!$A:$Z,Q$6,FALSE),"-")</f>
        <v>-</v>
      </c>
      <c r="R97" s="136" t="str">
        <f>IFERROR(VLOOKUP($E$4&amp;$A97,'Data Induk Pegawai'!$A:$Z,R$6,FALSE),"-")</f>
        <v>-</v>
      </c>
      <c r="S97" s="136" t="str">
        <f>IFERROR(VLOOKUP($E$4&amp;$A97,'Data Induk Pegawai'!$A:$Z,S$6,FALSE),"-")</f>
        <v>-</v>
      </c>
      <c r="T97" s="53" t="str">
        <f>IFERROR(VLOOKUP($E$4&amp;$A97,'Data Induk Pegawai'!$A:$Z,T$6,FALSE),"-")</f>
        <v>-</v>
      </c>
      <c r="U97" s="53" t="str">
        <f>IFERROR(VLOOKUP($E$4&amp;$A97,'Data Induk Pegawai'!$A:$Z,U$6,FALSE),"-")</f>
        <v>-</v>
      </c>
      <c r="V97" s="53" t="str">
        <f>IFERROR(VLOOKUP($E$4&amp;$A97,'Data Induk Pegawai'!$A:$Z,V$6,FALSE),"-")</f>
        <v>-</v>
      </c>
    </row>
    <row r="98" spans="1:22" ht="15.5" outlineLevel="1" x14ac:dyDescent="0.35">
      <c r="A98" s="51">
        <v>90</v>
      </c>
      <c r="B98" s="135" t="str">
        <f>IFERROR(VLOOKUP($E$4&amp;$A98,'Data Induk Pegawai'!$A:$Z,B$6,FALSE),"-")</f>
        <v>-</v>
      </c>
      <c r="C98" s="136" t="str">
        <f>IFERROR(VLOOKUP($E$4&amp;$A98,'Data Induk Pegawai'!$A:$Z,C$6,FALSE),"-")</f>
        <v>-</v>
      </c>
      <c r="D98" s="53" t="str">
        <f>IFERROR(VLOOKUP($E$4&amp;$A98,'Data Induk Pegawai'!$A:$Z,D$6,FALSE),"-")</f>
        <v>-</v>
      </c>
      <c r="E98" s="140" t="str">
        <f>IFERROR(VLOOKUP($E$4&amp;$A98,'Data Induk Pegawai'!$A:$Z,E$6,FALSE),"-")</f>
        <v>-</v>
      </c>
      <c r="F98" s="140" t="str">
        <f>IFERROR(VLOOKUP($E$4&amp;$A98,'Data Induk Pegawai'!$A:$Z,F$6,FALSE),"-")</f>
        <v>-</v>
      </c>
      <c r="G98" s="136" t="str">
        <f>IFERROR(VLOOKUP($E$4&amp;$A98,'Data Induk Pegawai'!$A:$Z,G$6,FALSE),"-")</f>
        <v>-</v>
      </c>
      <c r="H98" s="53" t="str">
        <f>IFERROR(LEFT(VLOOKUP($E$4&amp;$A98,'Data Induk Pegawai'!$A:$Z,H$6,FALSE),3),"-")</f>
        <v>-</v>
      </c>
      <c r="I98" s="53" t="str">
        <f>IFERROR(VLOOKUP($E$4&amp;$A98,'Data Induk Pegawai'!$A:$Z,I$6,FALSE),"-")</f>
        <v>-</v>
      </c>
      <c r="J98" s="91" t="str">
        <f>IFERROR(VLOOKUP($E$4&amp;$A98,'Data Induk Pegawai'!$A:$Z,J$6,FALSE),"-")</f>
        <v>-</v>
      </c>
      <c r="K98" s="148" t="str">
        <f>IFERROR(VLOOKUP($E$4&amp;$A98,'Data Induk Pegawai'!$A:$Z,K$6,FALSE),"-")</f>
        <v>-</v>
      </c>
      <c r="L98" s="148" t="str">
        <f>IFERROR(VLOOKUP($E$4&amp;$A98,'Data Induk Pegawai'!$A:$Z,L$6,FALSE),"-")</f>
        <v>-</v>
      </c>
      <c r="M98" s="91" t="str">
        <f>IFERROR(VLOOKUP($E$4&amp;$A98,'Data Induk Pegawai'!$A:$Z,M$6,FALSE),"-")</f>
        <v>-</v>
      </c>
      <c r="N98" s="148" t="str">
        <f>IFERROR(VLOOKUP($E$4&amp;$A98,'Data Induk Pegawai'!$A:$Z,N$6,FALSE),"-")</f>
        <v>-</v>
      </c>
      <c r="O98" s="148" t="str">
        <f>IFERROR(VLOOKUP($E$4&amp;$A98,'Data Induk Pegawai'!$A:$Z,O$6,FALSE),"-")</f>
        <v>-</v>
      </c>
      <c r="P98" s="148" t="str">
        <f>IFERROR(VLOOKUP($E$4&amp;$A98,'Data Induk Pegawai'!$A:$Z,P$6,FALSE),"-")</f>
        <v>-</v>
      </c>
      <c r="Q98" s="136" t="str">
        <f>IFERROR(VLOOKUP($E$4&amp;$A98,'Data Induk Pegawai'!$A:$Z,Q$6,FALSE),"-")</f>
        <v>-</v>
      </c>
      <c r="R98" s="136" t="str">
        <f>IFERROR(VLOOKUP($E$4&amp;$A98,'Data Induk Pegawai'!$A:$Z,R$6,FALSE),"-")</f>
        <v>-</v>
      </c>
      <c r="S98" s="136" t="str">
        <f>IFERROR(VLOOKUP($E$4&amp;$A98,'Data Induk Pegawai'!$A:$Z,S$6,FALSE),"-")</f>
        <v>-</v>
      </c>
      <c r="T98" s="53" t="str">
        <f>IFERROR(VLOOKUP($E$4&amp;$A98,'Data Induk Pegawai'!$A:$Z,T$6,FALSE),"-")</f>
        <v>-</v>
      </c>
      <c r="U98" s="53" t="str">
        <f>IFERROR(VLOOKUP($E$4&amp;$A98,'Data Induk Pegawai'!$A:$Z,U$6,FALSE),"-")</f>
        <v>-</v>
      </c>
      <c r="V98" s="53" t="str">
        <f>IFERROR(VLOOKUP($E$4&amp;$A98,'Data Induk Pegawai'!$A:$Z,V$6,FALSE),"-")</f>
        <v>-</v>
      </c>
    </row>
    <row r="99" spans="1:22" ht="15.5" outlineLevel="1" x14ac:dyDescent="0.35">
      <c r="A99" s="51">
        <v>91</v>
      </c>
      <c r="B99" s="135" t="str">
        <f>IFERROR(VLOOKUP($E$4&amp;$A99,'Data Induk Pegawai'!$A:$Z,B$6,FALSE),"-")</f>
        <v>-</v>
      </c>
      <c r="C99" s="136" t="str">
        <f>IFERROR(VLOOKUP($E$4&amp;$A99,'Data Induk Pegawai'!$A:$Z,C$6,FALSE),"-")</f>
        <v>-</v>
      </c>
      <c r="D99" s="53" t="str">
        <f>IFERROR(VLOOKUP($E$4&amp;$A99,'Data Induk Pegawai'!$A:$Z,D$6,FALSE),"-")</f>
        <v>-</v>
      </c>
      <c r="E99" s="140" t="str">
        <f>IFERROR(VLOOKUP($E$4&amp;$A99,'Data Induk Pegawai'!$A:$Z,E$6,FALSE),"-")</f>
        <v>-</v>
      </c>
      <c r="F99" s="140" t="str">
        <f>IFERROR(VLOOKUP($E$4&amp;$A99,'Data Induk Pegawai'!$A:$Z,F$6,FALSE),"-")</f>
        <v>-</v>
      </c>
      <c r="G99" s="136" t="str">
        <f>IFERROR(VLOOKUP($E$4&amp;$A99,'Data Induk Pegawai'!$A:$Z,G$6,FALSE),"-")</f>
        <v>-</v>
      </c>
      <c r="H99" s="53" t="str">
        <f>IFERROR(LEFT(VLOOKUP($E$4&amp;$A99,'Data Induk Pegawai'!$A:$Z,H$6,FALSE),3),"-")</f>
        <v>-</v>
      </c>
      <c r="I99" s="53" t="str">
        <f>IFERROR(VLOOKUP($E$4&amp;$A99,'Data Induk Pegawai'!$A:$Z,I$6,FALSE),"-")</f>
        <v>-</v>
      </c>
      <c r="J99" s="91" t="str">
        <f>IFERROR(VLOOKUP($E$4&amp;$A99,'Data Induk Pegawai'!$A:$Z,J$6,FALSE),"-")</f>
        <v>-</v>
      </c>
      <c r="K99" s="148" t="str">
        <f>IFERROR(VLOOKUP($E$4&amp;$A99,'Data Induk Pegawai'!$A:$Z,K$6,FALSE),"-")</f>
        <v>-</v>
      </c>
      <c r="L99" s="148" t="str">
        <f>IFERROR(VLOOKUP($E$4&amp;$A99,'Data Induk Pegawai'!$A:$Z,L$6,FALSE),"-")</f>
        <v>-</v>
      </c>
      <c r="M99" s="91" t="str">
        <f>IFERROR(VLOOKUP($E$4&amp;$A99,'Data Induk Pegawai'!$A:$Z,M$6,FALSE),"-")</f>
        <v>-</v>
      </c>
      <c r="N99" s="148" t="str">
        <f>IFERROR(VLOOKUP($E$4&amp;$A99,'Data Induk Pegawai'!$A:$Z,N$6,FALSE),"-")</f>
        <v>-</v>
      </c>
      <c r="O99" s="148" t="str">
        <f>IFERROR(VLOOKUP($E$4&amp;$A99,'Data Induk Pegawai'!$A:$Z,O$6,FALSE),"-")</f>
        <v>-</v>
      </c>
      <c r="P99" s="148" t="str">
        <f>IFERROR(VLOOKUP($E$4&amp;$A99,'Data Induk Pegawai'!$A:$Z,P$6,FALSE),"-")</f>
        <v>-</v>
      </c>
      <c r="Q99" s="136" t="str">
        <f>IFERROR(VLOOKUP($E$4&amp;$A99,'Data Induk Pegawai'!$A:$Z,Q$6,FALSE),"-")</f>
        <v>-</v>
      </c>
      <c r="R99" s="136" t="str">
        <f>IFERROR(VLOOKUP($E$4&amp;$A99,'Data Induk Pegawai'!$A:$Z,R$6,FALSE),"-")</f>
        <v>-</v>
      </c>
      <c r="S99" s="136" t="str">
        <f>IFERROR(VLOOKUP($E$4&amp;$A99,'Data Induk Pegawai'!$A:$Z,S$6,FALSE),"-")</f>
        <v>-</v>
      </c>
      <c r="T99" s="53" t="str">
        <f>IFERROR(VLOOKUP($E$4&amp;$A99,'Data Induk Pegawai'!$A:$Z,T$6,FALSE),"-")</f>
        <v>-</v>
      </c>
      <c r="U99" s="53" t="str">
        <f>IFERROR(VLOOKUP($E$4&amp;$A99,'Data Induk Pegawai'!$A:$Z,U$6,FALSE),"-")</f>
        <v>-</v>
      </c>
      <c r="V99" s="53" t="str">
        <f>IFERROR(VLOOKUP($E$4&amp;$A99,'Data Induk Pegawai'!$A:$Z,V$6,FALSE),"-")</f>
        <v>-</v>
      </c>
    </row>
    <row r="100" spans="1:22" ht="15.5" outlineLevel="1" x14ac:dyDescent="0.35">
      <c r="A100" s="51">
        <v>92</v>
      </c>
      <c r="B100" s="135" t="str">
        <f>IFERROR(VLOOKUP($E$4&amp;$A100,'Data Induk Pegawai'!$A:$Z,B$6,FALSE),"-")</f>
        <v>-</v>
      </c>
      <c r="C100" s="136" t="str">
        <f>IFERROR(VLOOKUP($E$4&amp;$A100,'Data Induk Pegawai'!$A:$Z,C$6,FALSE),"-")</f>
        <v>-</v>
      </c>
      <c r="D100" s="53" t="str">
        <f>IFERROR(VLOOKUP($E$4&amp;$A100,'Data Induk Pegawai'!$A:$Z,D$6,FALSE),"-")</f>
        <v>-</v>
      </c>
      <c r="E100" s="140" t="str">
        <f>IFERROR(VLOOKUP($E$4&amp;$A100,'Data Induk Pegawai'!$A:$Z,E$6,FALSE),"-")</f>
        <v>-</v>
      </c>
      <c r="F100" s="140" t="str">
        <f>IFERROR(VLOOKUP($E$4&amp;$A100,'Data Induk Pegawai'!$A:$Z,F$6,FALSE),"-")</f>
        <v>-</v>
      </c>
      <c r="G100" s="136" t="str">
        <f>IFERROR(VLOOKUP($E$4&amp;$A100,'Data Induk Pegawai'!$A:$Z,G$6,FALSE),"-")</f>
        <v>-</v>
      </c>
      <c r="H100" s="53" t="str">
        <f>IFERROR(LEFT(VLOOKUP($E$4&amp;$A100,'Data Induk Pegawai'!$A:$Z,H$6,FALSE),3),"-")</f>
        <v>-</v>
      </c>
      <c r="I100" s="53" t="str">
        <f>IFERROR(VLOOKUP($E$4&amp;$A100,'Data Induk Pegawai'!$A:$Z,I$6,FALSE),"-")</f>
        <v>-</v>
      </c>
      <c r="J100" s="91" t="str">
        <f>IFERROR(VLOOKUP($E$4&amp;$A100,'Data Induk Pegawai'!$A:$Z,J$6,FALSE),"-")</f>
        <v>-</v>
      </c>
      <c r="K100" s="148" t="str">
        <f>IFERROR(VLOOKUP($E$4&amp;$A100,'Data Induk Pegawai'!$A:$Z,K$6,FALSE),"-")</f>
        <v>-</v>
      </c>
      <c r="L100" s="148" t="str">
        <f>IFERROR(VLOOKUP($E$4&amp;$A100,'Data Induk Pegawai'!$A:$Z,L$6,FALSE),"-")</f>
        <v>-</v>
      </c>
      <c r="M100" s="91" t="str">
        <f>IFERROR(VLOOKUP($E$4&amp;$A100,'Data Induk Pegawai'!$A:$Z,M$6,FALSE),"-")</f>
        <v>-</v>
      </c>
      <c r="N100" s="148" t="str">
        <f>IFERROR(VLOOKUP($E$4&amp;$A100,'Data Induk Pegawai'!$A:$Z,N$6,FALSE),"-")</f>
        <v>-</v>
      </c>
      <c r="O100" s="148" t="str">
        <f>IFERROR(VLOOKUP($E$4&amp;$A100,'Data Induk Pegawai'!$A:$Z,O$6,FALSE),"-")</f>
        <v>-</v>
      </c>
      <c r="P100" s="148" t="str">
        <f>IFERROR(VLOOKUP($E$4&amp;$A100,'Data Induk Pegawai'!$A:$Z,P$6,FALSE),"-")</f>
        <v>-</v>
      </c>
      <c r="Q100" s="136" t="str">
        <f>IFERROR(VLOOKUP($E$4&amp;$A100,'Data Induk Pegawai'!$A:$Z,Q$6,FALSE),"-")</f>
        <v>-</v>
      </c>
      <c r="R100" s="136" t="str">
        <f>IFERROR(VLOOKUP($E$4&amp;$A100,'Data Induk Pegawai'!$A:$Z,R$6,FALSE),"-")</f>
        <v>-</v>
      </c>
      <c r="S100" s="136" t="str">
        <f>IFERROR(VLOOKUP($E$4&amp;$A100,'Data Induk Pegawai'!$A:$Z,S$6,FALSE),"-")</f>
        <v>-</v>
      </c>
      <c r="T100" s="53" t="str">
        <f>IFERROR(VLOOKUP($E$4&amp;$A100,'Data Induk Pegawai'!$A:$Z,T$6,FALSE),"-")</f>
        <v>-</v>
      </c>
      <c r="U100" s="53" t="str">
        <f>IFERROR(VLOOKUP($E$4&amp;$A100,'Data Induk Pegawai'!$A:$Z,U$6,FALSE),"-")</f>
        <v>-</v>
      </c>
      <c r="V100" s="53" t="str">
        <f>IFERROR(VLOOKUP($E$4&amp;$A100,'Data Induk Pegawai'!$A:$Z,V$6,FALSE),"-")</f>
        <v>-</v>
      </c>
    </row>
    <row r="101" spans="1:22" ht="15.5" outlineLevel="1" x14ac:dyDescent="0.35">
      <c r="A101" s="51">
        <v>93</v>
      </c>
      <c r="B101" s="135" t="str">
        <f>IFERROR(VLOOKUP($E$4&amp;$A101,'Data Induk Pegawai'!$A:$Z,B$6,FALSE),"-")</f>
        <v>-</v>
      </c>
      <c r="C101" s="136" t="str">
        <f>IFERROR(VLOOKUP($E$4&amp;$A101,'Data Induk Pegawai'!$A:$Z,C$6,FALSE),"-")</f>
        <v>-</v>
      </c>
      <c r="D101" s="53" t="str">
        <f>IFERROR(VLOOKUP($E$4&amp;$A101,'Data Induk Pegawai'!$A:$Z,D$6,FALSE),"-")</f>
        <v>-</v>
      </c>
      <c r="E101" s="140" t="str">
        <f>IFERROR(VLOOKUP($E$4&amp;$A101,'Data Induk Pegawai'!$A:$Z,E$6,FALSE),"-")</f>
        <v>-</v>
      </c>
      <c r="F101" s="140" t="str">
        <f>IFERROR(VLOOKUP($E$4&amp;$A101,'Data Induk Pegawai'!$A:$Z,F$6,FALSE),"-")</f>
        <v>-</v>
      </c>
      <c r="G101" s="136" t="str">
        <f>IFERROR(VLOOKUP($E$4&amp;$A101,'Data Induk Pegawai'!$A:$Z,G$6,FALSE),"-")</f>
        <v>-</v>
      </c>
      <c r="H101" s="53" t="str">
        <f>IFERROR(LEFT(VLOOKUP($E$4&amp;$A101,'Data Induk Pegawai'!$A:$Z,H$6,FALSE),3),"-")</f>
        <v>-</v>
      </c>
      <c r="I101" s="53" t="str">
        <f>IFERROR(VLOOKUP($E$4&amp;$A101,'Data Induk Pegawai'!$A:$Z,I$6,FALSE),"-")</f>
        <v>-</v>
      </c>
      <c r="J101" s="91" t="str">
        <f>IFERROR(VLOOKUP($E$4&amp;$A101,'Data Induk Pegawai'!$A:$Z,J$6,FALSE),"-")</f>
        <v>-</v>
      </c>
      <c r="K101" s="148" t="str">
        <f>IFERROR(VLOOKUP($E$4&amp;$A101,'Data Induk Pegawai'!$A:$Z,K$6,FALSE),"-")</f>
        <v>-</v>
      </c>
      <c r="L101" s="148" t="str">
        <f>IFERROR(VLOOKUP($E$4&amp;$A101,'Data Induk Pegawai'!$A:$Z,L$6,FALSE),"-")</f>
        <v>-</v>
      </c>
      <c r="M101" s="91" t="str">
        <f>IFERROR(VLOOKUP($E$4&amp;$A101,'Data Induk Pegawai'!$A:$Z,M$6,FALSE),"-")</f>
        <v>-</v>
      </c>
      <c r="N101" s="148" t="str">
        <f>IFERROR(VLOOKUP($E$4&amp;$A101,'Data Induk Pegawai'!$A:$Z,N$6,FALSE),"-")</f>
        <v>-</v>
      </c>
      <c r="O101" s="148" t="str">
        <f>IFERROR(VLOOKUP($E$4&amp;$A101,'Data Induk Pegawai'!$A:$Z,O$6,FALSE),"-")</f>
        <v>-</v>
      </c>
      <c r="P101" s="148" t="str">
        <f>IFERROR(VLOOKUP($E$4&amp;$A101,'Data Induk Pegawai'!$A:$Z,P$6,FALSE),"-")</f>
        <v>-</v>
      </c>
      <c r="Q101" s="136" t="str">
        <f>IFERROR(VLOOKUP($E$4&amp;$A101,'Data Induk Pegawai'!$A:$Z,Q$6,FALSE),"-")</f>
        <v>-</v>
      </c>
      <c r="R101" s="136" t="str">
        <f>IFERROR(VLOOKUP($E$4&amp;$A101,'Data Induk Pegawai'!$A:$Z,R$6,FALSE),"-")</f>
        <v>-</v>
      </c>
      <c r="S101" s="136" t="str">
        <f>IFERROR(VLOOKUP($E$4&amp;$A101,'Data Induk Pegawai'!$A:$Z,S$6,FALSE),"-")</f>
        <v>-</v>
      </c>
      <c r="T101" s="53" t="str">
        <f>IFERROR(VLOOKUP($E$4&amp;$A101,'Data Induk Pegawai'!$A:$Z,T$6,FALSE),"-")</f>
        <v>-</v>
      </c>
      <c r="U101" s="53" t="str">
        <f>IFERROR(VLOOKUP($E$4&amp;$A101,'Data Induk Pegawai'!$A:$Z,U$6,FALSE),"-")</f>
        <v>-</v>
      </c>
      <c r="V101" s="53" t="str">
        <f>IFERROR(VLOOKUP($E$4&amp;$A101,'Data Induk Pegawai'!$A:$Z,V$6,FALSE),"-")</f>
        <v>-</v>
      </c>
    </row>
    <row r="102" spans="1:22" ht="15.5" outlineLevel="1" x14ac:dyDescent="0.35">
      <c r="A102" s="51">
        <v>94</v>
      </c>
      <c r="B102" s="135" t="str">
        <f>IFERROR(VLOOKUP($E$4&amp;$A102,'Data Induk Pegawai'!$A:$Z,B$6,FALSE),"-")</f>
        <v>-</v>
      </c>
      <c r="C102" s="136" t="str">
        <f>IFERROR(VLOOKUP($E$4&amp;$A102,'Data Induk Pegawai'!$A:$Z,C$6,FALSE),"-")</f>
        <v>-</v>
      </c>
      <c r="D102" s="53" t="str">
        <f>IFERROR(VLOOKUP($E$4&amp;$A102,'Data Induk Pegawai'!$A:$Z,D$6,FALSE),"-")</f>
        <v>-</v>
      </c>
      <c r="E102" s="140" t="str">
        <f>IFERROR(VLOOKUP($E$4&amp;$A102,'Data Induk Pegawai'!$A:$Z,E$6,FALSE),"-")</f>
        <v>-</v>
      </c>
      <c r="F102" s="140" t="str">
        <f>IFERROR(VLOOKUP($E$4&amp;$A102,'Data Induk Pegawai'!$A:$Z,F$6,FALSE),"-")</f>
        <v>-</v>
      </c>
      <c r="G102" s="136" t="str">
        <f>IFERROR(VLOOKUP($E$4&amp;$A102,'Data Induk Pegawai'!$A:$Z,G$6,FALSE),"-")</f>
        <v>-</v>
      </c>
      <c r="H102" s="53" t="str">
        <f>IFERROR(LEFT(VLOOKUP($E$4&amp;$A102,'Data Induk Pegawai'!$A:$Z,H$6,FALSE),3),"-")</f>
        <v>-</v>
      </c>
      <c r="I102" s="53" t="str">
        <f>IFERROR(VLOOKUP($E$4&amp;$A102,'Data Induk Pegawai'!$A:$Z,I$6,FALSE),"-")</f>
        <v>-</v>
      </c>
      <c r="J102" s="91" t="str">
        <f>IFERROR(VLOOKUP($E$4&amp;$A102,'Data Induk Pegawai'!$A:$Z,J$6,FALSE),"-")</f>
        <v>-</v>
      </c>
      <c r="K102" s="148" t="str">
        <f>IFERROR(VLOOKUP($E$4&amp;$A102,'Data Induk Pegawai'!$A:$Z,K$6,FALSE),"-")</f>
        <v>-</v>
      </c>
      <c r="L102" s="148" t="str">
        <f>IFERROR(VLOOKUP($E$4&amp;$A102,'Data Induk Pegawai'!$A:$Z,L$6,FALSE),"-")</f>
        <v>-</v>
      </c>
      <c r="M102" s="91" t="str">
        <f>IFERROR(VLOOKUP($E$4&amp;$A102,'Data Induk Pegawai'!$A:$Z,M$6,FALSE),"-")</f>
        <v>-</v>
      </c>
      <c r="N102" s="148" t="str">
        <f>IFERROR(VLOOKUP($E$4&amp;$A102,'Data Induk Pegawai'!$A:$Z,N$6,FALSE),"-")</f>
        <v>-</v>
      </c>
      <c r="O102" s="148" t="str">
        <f>IFERROR(VLOOKUP($E$4&amp;$A102,'Data Induk Pegawai'!$A:$Z,O$6,FALSE),"-")</f>
        <v>-</v>
      </c>
      <c r="P102" s="148" t="str">
        <f>IFERROR(VLOOKUP($E$4&amp;$A102,'Data Induk Pegawai'!$A:$Z,P$6,FALSE),"-")</f>
        <v>-</v>
      </c>
      <c r="Q102" s="136" t="str">
        <f>IFERROR(VLOOKUP($E$4&amp;$A102,'Data Induk Pegawai'!$A:$Z,Q$6,FALSE),"-")</f>
        <v>-</v>
      </c>
      <c r="R102" s="136" t="str">
        <f>IFERROR(VLOOKUP($E$4&amp;$A102,'Data Induk Pegawai'!$A:$Z,R$6,FALSE),"-")</f>
        <v>-</v>
      </c>
      <c r="S102" s="136" t="str">
        <f>IFERROR(VLOOKUP($E$4&amp;$A102,'Data Induk Pegawai'!$A:$Z,S$6,FALSE),"-")</f>
        <v>-</v>
      </c>
      <c r="T102" s="53" t="str">
        <f>IFERROR(VLOOKUP($E$4&amp;$A102,'Data Induk Pegawai'!$A:$Z,T$6,FALSE),"-")</f>
        <v>-</v>
      </c>
      <c r="U102" s="53" t="str">
        <f>IFERROR(VLOOKUP($E$4&amp;$A102,'Data Induk Pegawai'!$A:$Z,U$6,FALSE),"-")</f>
        <v>-</v>
      </c>
      <c r="V102" s="53" t="str">
        <f>IFERROR(VLOOKUP($E$4&amp;$A102,'Data Induk Pegawai'!$A:$Z,V$6,FALSE),"-")</f>
        <v>-</v>
      </c>
    </row>
    <row r="103" spans="1:22" ht="15.5" outlineLevel="1" x14ac:dyDescent="0.35">
      <c r="A103" s="51">
        <v>95</v>
      </c>
      <c r="B103" s="135" t="str">
        <f>IFERROR(VLOOKUP($E$4&amp;$A103,'Data Induk Pegawai'!$A:$Z,B$6,FALSE),"-")</f>
        <v>-</v>
      </c>
      <c r="C103" s="136" t="str">
        <f>IFERROR(VLOOKUP($E$4&amp;$A103,'Data Induk Pegawai'!$A:$Z,C$6,FALSE),"-")</f>
        <v>-</v>
      </c>
      <c r="D103" s="53" t="str">
        <f>IFERROR(VLOOKUP($E$4&amp;$A103,'Data Induk Pegawai'!$A:$Z,D$6,FALSE),"-")</f>
        <v>-</v>
      </c>
      <c r="E103" s="140" t="str">
        <f>IFERROR(VLOOKUP($E$4&amp;$A103,'Data Induk Pegawai'!$A:$Z,E$6,FALSE),"-")</f>
        <v>-</v>
      </c>
      <c r="F103" s="140" t="str">
        <f>IFERROR(VLOOKUP($E$4&amp;$A103,'Data Induk Pegawai'!$A:$Z,F$6,FALSE),"-")</f>
        <v>-</v>
      </c>
      <c r="G103" s="136" t="str">
        <f>IFERROR(VLOOKUP($E$4&amp;$A103,'Data Induk Pegawai'!$A:$Z,G$6,FALSE),"-")</f>
        <v>-</v>
      </c>
      <c r="H103" s="53" t="str">
        <f>IFERROR(LEFT(VLOOKUP($E$4&amp;$A103,'Data Induk Pegawai'!$A:$Z,H$6,FALSE),3),"-")</f>
        <v>-</v>
      </c>
      <c r="I103" s="53" t="str">
        <f>IFERROR(VLOOKUP($E$4&amp;$A103,'Data Induk Pegawai'!$A:$Z,I$6,FALSE),"-")</f>
        <v>-</v>
      </c>
      <c r="J103" s="91" t="str">
        <f>IFERROR(VLOOKUP($E$4&amp;$A103,'Data Induk Pegawai'!$A:$Z,J$6,FALSE),"-")</f>
        <v>-</v>
      </c>
      <c r="K103" s="148" t="str">
        <f>IFERROR(VLOOKUP($E$4&amp;$A103,'Data Induk Pegawai'!$A:$Z,K$6,FALSE),"-")</f>
        <v>-</v>
      </c>
      <c r="L103" s="148" t="str">
        <f>IFERROR(VLOOKUP($E$4&amp;$A103,'Data Induk Pegawai'!$A:$Z,L$6,FALSE),"-")</f>
        <v>-</v>
      </c>
      <c r="M103" s="91" t="str">
        <f>IFERROR(VLOOKUP($E$4&amp;$A103,'Data Induk Pegawai'!$A:$Z,M$6,FALSE),"-")</f>
        <v>-</v>
      </c>
      <c r="N103" s="148" t="str">
        <f>IFERROR(VLOOKUP($E$4&amp;$A103,'Data Induk Pegawai'!$A:$Z,N$6,FALSE),"-")</f>
        <v>-</v>
      </c>
      <c r="O103" s="148" t="str">
        <f>IFERROR(VLOOKUP($E$4&amp;$A103,'Data Induk Pegawai'!$A:$Z,O$6,FALSE),"-")</f>
        <v>-</v>
      </c>
      <c r="P103" s="148" t="str">
        <f>IFERROR(VLOOKUP($E$4&amp;$A103,'Data Induk Pegawai'!$A:$Z,P$6,FALSE),"-")</f>
        <v>-</v>
      </c>
      <c r="Q103" s="136" t="str">
        <f>IFERROR(VLOOKUP($E$4&amp;$A103,'Data Induk Pegawai'!$A:$Z,Q$6,FALSE),"-")</f>
        <v>-</v>
      </c>
      <c r="R103" s="136" t="str">
        <f>IFERROR(VLOOKUP($E$4&amp;$A103,'Data Induk Pegawai'!$A:$Z,R$6,FALSE),"-")</f>
        <v>-</v>
      </c>
      <c r="S103" s="136" t="str">
        <f>IFERROR(VLOOKUP($E$4&amp;$A103,'Data Induk Pegawai'!$A:$Z,S$6,FALSE),"-")</f>
        <v>-</v>
      </c>
      <c r="T103" s="53" t="str">
        <f>IFERROR(VLOOKUP($E$4&amp;$A103,'Data Induk Pegawai'!$A:$Z,T$6,FALSE),"-")</f>
        <v>-</v>
      </c>
      <c r="U103" s="53" t="str">
        <f>IFERROR(VLOOKUP($E$4&amp;$A103,'Data Induk Pegawai'!$A:$Z,U$6,FALSE),"-")</f>
        <v>-</v>
      </c>
      <c r="V103" s="53" t="str">
        <f>IFERROR(VLOOKUP($E$4&amp;$A103,'Data Induk Pegawai'!$A:$Z,V$6,FALSE),"-")</f>
        <v>-</v>
      </c>
    </row>
    <row r="104" spans="1:22" ht="15.5" outlineLevel="1" x14ac:dyDescent="0.35">
      <c r="A104" s="51">
        <v>96</v>
      </c>
      <c r="B104" s="135" t="str">
        <f>IFERROR(VLOOKUP($E$4&amp;$A104,'Data Induk Pegawai'!$A:$Z,B$6,FALSE),"-")</f>
        <v>-</v>
      </c>
      <c r="C104" s="136" t="str">
        <f>IFERROR(VLOOKUP($E$4&amp;$A104,'Data Induk Pegawai'!$A:$Z,C$6,FALSE),"-")</f>
        <v>-</v>
      </c>
      <c r="D104" s="53" t="str">
        <f>IFERROR(VLOOKUP($E$4&amp;$A104,'Data Induk Pegawai'!$A:$Z,D$6,FALSE),"-")</f>
        <v>-</v>
      </c>
      <c r="E104" s="140" t="str">
        <f>IFERROR(VLOOKUP($E$4&amp;$A104,'Data Induk Pegawai'!$A:$Z,E$6,FALSE),"-")</f>
        <v>-</v>
      </c>
      <c r="F104" s="140" t="str">
        <f>IFERROR(VLOOKUP($E$4&amp;$A104,'Data Induk Pegawai'!$A:$Z,F$6,FALSE),"-")</f>
        <v>-</v>
      </c>
      <c r="G104" s="136" t="str">
        <f>IFERROR(VLOOKUP($E$4&amp;$A104,'Data Induk Pegawai'!$A:$Z,G$6,FALSE),"-")</f>
        <v>-</v>
      </c>
      <c r="H104" s="53" t="str">
        <f>IFERROR(LEFT(VLOOKUP($E$4&amp;$A104,'Data Induk Pegawai'!$A:$Z,H$6,FALSE),3),"-")</f>
        <v>-</v>
      </c>
      <c r="I104" s="53" t="str">
        <f>IFERROR(VLOOKUP($E$4&amp;$A104,'Data Induk Pegawai'!$A:$Z,I$6,FALSE),"-")</f>
        <v>-</v>
      </c>
      <c r="J104" s="91" t="str">
        <f>IFERROR(VLOOKUP($E$4&amp;$A104,'Data Induk Pegawai'!$A:$Z,J$6,FALSE),"-")</f>
        <v>-</v>
      </c>
      <c r="K104" s="148" t="str">
        <f>IFERROR(VLOOKUP($E$4&amp;$A104,'Data Induk Pegawai'!$A:$Z,K$6,FALSE),"-")</f>
        <v>-</v>
      </c>
      <c r="L104" s="148" t="str">
        <f>IFERROR(VLOOKUP($E$4&amp;$A104,'Data Induk Pegawai'!$A:$Z,L$6,FALSE),"-")</f>
        <v>-</v>
      </c>
      <c r="M104" s="91" t="str">
        <f>IFERROR(VLOOKUP($E$4&amp;$A104,'Data Induk Pegawai'!$A:$Z,M$6,FALSE),"-")</f>
        <v>-</v>
      </c>
      <c r="N104" s="148" t="str">
        <f>IFERROR(VLOOKUP($E$4&amp;$A104,'Data Induk Pegawai'!$A:$Z,N$6,FALSE),"-")</f>
        <v>-</v>
      </c>
      <c r="O104" s="148" t="str">
        <f>IFERROR(VLOOKUP($E$4&amp;$A104,'Data Induk Pegawai'!$A:$Z,O$6,FALSE),"-")</f>
        <v>-</v>
      </c>
      <c r="P104" s="148" t="str">
        <f>IFERROR(VLOOKUP($E$4&amp;$A104,'Data Induk Pegawai'!$A:$Z,P$6,FALSE),"-")</f>
        <v>-</v>
      </c>
      <c r="Q104" s="136" t="str">
        <f>IFERROR(VLOOKUP($E$4&amp;$A104,'Data Induk Pegawai'!$A:$Z,Q$6,FALSE),"-")</f>
        <v>-</v>
      </c>
      <c r="R104" s="136" t="str">
        <f>IFERROR(VLOOKUP($E$4&amp;$A104,'Data Induk Pegawai'!$A:$Z,R$6,FALSE),"-")</f>
        <v>-</v>
      </c>
      <c r="S104" s="136" t="str">
        <f>IFERROR(VLOOKUP($E$4&amp;$A104,'Data Induk Pegawai'!$A:$Z,S$6,FALSE),"-")</f>
        <v>-</v>
      </c>
      <c r="T104" s="53" t="str">
        <f>IFERROR(VLOOKUP($E$4&amp;$A104,'Data Induk Pegawai'!$A:$Z,T$6,FALSE),"-")</f>
        <v>-</v>
      </c>
      <c r="U104" s="53" t="str">
        <f>IFERROR(VLOOKUP($E$4&amp;$A104,'Data Induk Pegawai'!$A:$Z,U$6,FALSE),"-")</f>
        <v>-</v>
      </c>
      <c r="V104" s="53" t="str">
        <f>IFERROR(VLOOKUP($E$4&amp;$A104,'Data Induk Pegawai'!$A:$Z,V$6,FALSE),"-")</f>
        <v>-</v>
      </c>
    </row>
    <row r="105" spans="1:22" ht="15.5" outlineLevel="1" x14ac:dyDescent="0.35">
      <c r="A105" s="51">
        <v>97</v>
      </c>
      <c r="B105" s="135" t="str">
        <f>IFERROR(VLOOKUP($E$4&amp;$A105,'Data Induk Pegawai'!$A:$Z,B$6,FALSE),"-")</f>
        <v>-</v>
      </c>
      <c r="C105" s="136" t="str">
        <f>IFERROR(VLOOKUP($E$4&amp;$A105,'Data Induk Pegawai'!$A:$Z,C$6,FALSE),"-")</f>
        <v>-</v>
      </c>
      <c r="D105" s="53" t="str">
        <f>IFERROR(VLOOKUP($E$4&amp;$A105,'Data Induk Pegawai'!$A:$Z,D$6,FALSE),"-")</f>
        <v>-</v>
      </c>
      <c r="E105" s="140" t="str">
        <f>IFERROR(VLOOKUP($E$4&amp;$A105,'Data Induk Pegawai'!$A:$Z,E$6,FALSE),"-")</f>
        <v>-</v>
      </c>
      <c r="F105" s="140" t="str">
        <f>IFERROR(VLOOKUP($E$4&amp;$A105,'Data Induk Pegawai'!$A:$Z,F$6,FALSE),"-")</f>
        <v>-</v>
      </c>
      <c r="G105" s="136" t="str">
        <f>IFERROR(VLOOKUP($E$4&amp;$A105,'Data Induk Pegawai'!$A:$Z,G$6,FALSE),"-")</f>
        <v>-</v>
      </c>
      <c r="H105" s="53" t="str">
        <f>IFERROR(LEFT(VLOOKUP($E$4&amp;$A105,'Data Induk Pegawai'!$A:$Z,H$6,FALSE),3),"-")</f>
        <v>-</v>
      </c>
      <c r="I105" s="53" t="str">
        <f>IFERROR(VLOOKUP($E$4&amp;$A105,'Data Induk Pegawai'!$A:$Z,I$6,FALSE),"-")</f>
        <v>-</v>
      </c>
      <c r="J105" s="91" t="str">
        <f>IFERROR(VLOOKUP($E$4&amp;$A105,'Data Induk Pegawai'!$A:$Z,J$6,FALSE),"-")</f>
        <v>-</v>
      </c>
      <c r="K105" s="148" t="str">
        <f>IFERROR(VLOOKUP($E$4&amp;$A105,'Data Induk Pegawai'!$A:$Z,K$6,FALSE),"-")</f>
        <v>-</v>
      </c>
      <c r="L105" s="148" t="str">
        <f>IFERROR(VLOOKUP($E$4&amp;$A105,'Data Induk Pegawai'!$A:$Z,L$6,FALSE),"-")</f>
        <v>-</v>
      </c>
      <c r="M105" s="91" t="str">
        <f>IFERROR(VLOOKUP($E$4&amp;$A105,'Data Induk Pegawai'!$A:$Z,M$6,FALSE),"-")</f>
        <v>-</v>
      </c>
      <c r="N105" s="148" t="str">
        <f>IFERROR(VLOOKUP($E$4&amp;$A105,'Data Induk Pegawai'!$A:$Z,N$6,FALSE),"-")</f>
        <v>-</v>
      </c>
      <c r="O105" s="148" t="str">
        <f>IFERROR(VLOOKUP($E$4&amp;$A105,'Data Induk Pegawai'!$A:$Z,O$6,FALSE),"-")</f>
        <v>-</v>
      </c>
      <c r="P105" s="148" t="str">
        <f>IFERROR(VLOOKUP($E$4&amp;$A105,'Data Induk Pegawai'!$A:$Z,P$6,FALSE),"-")</f>
        <v>-</v>
      </c>
      <c r="Q105" s="136" t="str">
        <f>IFERROR(VLOOKUP($E$4&amp;$A105,'Data Induk Pegawai'!$A:$Z,Q$6,FALSE),"-")</f>
        <v>-</v>
      </c>
      <c r="R105" s="136" t="str">
        <f>IFERROR(VLOOKUP($E$4&amp;$A105,'Data Induk Pegawai'!$A:$Z,R$6,FALSE),"-")</f>
        <v>-</v>
      </c>
      <c r="S105" s="136" t="str">
        <f>IFERROR(VLOOKUP($E$4&amp;$A105,'Data Induk Pegawai'!$A:$Z,S$6,FALSE),"-")</f>
        <v>-</v>
      </c>
      <c r="T105" s="53" t="str">
        <f>IFERROR(VLOOKUP($E$4&amp;$A105,'Data Induk Pegawai'!$A:$Z,T$6,FALSE),"-")</f>
        <v>-</v>
      </c>
      <c r="U105" s="53" t="str">
        <f>IFERROR(VLOOKUP($E$4&amp;$A105,'Data Induk Pegawai'!$A:$Z,U$6,FALSE),"-")</f>
        <v>-</v>
      </c>
      <c r="V105" s="53" t="str">
        <f>IFERROR(VLOOKUP($E$4&amp;$A105,'Data Induk Pegawai'!$A:$Z,V$6,FALSE),"-")</f>
        <v>-</v>
      </c>
    </row>
    <row r="106" spans="1:22" ht="15.5" outlineLevel="1" x14ac:dyDescent="0.35">
      <c r="A106" s="51">
        <v>98</v>
      </c>
      <c r="B106" s="135" t="str">
        <f>IFERROR(VLOOKUP($E$4&amp;$A106,'Data Induk Pegawai'!$A:$Z,B$6,FALSE),"-")</f>
        <v>-</v>
      </c>
      <c r="C106" s="136" t="str">
        <f>IFERROR(VLOOKUP($E$4&amp;$A106,'Data Induk Pegawai'!$A:$Z,C$6,FALSE),"-")</f>
        <v>-</v>
      </c>
      <c r="D106" s="53" t="str">
        <f>IFERROR(VLOOKUP($E$4&amp;$A106,'Data Induk Pegawai'!$A:$Z,D$6,FALSE),"-")</f>
        <v>-</v>
      </c>
      <c r="E106" s="140" t="str">
        <f>IFERROR(VLOOKUP($E$4&amp;$A106,'Data Induk Pegawai'!$A:$Z,E$6,FALSE),"-")</f>
        <v>-</v>
      </c>
      <c r="F106" s="140" t="str">
        <f>IFERROR(VLOOKUP($E$4&amp;$A106,'Data Induk Pegawai'!$A:$Z,F$6,FALSE),"-")</f>
        <v>-</v>
      </c>
      <c r="G106" s="136" t="str">
        <f>IFERROR(VLOOKUP($E$4&amp;$A106,'Data Induk Pegawai'!$A:$Z,G$6,FALSE),"-")</f>
        <v>-</v>
      </c>
      <c r="H106" s="53" t="str">
        <f>IFERROR(LEFT(VLOOKUP($E$4&amp;$A106,'Data Induk Pegawai'!$A:$Z,H$6,FALSE),3),"-")</f>
        <v>-</v>
      </c>
      <c r="I106" s="53" t="str">
        <f>IFERROR(VLOOKUP($E$4&amp;$A106,'Data Induk Pegawai'!$A:$Z,I$6,FALSE),"-")</f>
        <v>-</v>
      </c>
      <c r="J106" s="91" t="str">
        <f>IFERROR(VLOOKUP($E$4&amp;$A106,'Data Induk Pegawai'!$A:$Z,J$6,FALSE),"-")</f>
        <v>-</v>
      </c>
      <c r="K106" s="148" t="str">
        <f>IFERROR(VLOOKUP($E$4&amp;$A106,'Data Induk Pegawai'!$A:$Z,K$6,FALSE),"-")</f>
        <v>-</v>
      </c>
      <c r="L106" s="148" t="str">
        <f>IFERROR(VLOOKUP($E$4&amp;$A106,'Data Induk Pegawai'!$A:$Z,L$6,FALSE),"-")</f>
        <v>-</v>
      </c>
      <c r="M106" s="91" t="str">
        <f>IFERROR(VLOOKUP($E$4&amp;$A106,'Data Induk Pegawai'!$A:$Z,M$6,FALSE),"-")</f>
        <v>-</v>
      </c>
      <c r="N106" s="148" t="str">
        <f>IFERROR(VLOOKUP($E$4&amp;$A106,'Data Induk Pegawai'!$A:$Z,N$6,FALSE),"-")</f>
        <v>-</v>
      </c>
      <c r="O106" s="148" t="str">
        <f>IFERROR(VLOOKUP($E$4&amp;$A106,'Data Induk Pegawai'!$A:$Z,O$6,FALSE),"-")</f>
        <v>-</v>
      </c>
      <c r="P106" s="148" t="str">
        <f>IFERROR(VLOOKUP($E$4&amp;$A106,'Data Induk Pegawai'!$A:$Z,P$6,FALSE),"-")</f>
        <v>-</v>
      </c>
      <c r="Q106" s="136" t="str">
        <f>IFERROR(VLOOKUP($E$4&amp;$A106,'Data Induk Pegawai'!$A:$Z,Q$6,FALSE),"-")</f>
        <v>-</v>
      </c>
      <c r="R106" s="136" t="str">
        <f>IFERROR(VLOOKUP($E$4&amp;$A106,'Data Induk Pegawai'!$A:$Z,R$6,FALSE),"-")</f>
        <v>-</v>
      </c>
      <c r="S106" s="136" t="str">
        <f>IFERROR(VLOOKUP($E$4&amp;$A106,'Data Induk Pegawai'!$A:$Z,S$6,FALSE),"-")</f>
        <v>-</v>
      </c>
      <c r="T106" s="53" t="str">
        <f>IFERROR(VLOOKUP($E$4&amp;$A106,'Data Induk Pegawai'!$A:$Z,T$6,FALSE),"-")</f>
        <v>-</v>
      </c>
      <c r="U106" s="53" t="str">
        <f>IFERROR(VLOOKUP($E$4&amp;$A106,'Data Induk Pegawai'!$A:$Z,U$6,FALSE),"-")</f>
        <v>-</v>
      </c>
      <c r="V106" s="53" t="str">
        <f>IFERROR(VLOOKUP($E$4&amp;$A106,'Data Induk Pegawai'!$A:$Z,V$6,FALSE),"-")</f>
        <v>-</v>
      </c>
    </row>
    <row r="107" spans="1:22" ht="15.5" outlineLevel="1" x14ac:dyDescent="0.35">
      <c r="A107" s="51">
        <v>99</v>
      </c>
      <c r="B107" s="135" t="str">
        <f>IFERROR(VLOOKUP($E$4&amp;$A107,'Data Induk Pegawai'!$A:$Z,B$6,FALSE),"-")</f>
        <v>-</v>
      </c>
      <c r="C107" s="136" t="str">
        <f>IFERROR(VLOOKUP($E$4&amp;$A107,'Data Induk Pegawai'!$A:$Z,C$6,FALSE),"-")</f>
        <v>-</v>
      </c>
      <c r="D107" s="53" t="str">
        <f>IFERROR(VLOOKUP($E$4&amp;$A107,'Data Induk Pegawai'!$A:$Z,D$6,FALSE),"-")</f>
        <v>-</v>
      </c>
      <c r="E107" s="140" t="str">
        <f>IFERROR(VLOOKUP($E$4&amp;$A107,'Data Induk Pegawai'!$A:$Z,E$6,FALSE),"-")</f>
        <v>-</v>
      </c>
      <c r="F107" s="140" t="str">
        <f>IFERROR(VLOOKUP($E$4&amp;$A107,'Data Induk Pegawai'!$A:$Z,F$6,FALSE),"-")</f>
        <v>-</v>
      </c>
      <c r="G107" s="136" t="str">
        <f>IFERROR(VLOOKUP($E$4&amp;$A107,'Data Induk Pegawai'!$A:$Z,G$6,FALSE),"-")</f>
        <v>-</v>
      </c>
      <c r="H107" s="53" t="str">
        <f>IFERROR(LEFT(VLOOKUP($E$4&amp;$A107,'Data Induk Pegawai'!$A:$Z,H$6,FALSE),3),"-")</f>
        <v>-</v>
      </c>
      <c r="I107" s="53" t="str">
        <f>IFERROR(VLOOKUP($E$4&amp;$A107,'Data Induk Pegawai'!$A:$Z,I$6,FALSE),"-")</f>
        <v>-</v>
      </c>
      <c r="J107" s="91" t="str">
        <f>IFERROR(VLOOKUP($E$4&amp;$A107,'Data Induk Pegawai'!$A:$Z,J$6,FALSE),"-")</f>
        <v>-</v>
      </c>
      <c r="K107" s="148" t="str">
        <f>IFERROR(VLOOKUP($E$4&amp;$A107,'Data Induk Pegawai'!$A:$Z,K$6,FALSE),"-")</f>
        <v>-</v>
      </c>
      <c r="L107" s="148" t="str">
        <f>IFERROR(VLOOKUP($E$4&amp;$A107,'Data Induk Pegawai'!$A:$Z,L$6,FALSE),"-")</f>
        <v>-</v>
      </c>
      <c r="M107" s="91" t="str">
        <f>IFERROR(VLOOKUP($E$4&amp;$A107,'Data Induk Pegawai'!$A:$Z,M$6,FALSE),"-")</f>
        <v>-</v>
      </c>
      <c r="N107" s="148" t="str">
        <f>IFERROR(VLOOKUP($E$4&amp;$A107,'Data Induk Pegawai'!$A:$Z,N$6,FALSE),"-")</f>
        <v>-</v>
      </c>
      <c r="O107" s="148" t="str">
        <f>IFERROR(VLOOKUP($E$4&amp;$A107,'Data Induk Pegawai'!$A:$Z,O$6,FALSE),"-")</f>
        <v>-</v>
      </c>
      <c r="P107" s="148" t="str">
        <f>IFERROR(VLOOKUP($E$4&amp;$A107,'Data Induk Pegawai'!$A:$Z,P$6,FALSE),"-")</f>
        <v>-</v>
      </c>
      <c r="Q107" s="136" t="str">
        <f>IFERROR(VLOOKUP($E$4&amp;$A107,'Data Induk Pegawai'!$A:$Z,Q$6,FALSE),"-")</f>
        <v>-</v>
      </c>
      <c r="R107" s="136" t="str">
        <f>IFERROR(VLOOKUP($E$4&amp;$A107,'Data Induk Pegawai'!$A:$Z,R$6,FALSE),"-")</f>
        <v>-</v>
      </c>
      <c r="S107" s="136" t="str">
        <f>IFERROR(VLOOKUP($E$4&amp;$A107,'Data Induk Pegawai'!$A:$Z,S$6,FALSE),"-")</f>
        <v>-</v>
      </c>
      <c r="T107" s="53" t="str">
        <f>IFERROR(VLOOKUP($E$4&amp;$A107,'Data Induk Pegawai'!$A:$Z,T$6,FALSE),"-")</f>
        <v>-</v>
      </c>
      <c r="U107" s="53" t="str">
        <f>IFERROR(VLOOKUP($E$4&amp;$A107,'Data Induk Pegawai'!$A:$Z,U$6,FALSE),"-")</f>
        <v>-</v>
      </c>
      <c r="V107" s="53" t="str">
        <f>IFERROR(VLOOKUP($E$4&amp;$A107,'Data Induk Pegawai'!$A:$Z,V$6,FALSE),"-")</f>
        <v>-</v>
      </c>
    </row>
    <row r="108" spans="1:22" ht="15.5" outlineLevel="1" x14ac:dyDescent="0.35">
      <c r="A108" s="51">
        <v>100</v>
      </c>
      <c r="B108" s="135" t="str">
        <f>IFERROR(VLOOKUP($E$4&amp;$A108,'Data Induk Pegawai'!$A:$Z,B$6,FALSE),"-")</f>
        <v>-</v>
      </c>
      <c r="C108" s="136" t="str">
        <f>IFERROR(VLOOKUP($E$4&amp;$A108,'Data Induk Pegawai'!$A:$Z,C$6,FALSE),"-")</f>
        <v>-</v>
      </c>
      <c r="D108" s="53" t="str">
        <f>IFERROR(VLOOKUP($E$4&amp;$A108,'Data Induk Pegawai'!$A:$Z,D$6,FALSE),"-")</f>
        <v>-</v>
      </c>
      <c r="E108" s="140" t="str">
        <f>IFERROR(VLOOKUP($E$4&amp;$A108,'Data Induk Pegawai'!$A:$Z,E$6,FALSE),"-")</f>
        <v>-</v>
      </c>
      <c r="F108" s="140" t="str">
        <f>IFERROR(VLOOKUP($E$4&amp;$A108,'Data Induk Pegawai'!$A:$Z,F$6,FALSE),"-")</f>
        <v>-</v>
      </c>
      <c r="G108" s="136" t="str">
        <f>IFERROR(VLOOKUP($E$4&amp;$A108,'Data Induk Pegawai'!$A:$Z,G$6,FALSE),"-")</f>
        <v>-</v>
      </c>
      <c r="H108" s="53" t="str">
        <f>IFERROR(LEFT(VLOOKUP($E$4&amp;$A108,'Data Induk Pegawai'!$A:$Z,H$6,FALSE),3),"-")</f>
        <v>-</v>
      </c>
      <c r="I108" s="53" t="str">
        <f>IFERROR(VLOOKUP($E$4&amp;$A108,'Data Induk Pegawai'!$A:$Z,I$6,FALSE),"-")</f>
        <v>-</v>
      </c>
      <c r="J108" s="91" t="str">
        <f>IFERROR(VLOOKUP($E$4&amp;$A108,'Data Induk Pegawai'!$A:$Z,J$6,FALSE),"-")</f>
        <v>-</v>
      </c>
      <c r="K108" s="148" t="str">
        <f>IFERROR(VLOOKUP($E$4&amp;$A108,'Data Induk Pegawai'!$A:$Z,K$6,FALSE),"-")</f>
        <v>-</v>
      </c>
      <c r="L108" s="148" t="str">
        <f>IFERROR(VLOOKUP($E$4&amp;$A108,'Data Induk Pegawai'!$A:$Z,L$6,FALSE),"-")</f>
        <v>-</v>
      </c>
      <c r="M108" s="91" t="str">
        <f>IFERROR(VLOOKUP($E$4&amp;$A108,'Data Induk Pegawai'!$A:$Z,M$6,FALSE),"-")</f>
        <v>-</v>
      </c>
      <c r="N108" s="148" t="str">
        <f>IFERROR(VLOOKUP($E$4&amp;$A108,'Data Induk Pegawai'!$A:$Z,N$6,FALSE),"-")</f>
        <v>-</v>
      </c>
      <c r="O108" s="148" t="str">
        <f>IFERROR(VLOOKUP($E$4&amp;$A108,'Data Induk Pegawai'!$A:$Z,O$6,FALSE),"-")</f>
        <v>-</v>
      </c>
      <c r="P108" s="148" t="str">
        <f>IFERROR(VLOOKUP($E$4&amp;$A108,'Data Induk Pegawai'!$A:$Z,P$6,FALSE),"-")</f>
        <v>-</v>
      </c>
      <c r="Q108" s="136" t="str">
        <f>IFERROR(VLOOKUP($E$4&amp;$A108,'Data Induk Pegawai'!$A:$Z,Q$6,FALSE),"-")</f>
        <v>-</v>
      </c>
      <c r="R108" s="136" t="str">
        <f>IFERROR(VLOOKUP($E$4&amp;$A108,'Data Induk Pegawai'!$A:$Z,R$6,FALSE),"-")</f>
        <v>-</v>
      </c>
      <c r="S108" s="136" t="str">
        <f>IFERROR(VLOOKUP($E$4&amp;$A108,'Data Induk Pegawai'!$A:$Z,S$6,FALSE),"-")</f>
        <v>-</v>
      </c>
      <c r="T108" s="53" t="str">
        <f>IFERROR(VLOOKUP($E$4&amp;$A108,'Data Induk Pegawai'!$A:$Z,T$6,FALSE),"-")</f>
        <v>-</v>
      </c>
      <c r="U108" s="53" t="str">
        <f>IFERROR(VLOOKUP($E$4&amp;$A108,'Data Induk Pegawai'!$A:$Z,U$6,FALSE),"-")</f>
        <v>-</v>
      </c>
      <c r="V108" s="53" t="str">
        <f>IFERROR(VLOOKUP($E$4&amp;$A108,'Data Induk Pegawai'!$A:$Z,V$6,FALSE),"-")</f>
        <v>-</v>
      </c>
    </row>
  </sheetData>
  <autoFilter ref="A8:S8" xr:uid="{00000000-0001-0000-0400-000000000000}"/>
  <mergeCells count="14">
    <mergeCell ref="R7:S7"/>
    <mergeCell ref="E7:F7"/>
    <mergeCell ref="H7:H8"/>
    <mergeCell ref="J7:J8"/>
    <mergeCell ref="A7:A8"/>
    <mergeCell ref="B7:B8"/>
    <mergeCell ref="C7:C8"/>
    <mergeCell ref="D7:D8"/>
    <mergeCell ref="G7:G8"/>
    <mergeCell ref="K7:K8"/>
    <mergeCell ref="L7:L8"/>
    <mergeCell ref="M7:M8"/>
    <mergeCell ref="N7:O7"/>
    <mergeCell ref="P7:Q7"/>
  </mergeCells>
  <conditionalFormatting sqref="A1:A2">
    <cfRule type="expression" dxfId="21" priority="1">
      <formula>$K1="Cuti"</formula>
    </cfRule>
    <cfRule type="expression" dxfId="20" priority="2">
      <formula>$K1="Non Aktif"</formula>
    </cfRule>
  </conditionalFormatting>
  <conditionalFormatting sqref="A2">
    <cfRule type="expression" dxfId="19" priority="3">
      <formula>$K1="Cuti"</formula>
    </cfRule>
    <cfRule type="expression" dxfId="18" priority="4">
      <formula>$K1="Non Aktif"</formula>
    </cfRule>
  </conditionalFormatting>
  <conditionalFormatting sqref="A9:V108">
    <cfRule type="expression" dxfId="17" priority="9">
      <formula>$L9="Non Aktif"</formula>
    </cfRule>
  </conditionalFormatting>
  <conditionalFormatting sqref="B1:Z2 A3:Z6 A7:E7 G7:N7 T7:Z7 E8:F8 N8:S8 U8:Z8 A9:Z1048576">
    <cfRule type="cellIs" dxfId="16" priority="8" operator="equal">
      <formula>0</formula>
    </cfRule>
  </conditionalFormatting>
  <conditionalFormatting sqref="P7">
    <cfRule type="cellIs" dxfId="15" priority="6" operator="equal">
      <formula>0</formula>
    </cfRule>
  </conditionalFormatting>
  <conditionalFormatting sqref="R7">
    <cfRule type="cellIs" dxfId="14" priority="5" operator="equal">
      <formula>0</formula>
    </cfRule>
  </conditionalFormatting>
  <dataValidations count="2">
    <dataValidation type="list" allowBlank="1" showInputMessage="1" showErrorMessage="1" promptTitle="Pilih Status Keaktifan" prompt="Silahkan Pilih status Aktif atau Non Aktif_x000a__x000a_" sqref="D4:D5" xr:uid="{00000000-0002-0000-0400-000001000000}">
      <formula1>"Aktif, Non Aktif"</formula1>
    </dataValidation>
    <dataValidation allowBlank="1" showInputMessage="1" showErrorMessage="1" promptTitle="Pilih Status Keaktifan" prompt="Silahkan Pilih status Aktif atau Non Aktif_x000a__x000a_" sqref="E4:E5" xr:uid="{00000000-0002-0000-0400-000002000000}"/>
  </dataValidations>
  <pageMargins left="0.19685039370078741" right="0.19685039370078741" top="0.55118110236220474" bottom="0.35433070866141736" header="0.31496062992125984" footer="0.31496062992125984"/>
  <pageSetup paperSize="10000" scale="7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ED3A-2790-4731-A2D6-753AB5278F74}">
  <dimension ref="A1:AC120"/>
  <sheetViews>
    <sheetView zoomScale="105" workbookViewId="0">
      <pane xSplit="5" ySplit="8" topLeftCell="F58" activePane="bottomRight" state="frozen"/>
      <selection pane="topRight" activeCell="F1" sqref="F1"/>
      <selection pane="bottomLeft" activeCell="A9" sqref="A9"/>
      <selection pane="bottomRight" sqref="A1:A2"/>
    </sheetView>
  </sheetViews>
  <sheetFormatPr defaultColWidth="8.7265625" defaultRowHeight="14.5" outlineLevelRow="1" outlineLevelCol="1" x14ac:dyDescent="0.35"/>
  <cols>
    <col min="1" max="1" width="5.7265625" style="22" customWidth="1"/>
    <col min="2" max="2" width="27.36328125" style="22" customWidth="1"/>
    <col min="3" max="3" width="13.26953125" style="47" customWidth="1"/>
    <col min="4" max="4" width="13.1796875" style="47" hidden="1" customWidth="1" outlineLevel="1"/>
    <col min="5" max="5" width="6.90625" style="47" customWidth="1" collapsed="1"/>
    <col min="6" max="6" width="19.08984375" style="93" bestFit="1" customWidth="1"/>
    <col min="7" max="7" width="15.6328125" style="47" customWidth="1" outlineLevel="1"/>
    <col min="8" max="8" width="15.6328125" style="87" customWidth="1" outlineLevel="1"/>
    <col min="9" max="14" width="15.6328125" style="47" customWidth="1" outlineLevel="1"/>
    <col min="15" max="16" width="15.6328125" style="47" customWidth="1"/>
    <col min="17" max="17" width="6.1796875" style="47" customWidth="1" outlineLevel="1"/>
    <col min="18" max="18" width="8.7265625" style="22"/>
    <col min="19" max="19" width="11.26953125" style="47" customWidth="1"/>
    <col min="20" max="20" width="10.453125" style="87" bestFit="1" customWidth="1"/>
    <col min="21" max="21" width="12.1796875" style="22" hidden="1" customWidth="1" outlineLevel="1"/>
    <col min="22" max="22" width="8.7265625" style="22" hidden="1" customWidth="1" outlineLevel="1"/>
    <col min="23" max="23" width="21.6328125" style="22" hidden="1" customWidth="1" outlineLevel="1"/>
    <col min="24" max="24" width="12.6328125" style="22" hidden="1" customWidth="1" outlineLevel="1"/>
    <col min="25" max="25" width="13.54296875" style="22" customWidth="1" collapsed="1"/>
    <col min="26" max="27" width="8.7265625" style="22"/>
    <col min="28" max="28" width="9.6328125" style="22" hidden="1" customWidth="1" outlineLevel="1"/>
    <col min="29" max="29" width="8.7265625" style="22" collapsed="1"/>
    <col min="30" max="16384" width="8.7265625" style="22"/>
  </cols>
  <sheetData>
    <row r="1" spans="1:28" ht="18.5" x14ac:dyDescent="0.35">
      <c r="A1" s="78" t="s">
        <v>634</v>
      </c>
      <c r="D1" s="48"/>
      <c r="E1" s="48"/>
      <c r="F1" s="92"/>
      <c r="G1" s="48"/>
      <c r="H1" s="86"/>
      <c r="I1" s="48"/>
      <c r="J1" s="48"/>
      <c r="K1" s="48"/>
      <c r="L1" s="48"/>
      <c r="M1" s="48"/>
      <c r="N1" s="48"/>
      <c r="O1" s="48"/>
      <c r="P1" s="48"/>
      <c r="Q1" s="48"/>
    </row>
    <row r="2" spans="1:28" ht="15.5" x14ac:dyDescent="0.35">
      <c r="A2" s="46" t="s">
        <v>636</v>
      </c>
      <c r="D2" s="48"/>
      <c r="E2" s="48"/>
      <c r="F2" s="92"/>
      <c r="G2" s="48"/>
      <c r="H2" s="86"/>
      <c r="I2" s="48"/>
      <c r="J2" s="48"/>
      <c r="K2" s="48"/>
      <c r="L2" s="48"/>
      <c r="M2" s="48"/>
      <c r="N2" s="48"/>
      <c r="O2" s="48"/>
      <c r="P2" s="48"/>
      <c r="Q2" s="48"/>
    </row>
    <row r="3" spans="1:28" ht="10.5" customHeight="1" x14ac:dyDescent="0.35">
      <c r="C3" s="90" t="str">
        <f>IF(C4="Non Aktif","B",IF(C4="Aktif","A",""))</f>
        <v>A</v>
      </c>
      <c r="I3" s="48"/>
      <c r="J3" s="48"/>
      <c r="K3" s="48"/>
      <c r="L3" s="48"/>
      <c r="M3" s="48"/>
      <c r="N3" s="48"/>
      <c r="O3" s="48"/>
      <c r="P3" s="48"/>
      <c r="Q3" s="48"/>
    </row>
    <row r="4" spans="1:28" x14ac:dyDescent="0.35">
      <c r="A4" s="39" t="s">
        <v>552</v>
      </c>
      <c r="B4" s="81"/>
      <c r="C4" s="49" t="s">
        <v>70</v>
      </c>
      <c r="D4" s="50"/>
      <c r="E4" s="50"/>
      <c r="F4" s="94"/>
      <c r="G4" s="50"/>
      <c r="H4" s="88"/>
      <c r="I4" s="48"/>
      <c r="J4" s="48"/>
      <c r="K4" s="48"/>
      <c r="L4" s="48"/>
      <c r="M4" s="48"/>
      <c r="N4" s="48"/>
      <c r="O4" s="48"/>
      <c r="P4" s="48"/>
      <c r="Q4" s="48"/>
    </row>
    <row r="5" spans="1:28" ht="7" customHeight="1" x14ac:dyDescent="0.35">
      <c r="A5" s="39"/>
      <c r="B5" s="81"/>
      <c r="C5" s="82"/>
      <c r="D5" s="50"/>
      <c r="E5" s="50"/>
      <c r="F5" s="94"/>
      <c r="G5" s="50"/>
      <c r="H5" s="88"/>
      <c r="I5" s="48"/>
      <c r="J5" s="48"/>
      <c r="K5" s="48"/>
      <c r="L5" s="48"/>
      <c r="M5" s="48"/>
      <c r="N5" s="48"/>
      <c r="O5" s="48"/>
      <c r="P5" s="48"/>
      <c r="Q5" s="48"/>
    </row>
    <row r="6" spans="1:28" s="84" customFormat="1" hidden="1" outlineLevel="1" x14ac:dyDescent="0.35">
      <c r="B6" s="84">
        <v>3</v>
      </c>
      <c r="C6" s="84">
        <v>5</v>
      </c>
      <c r="D6" s="96">
        <v>21</v>
      </c>
      <c r="E6" s="84">
        <v>10</v>
      </c>
      <c r="F6" s="95">
        <v>9</v>
      </c>
      <c r="G6" s="84">
        <v>12</v>
      </c>
      <c r="H6" s="84">
        <v>13</v>
      </c>
      <c r="I6" s="84">
        <v>16</v>
      </c>
      <c r="J6" s="84">
        <v>15</v>
      </c>
      <c r="K6" s="84">
        <v>18</v>
      </c>
      <c r="L6" s="84">
        <v>17</v>
      </c>
      <c r="Q6" s="84">
        <v>2</v>
      </c>
      <c r="S6" s="47"/>
      <c r="T6" s="122"/>
    </row>
    <row r="7" spans="1:28" s="84" customFormat="1" ht="25" customHeight="1" collapsed="1" x14ac:dyDescent="0.35">
      <c r="A7" s="177" t="s">
        <v>0</v>
      </c>
      <c r="B7" s="177" t="str">
        <f>VLOOKUP($A7,'Data Induk Pegawai'!$A5:$AA5,B6,FALSE)</f>
        <v>Nama Pegawai</v>
      </c>
      <c r="C7" s="177" t="str">
        <f>VLOOKUP($A7,'Data Induk Pegawai'!$A5:$AA5,C6,FALSE)</f>
        <v>NIPY</v>
      </c>
      <c r="D7" s="181" t="str">
        <f>VLOOKUP($A7,'Data Induk Pegawai'!$A5:$AA5,D6,FALSE)</f>
        <v>Perkiraan Mulai Bekerja</v>
      </c>
      <c r="E7" s="177" t="str">
        <f>VLOOKUP($A7,'Data Induk Pegawai'!$A5:$AA5,E6,FALSE)</f>
        <v>Status</v>
      </c>
      <c r="F7" s="184" t="str">
        <f>VLOOKUP($A7,'Data Induk Pegawai'!$A5:$AA5,F6,FALSE)</f>
        <v>Jabatan</v>
      </c>
      <c r="G7" s="186" t="s">
        <v>519</v>
      </c>
      <c r="H7" s="187"/>
      <c r="I7" s="186" t="s">
        <v>520</v>
      </c>
      <c r="J7" s="187"/>
      <c r="K7" s="186" t="s">
        <v>556</v>
      </c>
      <c r="L7" s="187"/>
      <c r="M7" s="186" t="s">
        <v>558</v>
      </c>
      <c r="N7" s="187"/>
      <c r="O7" s="186" t="s">
        <v>556</v>
      </c>
      <c r="P7" s="187"/>
      <c r="Q7" s="186" t="s">
        <v>553</v>
      </c>
      <c r="R7" s="188"/>
      <c r="S7" s="187"/>
      <c r="T7" s="189" t="s">
        <v>538</v>
      </c>
      <c r="U7" s="24" t="s">
        <v>536</v>
      </c>
      <c r="V7" s="191" t="s">
        <v>559</v>
      </c>
      <c r="W7" s="191"/>
      <c r="X7" s="191"/>
      <c r="Y7" s="24" t="s">
        <v>561</v>
      </c>
      <c r="AB7" s="183" t="s">
        <v>560</v>
      </c>
    </row>
    <row r="8" spans="1:28" s="47" customFormat="1" ht="31" customHeight="1" x14ac:dyDescent="0.35">
      <c r="A8" s="178"/>
      <c r="B8" s="178"/>
      <c r="C8" s="178"/>
      <c r="D8" s="182"/>
      <c r="E8" s="178"/>
      <c r="F8" s="185"/>
      <c r="G8" s="20" t="str">
        <f>VLOOKUP($A7,'Data Induk Pegawai'!$A5:$AA5,G6,FALSE)</f>
        <v>TMT GTT</v>
      </c>
      <c r="H8" s="89" t="str">
        <f>VLOOKUP($A7,'Data Induk Pegawai'!$A5:$AA5,H6,FALSE)</f>
        <v>No. SK GTT</v>
      </c>
      <c r="I8" s="20" t="str">
        <f>VLOOKUP($A7,'Data Induk Pegawai'!$A5:$AA5,I6,FALSE)</f>
        <v>Tgl SK GTY</v>
      </c>
      <c r="J8" s="20" t="str">
        <f>VLOOKUP($A7,'Data Induk Pegawai'!$A5:$AA5,J6,FALSE)</f>
        <v>No. SK GTY</v>
      </c>
      <c r="K8" s="20" t="str">
        <f>VLOOKUP($A7,'Data Induk Pegawai'!$A5:$AA5,K6,FALSE)</f>
        <v>Tgl SK</v>
      </c>
      <c r="L8" s="20" t="str">
        <f>VLOOKUP($A7,'Data Induk Pegawai'!$A5:$AA5,L6,FALSE)</f>
        <v>No. SK</v>
      </c>
      <c r="M8" s="20" t="s">
        <v>134</v>
      </c>
      <c r="N8" s="20" t="s">
        <v>557</v>
      </c>
      <c r="O8" s="20" t="s">
        <v>134</v>
      </c>
      <c r="P8" s="20" t="s">
        <v>557</v>
      </c>
      <c r="Q8" s="21" t="s">
        <v>555</v>
      </c>
      <c r="R8" s="24" t="s">
        <v>554</v>
      </c>
      <c r="S8" s="24" t="s">
        <v>484</v>
      </c>
      <c r="T8" s="190"/>
      <c r="U8" s="124">
        <f ca="1">NOW()</f>
        <v>45987.31434247685</v>
      </c>
      <c r="V8" s="24" t="s">
        <v>537</v>
      </c>
      <c r="W8" s="24" t="s">
        <v>248</v>
      </c>
      <c r="X8" s="24" t="s">
        <v>538</v>
      </c>
      <c r="Y8" s="24" t="s">
        <v>375</v>
      </c>
      <c r="AB8" s="183"/>
    </row>
    <row r="9" spans="1:28" ht="15.5" x14ac:dyDescent="0.35">
      <c r="A9" s="51">
        <v>1</v>
      </c>
      <c r="B9" s="52" t="str">
        <f>IFERROR(VLOOKUP($C$3&amp;$A9,'Data Induk Pegawai'!$A:$Z,B$6,FALSE),"")</f>
        <v>Joko Susilo Yudoyono</v>
      </c>
      <c r="C9" s="53" t="str">
        <f>IFERROR(VLOOKUP($C$3&amp;$A9,'Data Induk Pegawai'!$A:$Z,C$6,FALSE),"")</f>
        <v>2020.01.001</v>
      </c>
      <c r="D9" s="54">
        <f>IFERROR(VLOOKUP($C$3&amp;$A9,'Data Induk Pegawai'!$A:$Z,D$6,FALSE),"")</f>
        <v>44013</v>
      </c>
      <c r="E9" s="53" t="str">
        <f>IFERROR(VLOOKUP($C$3&amp;$A9,'Data Induk Pegawai'!$A:$Z,E$6,FALSE),"")</f>
        <v>GTY</v>
      </c>
      <c r="F9" s="91" t="str">
        <f>IFERROR(VLOOKUP($C$3&amp;$A9,'Data Induk Pegawai'!$A:$Z,F$6,FALSE),"")</f>
        <v>Kepala Sekolah</v>
      </c>
      <c r="G9" s="54" t="str">
        <f>IFERROR(VLOOKUP($C$3&amp;$A9,'Data Induk Pegawai'!$A:$Z,G$6,FALSE),"")</f>
        <v/>
      </c>
      <c r="H9" s="54" t="str">
        <f>IFERROR(VLOOKUP($C$3&amp;$A9,'Data Induk Pegawai'!$A:$Z,H$6,FALSE),"")</f>
        <v/>
      </c>
      <c r="I9" s="54" t="str">
        <f>IFERROR(VLOOKUP($C$3&amp;$A9,'Data Induk Pegawai'!$A:$Z,I$6,FALSE),"")</f>
        <v>--</v>
      </c>
      <c r="J9" s="53" t="str">
        <f>IFERROR(VLOOKUP($C$3&amp;$A9,'Data Induk Pegawai'!$A:$Z,J$6,FALSE),"")</f>
        <v>--</v>
      </c>
      <c r="K9" s="54" t="str">
        <f>IF(B9="","",VLOOKUP($C$3&amp;$A9,'Data Induk Pegawai'!$A:$Z,K$6,FALSE))</f>
        <v>--</v>
      </c>
      <c r="L9" s="54" t="str">
        <f>IF(B9="","",VLOOKUP($C$3&amp;$A9,'Data Induk Pegawai'!$A:$Z,L$6,FALSE))</f>
        <v>--</v>
      </c>
      <c r="M9" s="54" t="str">
        <f>IFERROR(VLOOKUP("1GPTT"&amp;Q9,'Draft SK'!AB:AG,6,FALSE),"")</f>
        <v/>
      </c>
      <c r="N9" s="54" t="str">
        <f>IFERROR(VLOOKUP("1GPTT"&amp;Q9,'Draft SK'!AB:AG,5,FALSE),"")</f>
        <v/>
      </c>
      <c r="O9" s="54" t="str">
        <f>IF(K9="--",M9,IF(K9&gt;M9,K9,M9))</f>
        <v/>
      </c>
      <c r="P9" s="54" t="str">
        <f>IF(K9="--",N9,IF(K9&gt;M9,L9,N9))</f>
        <v/>
      </c>
      <c r="Q9" s="53">
        <f>IF(C9="","",VLOOKUP($C$3&amp;$A9,'Data Induk Pegawai'!$A:$Z,Q$6,FALSE))</f>
        <v>1</v>
      </c>
      <c r="R9" s="51">
        <f ca="1">IFERROR(IF(B9="","",DATEDIF(G9,NOW(),"M")),DATEDIF(D9,NOW(),"M"))</f>
        <v>64</v>
      </c>
      <c r="S9" s="51" t="str">
        <f ca="1">IF(B9="","",IF(E9="MG","Mg ","")&amp;IF(R9/12&gt;1,TEXT(R9/12,"#,#0")&amp;" Tahun",R9&amp;" Bulan"))</f>
        <v>5,33 Tahun</v>
      </c>
      <c r="T9" s="123" t="str">
        <f>IF(B9="","",IF(E9="MG",EDATE(D9,3),IF(RIGHT(E9,1)="Y","Done",DATE(YEAR(O9)+1,MONTH(O9),DAY(O9)))))</f>
        <v>Done</v>
      </c>
      <c r="U9" s="123" t="str">
        <f>IF(OR(T9="",T9="Done"),"-",IF(T9-U$8&lt;40,"A","-"))</f>
        <v>-</v>
      </c>
      <c r="V9" s="123" t="str">
        <f>U9&amp;COUNTIFS(U$9:U9,U9)</f>
        <v>-1</v>
      </c>
      <c r="W9" s="123" t="str">
        <f>IF(U9="A",B9,U9)</f>
        <v>-</v>
      </c>
      <c r="X9" s="123" t="str">
        <f>IF(U9="A",T9,W9)</f>
        <v>-</v>
      </c>
      <c r="Y9" s="9" t="str">
        <f>IFERROR(IFERROR(IFERROR(IFERROR(VLOOKUP(Y$8&amp;"GTY"&amp;$Q9,'Draft SK'!$AE:$AF,2,FALSE),VLOOKUP(Y$8&amp;"PTY"&amp;$Q9,'Draft SK'!$AE:$AF,2,FALSE)),VLOOKUP(Y$8&amp;"GTT"&amp;$Q9,'Draft SK'!$AE:$AF,2,FALSE)),VLOOKUP(Y$8&amp;"PTT"&amp;$Q9,'Draft SK'!$AE:$AF,2,FALSE)),"")</f>
        <v/>
      </c>
      <c r="AB9" s="60" t="s">
        <v>366</v>
      </c>
    </row>
    <row r="10" spans="1:28" ht="15.5" x14ac:dyDescent="0.35">
      <c r="A10" s="51">
        <f>IF(B9="","",A9+1)</f>
        <v>2</v>
      </c>
      <c r="B10" s="52" t="str">
        <f>IFERROR(VLOOKUP($C$3&amp;$A10,'Data Induk Pegawai'!$A:$Z,B$6,FALSE),"")</f>
        <v>Satrio Sadewo</v>
      </c>
      <c r="C10" s="53" t="str">
        <f>IFERROR(VLOOKUP($C$3&amp;$A10,'Data Induk Pegawai'!$A:$Z,C$6,FALSE),"")</f>
        <v>2020.01.002</v>
      </c>
      <c r="D10" s="54">
        <f>IFERROR(VLOOKUP($C$3&amp;$A10,'Data Induk Pegawai'!$A:$Z,D$6,FALSE),"")</f>
        <v>44013</v>
      </c>
      <c r="E10" s="53" t="str">
        <f>IFERROR(VLOOKUP($C$3&amp;$A10,'Data Induk Pegawai'!$A:$Z,E$6,FALSE),"")</f>
        <v>GTY</v>
      </c>
      <c r="F10" s="91" t="str">
        <f>IFERROR(VLOOKUP($C$3&amp;$A10,'Data Induk Pegawai'!$A:$Z,F$6,FALSE),"")</f>
        <v>Wakil Kepala Sekolah</v>
      </c>
      <c r="G10" s="54" t="str">
        <f>IFERROR(VLOOKUP($C$3&amp;$A10,'Data Induk Pegawai'!$A:$Z,G$6,FALSE),"")</f>
        <v/>
      </c>
      <c r="H10" s="54" t="str">
        <f>IFERROR(VLOOKUP($C$3&amp;$A10,'Data Induk Pegawai'!$A:$Z,H$6,FALSE),"")</f>
        <v/>
      </c>
      <c r="I10" s="54" t="str">
        <f>IFERROR(VLOOKUP($C$3&amp;$A10,'Data Induk Pegawai'!$A:$Z,I$6,FALSE),"")</f>
        <v>--</v>
      </c>
      <c r="J10" s="53" t="str">
        <f>IFERROR(VLOOKUP($C$3&amp;$A10,'Data Induk Pegawai'!$A:$Z,J$6,FALSE),"")</f>
        <v>--</v>
      </c>
      <c r="K10" s="54" t="str">
        <f>IF(B10="","",VLOOKUP($C$3&amp;$A10,'Data Induk Pegawai'!$A:$Z,K$6,FALSE))</f>
        <v>--</v>
      </c>
      <c r="L10" s="54" t="str">
        <f>IF(B10="","",VLOOKUP($C$3&amp;$A10,'Data Induk Pegawai'!$A:$Z,L$6,FALSE))</f>
        <v>--</v>
      </c>
      <c r="M10" s="54" t="str">
        <f>IFERROR(VLOOKUP("1GPTT"&amp;Q10,'Draft SK'!AB:AG,6,FALSE),"")</f>
        <v/>
      </c>
      <c r="N10" s="54" t="str">
        <f>IFERROR(VLOOKUP("1GPTT"&amp;Q10,'Draft SK'!AB:AG,5,FALSE),"")</f>
        <v/>
      </c>
      <c r="O10" s="54" t="str">
        <f t="shared" ref="O10:O73" si="0">IF(K10="--",M10,IF(K10&gt;M10,K10,M10))</f>
        <v/>
      </c>
      <c r="P10" s="54" t="str">
        <f t="shared" ref="P10:P73" si="1">IF(K10="--",N10,IF(K10&gt;M10,L10,N10))</f>
        <v/>
      </c>
      <c r="Q10" s="53">
        <f>IF(C10="","",VLOOKUP($C$3&amp;$A10,'Data Induk Pegawai'!$A:$Z,Q$6,FALSE))</f>
        <v>2</v>
      </c>
      <c r="R10" s="51">
        <f t="shared" ref="R10:R73" ca="1" si="2">IFERROR(IF(B10="","",DATEDIF(G10,NOW(),"M")),DATEDIF(D10,NOW(),"M"))</f>
        <v>64</v>
      </c>
      <c r="S10" s="51" t="str">
        <f t="shared" ref="S10:S73" ca="1" si="3">IF(B10="","",IF(E10="MG","Mg ","")&amp;IF(R10/12&gt;1,TEXT(R10/12,"#,#0")&amp;" Tahun",R10&amp;" Bulan"))</f>
        <v>5,33 Tahun</v>
      </c>
      <c r="T10" s="123" t="str">
        <f t="shared" ref="T10:T73" si="4">IF(B10="","",IF(E10="MG",EDATE(D10,3),IF(RIGHT(E10,1)="Y","Done",DATE(YEAR(O10)+1,MONTH(O10),DAY(O10)))))</f>
        <v>Done</v>
      </c>
      <c r="U10" s="123" t="str">
        <f t="shared" ref="U10:U73" si="5">IF(OR(T10="",T10="Done"),"-",IF(T10-U$8&lt;40,"A","-"))</f>
        <v>-</v>
      </c>
      <c r="V10" s="123" t="str">
        <f>U10&amp;COUNTIFS(U$9:U10,U10)</f>
        <v>-2</v>
      </c>
      <c r="W10" s="123" t="str">
        <f t="shared" ref="W10:W73" si="6">IF(U10="A",B10,U10)</f>
        <v>-</v>
      </c>
      <c r="X10" s="123" t="str">
        <f t="shared" ref="X10:X73" si="7">IF(U10="A",T10,W10)</f>
        <v>-</v>
      </c>
      <c r="Y10" s="9" t="str">
        <f>IFERROR(IFERROR(IFERROR(IFERROR(VLOOKUP(Y$8&amp;"GTY"&amp;$Q10,'Draft SK'!$AE:$AF,2,FALSE),VLOOKUP(Y$8&amp;"PTY"&amp;$Q10,'Draft SK'!$AE:$AF,2,FALSE)),VLOOKUP(Y$8&amp;"GTT"&amp;$Q10,'Draft SK'!$AE:$AF,2,FALSE)),VLOOKUP(Y$8&amp;"PTT"&amp;$Q10,'Draft SK'!$AE:$AF,2,FALSE)),"")</f>
        <v/>
      </c>
      <c r="AB10" s="60" t="s">
        <v>367</v>
      </c>
    </row>
    <row r="11" spans="1:28" ht="15.5" x14ac:dyDescent="0.35">
      <c r="A11" s="51">
        <f t="shared" ref="A11:A74" si="8">IF(B10="","",A10+1)</f>
        <v>3</v>
      </c>
      <c r="B11" s="52" t="str">
        <f>IFERROR(VLOOKUP($C$3&amp;$A11,'Data Induk Pegawai'!$A:$Z,B$6,FALSE),"")</f>
        <v>Sugiharto Sedunyo</v>
      </c>
      <c r="C11" s="53" t="str">
        <f>IFERROR(VLOOKUP($C$3&amp;$A11,'Data Induk Pegawai'!$A:$Z,C$6,FALSE),"")</f>
        <v>2021.01.003</v>
      </c>
      <c r="D11" s="54">
        <f>IFERROR(VLOOKUP($C$3&amp;$A11,'Data Induk Pegawai'!$A:$Z,D$6,FALSE),"")</f>
        <v>44378</v>
      </c>
      <c r="E11" s="53" t="str">
        <f>IFERROR(VLOOKUP($C$3&amp;$A11,'Data Induk Pegawai'!$A:$Z,E$6,FALSE),"")</f>
        <v>GTY</v>
      </c>
      <c r="F11" s="91" t="str">
        <f>IFERROR(VLOOKUP($C$3&amp;$A11,'Data Induk Pegawai'!$A:$Z,F$6,FALSE),"")</f>
        <v>Bendahara Sekolah</v>
      </c>
      <c r="G11" s="54" t="str">
        <f>IFERROR(VLOOKUP($C$3&amp;$A11,'Data Induk Pegawai'!$A:$Z,G$6,FALSE),"")</f>
        <v/>
      </c>
      <c r="H11" s="54" t="str">
        <f>IFERROR(VLOOKUP($C$3&amp;$A11,'Data Induk Pegawai'!$A:$Z,H$6,FALSE),"")</f>
        <v/>
      </c>
      <c r="I11" s="54" t="str">
        <f>IFERROR(VLOOKUP($C$3&amp;$A11,'Data Induk Pegawai'!$A:$Z,I$6,FALSE),"")</f>
        <v>--</v>
      </c>
      <c r="J11" s="53" t="str">
        <f>IFERROR(VLOOKUP($C$3&amp;$A11,'Data Induk Pegawai'!$A:$Z,J$6,FALSE),"")</f>
        <v>--</v>
      </c>
      <c r="K11" s="54" t="str">
        <f>IF(B11="","",VLOOKUP($C$3&amp;$A11,'Data Induk Pegawai'!$A:$Z,K$6,FALSE))</f>
        <v>--</v>
      </c>
      <c r="L11" s="54" t="str">
        <f>IF(B11="","",VLOOKUP($C$3&amp;$A11,'Data Induk Pegawai'!$A:$Z,L$6,FALSE))</f>
        <v>--</v>
      </c>
      <c r="M11" s="54" t="str">
        <f>IFERROR(VLOOKUP("1GPTT"&amp;Q11,'Draft SK'!AB:AG,6,FALSE),"")</f>
        <v/>
      </c>
      <c r="N11" s="54" t="str">
        <f>IFERROR(VLOOKUP("1GPTT"&amp;Q11,'Draft SK'!AB:AG,5,FALSE),"")</f>
        <v/>
      </c>
      <c r="O11" s="54" t="str">
        <f t="shared" si="0"/>
        <v/>
      </c>
      <c r="P11" s="54" t="str">
        <f t="shared" si="1"/>
        <v/>
      </c>
      <c r="Q11" s="53">
        <f>IF(C11="","",VLOOKUP($C$3&amp;$A11,'Data Induk Pegawai'!$A:$Z,Q$6,FALSE))</f>
        <v>3</v>
      </c>
      <c r="R11" s="51">
        <f t="shared" ca="1" si="2"/>
        <v>52</v>
      </c>
      <c r="S11" s="51" t="str">
        <f t="shared" ca="1" si="3"/>
        <v>4,33 Tahun</v>
      </c>
      <c r="T11" s="123" t="str">
        <f t="shared" si="4"/>
        <v>Done</v>
      </c>
      <c r="U11" s="123" t="str">
        <f t="shared" si="5"/>
        <v>-</v>
      </c>
      <c r="V11" s="123" t="str">
        <f>U11&amp;COUNTIFS(U$9:U11,U11)</f>
        <v>-3</v>
      </c>
      <c r="W11" s="123" t="str">
        <f t="shared" si="6"/>
        <v>-</v>
      </c>
      <c r="X11" s="123" t="str">
        <f t="shared" si="7"/>
        <v>-</v>
      </c>
      <c r="Y11" s="9" t="str">
        <f>IFERROR(IFERROR(IFERROR(IFERROR(VLOOKUP(Y$8&amp;"GTY"&amp;$Q11,'Draft SK'!$AE:$AF,2,FALSE),VLOOKUP(Y$8&amp;"PTY"&amp;$Q11,'Draft SK'!$AE:$AF,2,FALSE)),VLOOKUP(Y$8&amp;"GTT"&amp;$Q11,'Draft SK'!$AE:$AF,2,FALSE)),VLOOKUP(Y$8&amp;"PTT"&amp;$Q11,'Draft SK'!$AE:$AF,2,FALSE)),"")</f>
        <v/>
      </c>
      <c r="AB11" s="60" t="s">
        <v>368</v>
      </c>
    </row>
    <row r="12" spans="1:28" ht="15.5" x14ac:dyDescent="0.35">
      <c r="A12" s="51">
        <f t="shared" si="8"/>
        <v>4</v>
      </c>
      <c r="B12" s="52" t="str">
        <f>IFERROR(VLOOKUP($C$3&amp;$A12,'Data Induk Pegawai'!$A:$Z,B$6,FALSE),"")</f>
        <v>Pegawai 1</v>
      </c>
      <c r="C12" s="53" t="str">
        <f>IFERROR(VLOOKUP($C$3&amp;$A12,'Data Induk Pegawai'!$A:$Z,C$6,FALSE),"")</f>
        <v>2021.01.004</v>
      </c>
      <c r="D12" s="54">
        <f>IFERROR(VLOOKUP($C$3&amp;$A12,'Data Induk Pegawai'!$A:$Z,D$6,FALSE),"")</f>
        <v>44378</v>
      </c>
      <c r="E12" s="53" t="str">
        <f>IFERROR(VLOOKUP($C$3&amp;$A12,'Data Induk Pegawai'!$A:$Z,E$6,FALSE),"")</f>
        <v>GTY</v>
      </c>
      <c r="F12" s="91" t="str">
        <f>IFERROR(VLOOKUP($C$3&amp;$A12,'Data Induk Pegawai'!$A:$Z,F$6,FALSE),"")</f>
        <v>Waka Kurikulum</v>
      </c>
      <c r="G12" s="54" t="str">
        <f>IFERROR(VLOOKUP($C$3&amp;$A12,'Data Induk Pegawai'!$A:$Z,G$6,FALSE),"")</f>
        <v/>
      </c>
      <c r="H12" s="54" t="str">
        <f>IFERROR(VLOOKUP($C$3&amp;$A12,'Data Induk Pegawai'!$A:$Z,H$6,FALSE),"")</f>
        <v/>
      </c>
      <c r="I12" s="54" t="str">
        <f>IFERROR(VLOOKUP($C$3&amp;$A12,'Data Induk Pegawai'!$A:$Z,I$6,FALSE),"")</f>
        <v>--</v>
      </c>
      <c r="J12" s="53" t="str">
        <f>IFERROR(VLOOKUP($C$3&amp;$A12,'Data Induk Pegawai'!$A:$Z,J$6,FALSE),"")</f>
        <v>--</v>
      </c>
      <c r="K12" s="54" t="str">
        <f>IF(B12="","",VLOOKUP($C$3&amp;$A12,'Data Induk Pegawai'!$A:$Z,K$6,FALSE))</f>
        <v>--</v>
      </c>
      <c r="L12" s="54" t="str">
        <f>IF(B12="","",VLOOKUP($C$3&amp;$A12,'Data Induk Pegawai'!$A:$Z,L$6,FALSE))</f>
        <v>--</v>
      </c>
      <c r="M12" s="54" t="str">
        <f>IFERROR(VLOOKUP("1GPTT"&amp;Q12,'Draft SK'!AB:AG,6,FALSE),"")</f>
        <v/>
      </c>
      <c r="N12" s="54" t="str">
        <f>IFERROR(VLOOKUP("1GPTT"&amp;Q12,'Draft SK'!AB:AG,5,FALSE),"")</f>
        <v/>
      </c>
      <c r="O12" s="54" t="str">
        <f t="shared" si="0"/>
        <v/>
      </c>
      <c r="P12" s="54" t="str">
        <f t="shared" si="1"/>
        <v/>
      </c>
      <c r="Q12" s="53">
        <f>IF(C12="","",VLOOKUP($C$3&amp;$A12,'Data Induk Pegawai'!$A:$Z,Q$6,FALSE))</f>
        <v>4</v>
      </c>
      <c r="R12" s="51">
        <f t="shared" ca="1" si="2"/>
        <v>52</v>
      </c>
      <c r="S12" s="51" t="str">
        <f t="shared" ca="1" si="3"/>
        <v>4,33 Tahun</v>
      </c>
      <c r="T12" s="123" t="str">
        <f t="shared" si="4"/>
        <v>Done</v>
      </c>
      <c r="U12" s="123" t="str">
        <f t="shared" si="5"/>
        <v>-</v>
      </c>
      <c r="V12" s="123" t="str">
        <f>U12&amp;COUNTIFS(U$9:U12,U12)</f>
        <v>-4</v>
      </c>
      <c r="W12" s="123" t="str">
        <f t="shared" si="6"/>
        <v>-</v>
      </c>
      <c r="X12" s="123" t="str">
        <f t="shared" si="7"/>
        <v>-</v>
      </c>
      <c r="Y12" s="9" t="str">
        <f>IFERROR(IFERROR(IFERROR(IFERROR(VLOOKUP(Y$8&amp;"GTY"&amp;$Q12,'Draft SK'!$AE:$AF,2,FALSE),VLOOKUP(Y$8&amp;"PTY"&amp;$Q12,'Draft SK'!$AE:$AF,2,FALSE)),VLOOKUP(Y$8&amp;"GTT"&amp;$Q12,'Draft SK'!$AE:$AF,2,FALSE)),VLOOKUP(Y$8&amp;"PTT"&amp;$Q12,'Draft SK'!$AE:$AF,2,FALSE)),"")</f>
        <v/>
      </c>
      <c r="AB12" s="60" t="s">
        <v>369</v>
      </c>
    </row>
    <row r="13" spans="1:28" ht="15.5" x14ac:dyDescent="0.35">
      <c r="A13" s="51">
        <f t="shared" si="8"/>
        <v>5</v>
      </c>
      <c r="B13" s="52" t="str">
        <f>IFERROR(VLOOKUP($C$3&amp;$A13,'Data Induk Pegawai'!$A:$Z,B$6,FALSE),"")</f>
        <v>Pegawai 2</v>
      </c>
      <c r="C13" s="53" t="str">
        <f>IFERROR(VLOOKUP($C$3&amp;$A13,'Data Induk Pegawai'!$A:$Z,C$6,FALSE),"")</f>
        <v>2021.01.005</v>
      </c>
      <c r="D13" s="54">
        <f>IFERROR(VLOOKUP($C$3&amp;$A13,'Data Induk Pegawai'!$A:$Z,D$6,FALSE),"")</f>
        <v>44378</v>
      </c>
      <c r="E13" s="53" t="str">
        <f>IFERROR(VLOOKUP($C$3&amp;$A13,'Data Induk Pegawai'!$A:$Z,E$6,FALSE),"")</f>
        <v>PTY</v>
      </c>
      <c r="F13" s="91" t="str">
        <f>IFERROR(VLOOKUP($C$3&amp;$A13,'Data Induk Pegawai'!$A:$Z,F$6,FALSE),"")</f>
        <v>Tenaga K3</v>
      </c>
      <c r="G13" s="54" t="str">
        <f>IFERROR(VLOOKUP($C$3&amp;$A13,'Data Induk Pegawai'!$A:$Z,G$6,FALSE),"")</f>
        <v/>
      </c>
      <c r="H13" s="54" t="str">
        <f>IFERROR(VLOOKUP($C$3&amp;$A13,'Data Induk Pegawai'!$A:$Z,H$6,FALSE),"")</f>
        <v/>
      </c>
      <c r="I13" s="54" t="str">
        <f>IFERROR(VLOOKUP($C$3&amp;$A13,'Data Induk Pegawai'!$A:$Z,I$6,FALSE),"")</f>
        <v>--</v>
      </c>
      <c r="J13" s="53" t="str">
        <f>IFERROR(VLOOKUP($C$3&amp;$A13,'Data Induk Pegawai'!$A:$Z,J$6,FALSE),"")</f>
        <v>--</v>
      </c>
      <c r="K13" s="54" t="str">
        <f>IF(B13="","",VLOOKUP($C$3&amp;$A13,'Data Induk Pegawai'!$A:$Z,K$6,FALSE))</f>
        <v>--</v>
      </c>
      <c r="L13" s="54" t="str">
        <f>IF(B13="","",VLOOKUP($C$3&amp;$A13,'Data Induk Pegawai'!$A:$Z,L$6,FALSE))</f>
        <v>--</v>
      </c>
      <c r="M13" s="54" t="str">
        <f>IFERROR(VLOOKUP("1GPTT"&amp;Q13,'Draft SK'!AB:AG,6,FALSE),"")</f>
        <v/>
      </c>
      <c r="N13" s="54" t="str">
        <f>IFERROR(VLOOKUP("1GPTT"&amp;Q13,'Draft SK'!AB:AG,5,FALSE),"")</f>
        <v/>
      </c>
      <c r="O13" s="54" t="str">
        <f t="shared" si="0"/>
        <v/>
      </c>
      <c r="P13" s="54" t="str">
        <f t="shared" si="1"/>
        <v/>
      </c>
      <c r="Q13" s="53">
        <f>IF(C13="","",VLOOKUP($C$3&amp;$A13,'Data Induk Pegawai'!$A:$Z,Q$6,FALSE))</f>
        <v>5</v>
      </c>
      <c r="R13" s="51">
        <f t="shared" ca="1" si="2"/>
        <v>52</v>
      </c>
      <c r="S13" s="51" t="str">
        <f t="shared" ca="1" si="3"/>
        <v>4,33 Tahun</v>
      </c>
      <c r="T13" s="123" t="str">
        <f t="shared" si="4"/>
        <v>Done</v>
      </c>
      <c r="U13" s="123" t="str">
        <f t="shared" si="5"/>
        <v>-</v>
      </c>
      <c r="V13" s="123" t="str">
        <f>U13&amp;COUNTIFS(U$9:U13,U13)</f>
        <v>-5</v>
      </c>
      <c r="W13" s="123" t="str">
        <f t="shared" si="6"/>
        <v>-</v>
      </c>
      <c r="X13" s="123" t="str">
        <f t="shared" si="7"/>
        <v>-</v>
      </c>
      <c r="Y13" s="9" t="str">
        <f>IFERROR(IFERROR(IFERROR(IFERROR(VLOOKUP(Y$8&amp;"GTY"&amp;$Q13,'Draft SK'!$AE:$AF,2,FALSE),VLOOKUP(Y$8&amp;"PTY"&amp;$Q13,'Draft SK'!$AE:$AF,2,FALSE)),VLOOKUP(Y$8&amp;"GTT"&amp;$Q13,'Draft SK'!$AE:$AF,2,FALSE)),VLOOKUP(Y$8&amp;"PTT"&amp;$Q13,'Draft SK'!$AE:$AF,2,FALSE)),"")</f>
        <v/>
      </c>
      <c r="AB13" s="60" t="s">
        <v>370</v>
      </c>
    </row>
    <row r="14" spans="1:28" ht="15.5" x14ac:dyDescent="0.35">
      <c r="A14" s="51">
        <f t="shared" si="8"/>
        <v>6</v>
      </c>
      <c r="B14" s="52" t="str">
        <f>IFERROR(VLOOKUP($C$3&amp;$A14,'Data Induk Pegawai'!$A:$Z,B$6,FALSE),"")</f>
        <v>Pegawai 4</v>
      </c>
      <c r="C14" s="53" t="str">
        <f>IFERROR(VLOOKUP($C$3&amp;$A14,'Data Induk Pegawai'!$A:$Z,C$6,FALSE),"")</f>
        <v>2022.01.007</v>
      </c>
      <c r="D14" s="54">
        <f>IFERROR(VLOOKUP($C$3&amp;$A14,'Data Induk Pegawai'!$A:$Z,D$6,FALSE),"")</f>
        <v>44743</v>
      </c>
      <c r="E14" s="53" t="str">
        <f>IFERROR(VLOOKUP($C$3&amp;$A14,'Data Induk Pegawai'!$A:$Z,E$6,FALSE),"")</f>
        <v>GTT</v>
      </c>
      <c r="F14" s="91" t="str">
        <f>IFERROR(VLOOKUP($C$3&amp;$A14,'Data Induk Pegawai'!$A:$Z,F$6,FALSE),"")</f>
        <v>Guru</v>
      </c>
      <c r="G14" s="54" t="str">
        <f>IFERROR(VLOOKUP($C$3&amp;$A14,'Data Induk Pegawai'!$A:$Z,G$6,FALSE),"")</f>
        <v/>
      </c>
      <c r="H14" s="54" t="str">
        <f>IFERROR(VLOOKUP($C$3&amp;$A14,'Data Induk Pegawai'!$A:$Z,H$6,FALSE),"")</f>
        <v/>
      </c>
      <c r="I14" s="54" t="str">
        <f>IFERROR(VLOOKUP($C$3&amp;$A14,'Data Induk Pegawai'!$A:$Z,I$6,FALSE),"")</f>
        <v>--</v>
      </c>
      <c r="J14" s="53" t="str">
        <f>IFERROR(VLOOKUP($C$3&amp;$A14,'Data Induk Pegawai'!$A:$Z,J$6,FALSE),"")</f>
        <v>--</v>
      </c>
      <c r="K14" s="54" t="str">
        <f>IF(B14="","",VLOOKUP($C$3&amp;$A14,'Data Induk Pegawai'!$A:$Z,K$6,FALSE))</f>
        <v>--</v>
      </c>
      <c r="L14" s="54" t="str">
        <f>IF(B14="","",VLOOKUP($C$3&amp;$A14,'Data Induk Pegawai'!$A:$Z,L$6,FALSE))</f>
        <v>--</v>
      </c>
      <c r="M14" s="54" t="str">
        <f>IFERROR(VLOOKUP("1GPTT"&amp;Q14,'Draft SK'!AB:AG,6,FALSE),"")</f>
        <v/>
      </c>
      <c r="N14" s="54" t="str">
        <f>IFERROR(VLOOKUP("1GPTT"&amp;Q14,'Draft SK'!AB:AG,5,FALSE),"")</f>
        <v/>
      </c>
      <c r="O14" s="54" t="str">
        <f t="shared" si="0"/>
        <v/>
      </c>
      <c r="P14" s="54" t="str">
        <f t="shared" si="1"/>
        <v/>
      </c>
      <c r="Q14" s="53">
        <f>IF(C14="","",VLOOKUP($C$3&amp;$A14,'Data Induk Pegawai'!$A:$Z,Q$6,FALSE))</f>
        <v>7</v>
      </c>
      <c r="R14" s="51">
        <f t="shared" ca="1" si="2"/>
        <v>40</v>
      </c>
      <c r="S14" s="51" t="str">
        <f t="shared" ca="1" si="3"/>
        <v>3,33 Tahun</v>
      </c>
      <c r="T14" s="123" t="e">
        <f t="shared" si="4"/>
        <v>#VALUE!</v>
      </c>
      <c r="U14" s="123" t="e">
        <f t="shared" si="5"/>
        <v>#VALUE!</v>
      </c>
      <c r="V14" s="123" t="e">
        <f>U14&amp;COUNTIFS(U$9:U14,U14)</f>
        <v>#VALUE!</v>
      </c>
      <c r="W14" s="123" t="e">
        <f t="shared" si="6"/>
        <v>#VALUE!</v>
      </c>
      <c r="X14" s="123" t="e">
        <f t="shared" si="7"/>
        <v>#VALUE!</v>
      </c>
      <c r="Y14" s="9" t="str">
        <f>IFERROR(IFERROR(IFERROR(IFERROR(VLOOKUP(Y$8&amp;"GTY"&amp;$Q14,'Draft SK'!$AE:$AF,2,FALSE),VLOOKUP(Y$8&amp;"PTY"&amp;$Q14,'Draft SK'!$AE:$AF,2,FALSE)),VLOOKUP(Y$8&amp;"GTT"&amp;$Q14,'Draft SK'!$AE:$AF,2,FALSE)),VLOOKUP(Y$8&amp;"PTT"&amp;$Q14,'Draft SK'!$AE:$AF,2,FALSE)),"")</f>
        <v/>
      </c>
      <c r="AB14" s="60" t="s">
        <v>371</v>
      </c>
    </row>
    <row r="15" spans="1:28" ht="15.5" x14ac:dyDescent="0.35">
      <c r="A15" s="51">
        <f t="shared" si="8"/>
        <v>7</v>
      </c>
      <c r="B15" s="52" t="str">
        <f>IFERROR(VLOOKUP($C$3&amp;$A15,'Data Induk Pegawai'!$A:$Z,B$6,FALSE),"")</f>
        <v>Pegawai 5</v>
      </c>
      <c r="C15" s="53" t="str">
        <f>IFERROR(VLOOKUP($C$3&amp;$A15,'Data Induk Pegawai'!$A:$Z,C$6,FALSE),"")</f>
        <v>2022.01.008</v>
      </c>
      <c r="D15" s="54">
        <f>IFERROR(VLOOKUP($C$3&amp;$A15,'Data Induk Pegawai'!$A:$Z,D$6,FALSE),"")</f>
        <v>44743</v>
      </c>
      <c r="E15" s="53" t="str">
        <f>IFERROR(VLOOKUP($C$3&amp;$A15,'Data Induk Pegawai'!$A:$Z,E$6,FALSE),"")</f>
        <v>PTT</v>
      </c>
      <c r="F15" s="91" t="str">
        <f>IFERROR(VLOOKUP($C$3&amp;$A15,'Data Induk Pegawai'!$A:$Z,F$6,FALSE),"")</f>
        <v>Pegawai</v>
      </c>
      <c r="G15" s="54" t="str">
        <f>IFERROR(VLOOKUP($C$3&amp;$A15,'Data Induk Pegawai'!$A:$Z,G$6,FALSE),"")</f>
        <v/>
      </c>
      <c r="H15" s="54" t="str">
        <f>IFERROR(VLOOKUP($C$3&amp;$A15,'Data Induk Pegawai'!$A:$Z,H$6,FALSE),"")</f>
        <v/>
      </c>
      <c r="I15" s="54" t="str">
        <f>IFERROR(VLOOKUP($C$3&amp;$A15,'Data Induk Pegawai'!$A:$Z,I$6,FALSE),"")</f>
        <v>--</v>
      </c>
      <c r="J15" s="53" t="str">
        <f>IFERROR(VLOOKUP($C$3&amp;$A15,'Data Induk Pegawai'!$A:$Z,J$6,FALSE),"")</f>
        <v>--</v>
      </c>
      <c r="K15" s="54" t="str">
        <f>IF(B15="","",VLOOKUP($C$3&amp;$A15,'Data Induk Pegawai'!$A:$Z,K$6,FALSE))</f>
        <v>--</v>
      </c>
      <c r="L15" s="54" t="str">
        <f>IF(B15="","",VLOOKUP($C$3&amp;$A15,'Data Induk Pegawai'!$A:$Z,L$6,FALSE))</f>
        <v>--</v>
      </c>
      <c r="M15" s="54" t="str">
        <f>IFERROR(VLOOKUP("1GPTT"&amp;Q15,'Draft SK'!AB:AG,6,FALSE),"")</f>
        <v/>
      </c>
      <c r="N15" s="54" t="str">
        <f>IFERROR(VLOOKUP("1GPTT"&amp;Q15,'Draft SK'!AB:AG,5,FALSE),"")</f>
        <v/>
      </c>
      <c r="O15" s="54" t="str">
        <f t="shared" si="0"/>
        <v/>
      </c>
      <c r="P15" s="54" t="str">
        <f t="shared" si="1"/>
        <v/>
      </c>
      <c r="Q15" s="53">
        <f>IF(C15="","",VLOOKUP($C$3&amp;$A15,'Data Induk Pegawai'!$A:$Z,Q$6,FALSE))</f>
        <v>8</v>
      </c>
      <c r="R15" s="51">
        <f t="shared" ca="1" si="2"/>
        <v>40</v>
      </c>
      <c r="S15" s="51" t="str">
        <f t="shared" ca="1" si="3"/>
        <v>3,33 Tahun</v>
      </c>
      <c r="T15" s="123" t="e">
        <f t="shared" si="4"/>
        <v>#VALUE!</v>
      </c>
      <c r="U15" s="123" t="e">
        <f t="shared" si="5"/>
        <v>#VALUE!</v>
      </c>
      <c r="V15" s="123" t="e">
        <f>U15&amp;COUNTIFS(U$9:U15,U15)</f>
        <v>#VALUE!</v>
      </c>
      <c r="W15" s="123" t="e">
        <f t="shared" si="6"/>
        <v>#VALUE!</v>
      </c>
      <c r="X15" s="123" t="e">
        <f t="shared" si="7"/>
        <v>#VALUE!</v>
      </c>
      <c r="Y15" s="9" t="str">
        <f>IFERROR(IFERROR(IFERROR(IFERROR(VLOOKUP(Y$8&amp;"GTY"&amp;$Q15,'Draft SK'!$AE:$AF,2,FALSE),VLOOKUP(Y$8&amp;"PTY"&amp;$Q15,'Draft SK'!$AE:$AF,2,FALSE)),VLOOKUP(Y$8&amp;"GTT"&amp;$Q15,'Draft SK'!$AE:$AF,2,FALSE)),VLOOKUP(Y$8&amp;"PTT"&amp;$Q15,'Draft SK'!$AE:$AF,2,FALSE)),"")</f>
        <v/>
      </c>
      <c r="AB15" s="60" t="s">
        <v>372</v>
      </c>
    </row>
    <row r="16" spans="1:28" ht="15.5" x14ac:dyDescent="0.35">
      <c r="A16" s="51">
        <f t="shared" si="8"/>
        <v>8</v>
      </c>
      <c r="B16" s="52" t="str">
        <f>IFERROR(VLOOKUP($C$3&amp;$A16,'Data Induk Pegawai'!$A:$Z,B$6,FALSE),"")</f>
        <v>Pegawai 6</v>
      </c>
      <c r="C16" s="53" t="str">
        <f>IFERROR(VLOOKUP($C$3&amp;$A16,'Data Induk Pegawai'!$A:$Z,C$6,FALSE),"")</f>
        <v>2023.01.009</v>
      </c>
      <c r="D16" s="54">
        <f>IFERROR(VLOOKUP($C$3&amp;$A16,'Data Induk Pegawai'!$A:$Z,D$6,FALSE),"")</f>
        <v>45108</v>
      </c>
      <c r="E16" s="53" t="str">
        <f>IFERROR(VLOOKUP($C$3&amp;$A16,'Data Induk Pegawai'!$A:$Z,E$6,FALSE),"")</f>
        <v>GTT</v>
      </c>
      <c r="F16" s="91" t="str">
        <f>IFERROR(VLOOKUP($C$3&amp;$A16,'Data Induk Pegawai'!$A:$Z,F$6,FALSE),"")</f>
        <v>Guru</v>
      </c>
      <c r="G16" s="54" t="str">
        <f>IFERROR(VLOOKUP($C$3&amp;$A16,'Data Induk Pegawai'!$A:$Z,G$6,FALSE),"")</f>
        <v/>
      </c>
      <c r="H16" s="54" t="str">
        <f>IFERROR(VLOOKUP($C$3&amp;$A16,'Data Induk Pegawai'!$A:$Z,H$6,FALSE),"")</f>
        <v/>
      </c>
      <c r="I16" s="54" t="str">
        <f>IFERROR(VLOOKUP($C$3&amp;$A16,'Data Induk Pegawai'!$A:$Z,I$6,FALSE),"")</f>
        <v>--</v>
      </c>
      <c r="J16" s="53" t="str">
        <f>IFERROR(VLOOKUP($C$3&amp;$A16,'Data Induk Pegawai'!$A:$Z,J$6,FALSE),"")</f>
        <v>--</v>
      </c>
      <c r="K16" s="54" t="str">
        <f>IF(B16="","",VLOOKUP($C$3&amp;$A16,'Data Induk Pegawai'!$A:$Z,K$6,FALSE))</f>
        <v>--</v>
      </c>
      <c r="L16" s="54" t="str">
        <f>IF(B16="","",VLOOKUP($C$3&amp;$A16,'Data Induk Pegawai'!$A:$Z,L$6,FALSE))</f>
        <v>--</v>
      </c>
      <c r="M16" s="54" t="str">
        <f>IFERROR(VLOOKUP("1GPTT"&amp;Q16,'Draft SK'!AB:AG,6,FALSE),"")</f>
        <v/>
      </c>
      <c r="N16" s="54" t="str">
        <f>IFERROR(VLOOKUP("1GPTT"&amp;Q16,'Draft SK'!AB:AG,5,FALSE),"")</f>
        <v/>
      </c>
      <c r="O16" s="54" t="str">
        <f t="shared" si="0"/>
        <v/>
      </c>
      <c r="P16" s="54" t="str">
        <f t="shared" si="1"/>
        <v/>
      </c>
      <c r="Q16" s="53">
        <f>IF(C16="","",VLOOKUP($C$3&amp;$A16,'Data Induk Pegawai'!$A:$Z,Q$6,FALSE))</f>
        <v>9</v>
      </c>
      <c r="R16" s="51">
        <f t="shared" ca="1" si="2"/>
        <v>28</v>
      </c>
      <c r="S16" s="51" t="str">
        <f t="shared" ca="1" si="3"/>
        <v>2,33 Tahun</v>
      </c>
      <c r="T16" s="123" t="e">
        <f t="shared" si="4"/>
        <v>#VALUE!</v>
      </c>
      <c r="U16" s="123" t="e">
        <f t="shared" si="5"/>
        <v>#VALUE!</v>
      </c>
      <c r="V16" s="123" t="e">
        <f>U16&amp;COUNTIFS(U$9:U16,U16)</f>
        <v>#VALUE!</v>
      </c>
      <c r="W16" s="123" t="e">
        <f t="shared" si="6"/>
        <v>#VALUE!</v>
      </c>
      <c r="X16" s="123" t="e">
        <f t="shared" si="7"/>
        <v>#VALUE!</v>
      </c>
      <c r="Y16" s="9" t="str">
        <f>IFERROR(IFERROR(IFERROR(IFERROR(VLOOKUP(Y$8&amp;"GTY"&amp;$Q16,'Draft SK'!$AE:$AF,2,FALSE),VLOOKUP(Y$8&amp;"PTY"&amp;$Q16,'Draft SK'!$AE:$AF,2,FALSE)),VLOOKUP(Y$8&amp;"GTT"&amp;$Q16,'Draft SK'!$AE:$AF,2,FALSE)),VLOOKUP(Y$8&amp;"PTT"&amp;$Q16,'Draft SK'!$AE:$AF,2,FALSE)),"")</f>
        <v/>
      </c>
      <c r="AB16" s="60" t="s">
        <v>373</v>
      </c>
    </row>
    <row r="17" spans="1:28" ht="15.5" x14ac:dyDescent="0.35">
      <c r="A17" s="51">
        <f t="shared" si="8"/>
        <v>9</v>
      </c>
      <c r="B17" s="52" t="str">
        <f>IFERROR(VLOOKUP($C$3&amp;$A17,'Data Induk Pegawai'!$A:$Z,B$6,FALSE),"")</f>
        <v>Pegawai 8</v>
      </c>
      <c r="C17" s="53" t="str">
        <f>IFERROR(VLOOKUP($C$3&amp;$A17,'Data Induk Pegawai'!$A:$Z,C$6,FALSE),"")</f>
        <v>2023.01.011</v>
      </c>
      <c r="D17" s="54">
        <f>IFERROR(VLOOKUP($C$3&amp;$A17,'Data Induk Pegawai'!$A:$Z,D$6,FALSE),"")</f>
        <v>45108</v>
      </c>
      <c r="E17" s="53" t="str">
        <f>IFERROR(VLOOKUP($C$3&amp;$A17,'Data Induk Pegawai'!$A:$Z,E$6,FALSE),"")</f>
        <v>PTT</v>
      </c>
      <c r="F17" s="91" t="str">
        <f>IFERROR(VLOOKUP($C$3&amp;$A17,'Data Induk Pegawai'!$A:$Z,F$6,FALSE),"")</f>
        <v>Pegawai</v>
      </c>
      <c r="G17" s="54" t="str">
        <f>IFERROR(VLOOKUP($C$3&amp;$A17,'Data Induk Pegawai'!$A:$Z,G$6,FALSE),"")</f>
        <v/>
      </c>
      <c r="H17" s="54" t="str">
        <f>IFERROR(VLOOKUP($C$3&amp;$A17,'Data Induk Pegawai'!$A:$Z,H$6,FALSE),"")</f>
        <v/>
      </c>
      <c r="I17" s="54" t="str">
        <f>IFERROR(VLOOKUP($C$3&amp;$A17,'Data Induk Pegawai'!$A:$Z,I$6,FALSE),"")</f>
        <v>--</v>
      </c>
      <c r="J17" s="53" t="str">
        <f>IFERROR(VLOOKUP($C$3&amp;$A17,'Data Induk Pegawai'!$A:$Z,J$6,FALSE),"")</f>
        <v>--</v>
      </c>
      <c r="K17" s="54" t="str">
        <f>IF(B17="","",VLOOKUP($C$3&amp;$A17,'Data Induk Pegawai'!$A:$Z,K$6,FALSE))</f>
        <v>--</v>
      </c>
      <c r="L17" s="54" t="str">
        <f>IF(B17="","",VLOOKUP($C$3&amp;$A17,'Data Induk Pegawai'!$A:$Z,L$6,FALSE))</f>
        <v>--</v>
      </c>
      <c r="M17" s="54" t="str">
        <f>IFERROR(VLOOKUP("1GPTT"&amp;Q17,'Draft SK'!AB:AG,6,FALSE),"")</f>
        <v/>
      </c>
      <c r="N17" s="54" t="str">
        <f>IFERROR(VLOOKUP("1GPTT"&amp;Q17,'Draft SK'!AB:AG,5,FALSE),"")</f>
        <v/>
      </c>
      <c r="O17" s="54" t="str">
        <f t="shared" si="0"/>
        <v/>
      </c>
      <c r="P17" s="54" t="str">
        <f t="shared" si="1"/>
        <v/>
      </c>
      <c r="Q17" s="53">
        <f>IF(C17="","",VLOOKUP($C$3&amp;$A17,'Data Induk Pegawai'!$A:$Z,Q$6,FALSE))</f>
        <v>11</v>
      </c>
      <c r="R17" s="51">
        <f t="shared" ca="1" si="2"/>
        <v>28</v>
      </c>
      <c r="S17" s="51" t="str">
        <f t="shared" ca="1" si="3"/>
        <v>2,33 Tahun</v>
      </c>
      <c r="T17" s="123" t="e">
        <f t="shared" si="4"/>
        <v>#VALUE!</v>
      </c>
      <c r="U17" s="123" t="e">
        <f t="shared" si="5"/>
        <v>#VALUE!</v>
      </c>
      <c r="V17" s="123" t="e">
        <f>U17&amp;COUNTIFS(U$9:U17,U17)</f>
        <v>#VALUE!</v>
      </c>
      <c r="W17" s="123" t="e">
        <f t="shared" si="6"/>
        <v>#VALUE!</v>
      </c>
      <c r="X17" s="123" t="e">
        <f t="shared" si="7"/>
        <v>#VALUE!</v>
      </c>
      <c r="Y17" s="9" t="str">
        <f>IFERROR(IFERROR(IFERROR(IFERROR(VLOOKUP(Y$8&amp;"GTY"&amp;$Q17,'Draft SK'!$AE:$AF,2,FALSE),VLOOKUP(Y$8&amp;"PTY"&amp;$Q17,'Draft SK'!$AE:$AF,2,FALSE)),VLOOKUP(Y$8&amp;"GTT"&amp;$Q17,'Draft SK'!$AE:$AF,2,FALSE)),VLOOKUP(Y$8&amp;"PTT"&amp;$Q17,'Draft SK'!$AE:$AF,2,FALSE)),"")</f>
        <v/>
      </c>
      <c r="AB17" s="60" t="s">
        <v>374</v>
      </c>
    </row>
    <row r="18" spans="1:28" ht="15.5" x14ac:dyDescent="0.35">
      <c r="A18" s="51">
        <f t="shared" si="8"/>
        <v>10</v>
      </c>
      <c r="B18" s="52" t="str">
        <f>IFERROR(VLOOKUP($C$3&amp;$A18,'Data Induk Pegawai'!$A:$Z,B$6,FALSE),"")</f>
        <v>Pegawai 9</v>
      </c>
      <c r="C18" s="53" t="str">
        <f>IFERROR(VLOOKUP($C$3&amp;$A18,'Data Induk Pegawai'!$A:$Z,C$6,FALSE),"")</f>
        <v>2023.01.012</v>
      </c>
      <c r="D18" s="54">
        <f>IFERROR(VLOOKUP($C$3&amp;$A18,'Data Induk Pegawai'!$A:$Z,D$6,FALSE),"")</f>
        <v>45108</v>
      </c>
      <c r="E18" s="53" t="str">
        <f>IFERROR(VLOOKUP($C$3&amp;$A18,'Data Induk Pegawai'!$A:$Z,E$6,FALSE),"")</f>
        <v>GTT</v>
      </c>
      <c r="F18" s="91" t="str">
        <f>IFERROR(VLOOKUP($C$3&amp;$A18,'Data Induk Pegawai'!$A:$Z,F$6,FALSE),"")</f>
        <v>Guru</v>
      </c>
      <c r="G18" s="54" t="str">
        <f>IFERROR(VLOOKUP($C$3&amp;$A18,'Data Induk Pegawai'!$A:$Z,G$6,FALSE),"")</f>
        <v/>
      </c>
      <c r="H18" s="54" t="str">
        <f>IFERROR(VLOOKUP($C$3&amp;$A18,'Data Induk Pegawai'!$A:$Z,H$6,FALSE),"")</f>
        <v/>
      </c>
      <c r="I18" s="54" t="str">
        <f>IFERROR(VLOOKUP($C$3&amp;$A18,'Data Induk Pegawai'!$A:$Z,I$6,FALSE),"")</f>
        <v>--</v>
      </c>
      <c r="J18" s="53" t="str">
        <f>IFERROR(VLOOKUP($C$3&amp;$A18,'Data Induk Pegawai'!$A:$Z,J$6,FALSE),"")</f>
        <v>--</v>
      </c>
      <c r="K18" s="54" t="str">
        <f>IF(B18="","",VLOOKUP($C$3&amp;$A18,'Data Induk Pegawai'!$A:$Z,K$6,FALSE))</f>
        <v>--</v>
      </c>
      <c r="L18" s="54" t="str">
        <f>IF(B18="","",VLOOKUP($C$3&amp;$A18,'Data Induk Pegawai'!$A:$Z,L$6,FALSE))</f>
        <v>--</v>
      </c>
      <c r="M18" s="54" t="str">
        <f>IFERROR(VLOOKUP("1GPTT"&amp;Q18,'Draft SK'!AB:AG,6,FALSE),"")</f>
        <v/>
      </c>
      <c r="N18" s="54" t="str">
        <f>IFERROR(VLOOKUP("1GPTT"&amp;Q18,'Draft SK'!AB:AG,5,FALSE),"")</f>
        <v/>
      </c>
      <c r="O18" s="54" t="str">
        <f t="shared" si="0"/>
        <v/>
      </c>
      <c r="P18" s="54" t="str">
        <f t="shared" si="1"/>
        <v/>
      </c>
      <c r="Q18" s="53">
        <f>IF(C18="","",VLOOKUP($C$3&amp;$A18,'Data Induk Pegawai'!$A:$Z,Q$6,FALSE))</f>
        <v>12</v>
      </c>
      <c r="R18" s="51">
        <f t="shared" ca="1" si="2"/>
        <v>28</v>
      </c>
      <c r="S18" s="51" t="str">
        <f t="shared" ca="1" si="3"/>
        <v>2,33 Tahun</v>
      </c>
      <c r="T18" s="123" t="e">
        <f t="shared" si="4"/>
        <v>#VALUE!</v>
      </c>
      <c r="U18" s="123" t="e">
        <f t="shared" si="5"/>
        <v>#VALUE!</v>
      </c>
      <c r="V18" s="123" t="e">
        <f>U18&amp;COUNTIFS(U$9:U18,U18)</f>
        <v>#VALUE!</v>
      </c>
      <c r="W18" s="123" t="e">
        <f t="shared" si="6"/>
        <v>#VALUE!</v>
      </c>
      <c r="X18" s="123" t="e">
        <f t="shared" si="7"/>
        <v>#VALUE!</v>
      </c>
      <c r="Y18" s="9" t="str">
        <f>IFERROR(IFERROR(IFERROR(IFERROR(VLOOKUP(Y$8&amp;"GTY"&amp;$Q18,'Draft SK'!$AE:$AF,2,FALSE),VLOOKUP(Y$8&amp;"PTY"&amp;$Q18,'Draft SK'!$AE:$AF,2,FALSE)),VLOOKUP(Y$8&amp;"GTT"&amp;$Q18,'Draft SK'!$AE:$AF,2,FALSE)),VLOOKUP(Y$8&amp;"PTT"&amp;$Q18,'Draft SK'!$AE:$AF,2,FALSE)),"")</f>
        <v/>
      </c>
      <c r="AB18" s="60" t="s">
        <v>375</v>
      </c>
    </row>
    <row r="19" spans="1:28" ht="15.5" x14ac:dyDescent="0.35">
      <c r="A19" s="51">
        <f t="shared" si="8"/>
        <v>11</v>
      </c>
      <c r="B19" s="52" t="str">
        <f>IFERROR(VLOOKUP($C$3&amp;$A19,'Data Induk Pegawai'!$A:$Z,B$6,FALSE),"")</f>
        <v>Pegawai 10</v>
      </c>
      <c r="C19" s="53" t="str">
        <f>IFERROR(VLOOKUP($C$3&amp;$A19,'Data Induk Pegawai'!$A:$Z,C$6,FALSE),"")</f>
        <v>2024.01.013</v>
      </c>
      <c r="D19" s="54">
        <f>IFERROR(VLOOKUP($C$3&amp;$A19,'Data Induk Pegawai'!$A:$Z,D$6,FALSE),"")</f>
        <v>45474</v>
      </c>
      <c r="E19" s="53" t="str">
        <f>IFERROR(VLOOKUP($C$3&amp;$A19,'Data Induk Pegawai'!$A:$Z,E$6,FALSE),"")</f>
        <v>GTT</v>
      </c>
      <c r="F19" s="91" t="str">
        <f>IFERROR(VLOOKUP($C$3&amp;$A19,'Data Induk Pegawai'!$A:$Z,F$6,FALSE),"")</f>
        <v>Guru</v>
      </c>
      <c r="G19" s="54" t="str">
        <f>IFERROR(VLOOKUP($C$3&amp;$A19,'Data Induk Pegawai'!$A:$Z,G$6,FALSE),"")</f>
        <v/>
      </c>
      <c r="H19" s="54" t="str">
        <f>IFERROR(VLOOKUP($C$3&amp;$A19,'Data Induk Pegawai'!$A:$Z,H$6,FALSE),"")</f>
        <v/>
      </c>
      <c r="I19" s="54" t="str">
        <f>IFERROR(VLOOKUP($C$3&amp;$A19,'Data Induk Pegawai'!$A:$Z,I$6,FALSE),"")</f>
        <v>--</v>
      </c>
      <c r="J19" s="53" t="str">
        <f>IFERROR(VLOOKUP($C$3&amp;$A19,'Data Induk Pegawai'!$A:$Z,J$6,FALSE),"")</f>
        <v>--</v>
      </c>
      <c r="K19" s="54" t="str">
        <f>IF(B19="","",VLOOKUP($C$3&amp;$A19,'Data Induk Pegawai'!$A:$Z,K$6,FALSE))</f>
        <v>--</v>
      </c>
      <c r="L19" s="54" t="str">
        <f>IF(B19="","",VLOOKUP($C$3&amp;$A19,'Data Induk Pegawai'!$A:$Z,L$6,FALSE))</f>
        <v>--</v>
      </c>
      <c r="M19" s="54" t="str">
        <f>IFERROR(VLOOKUP("1GPTT"&amp;Q19,'Draft SK'!AB:AG,6,FALSE),"")</f>
        <v/>
      </c>
      <c r="N19" s="54" t="str">
        <f>IFERROR(VLOOKUP("1GPTT"&amp;Q19,'Draft SK'!AB:AG,5,FALSE),"")</f>
        <v/>
      </c>
      <c r="O19" s="54" t="str">
        <f t="shared" si="0"/>
        <v/>
      </c>
      <c r="P19" s="54" t="str">
        <f t="shared" si="1"/>
        <v/>
      </c>
      <c r="Q19" s="53">
        <f>IF(C19="","",VLOOKUP($C$3&amp;$A19,'Data Induk Pegawai'!$A:$Z,Q$6,FALSE))</f>
        <v>13</v>
      </c>
      <c r="R19" s="51">
        <f t="shared" ca="1" si="2"/>
        <v>16</v>
      </c>
      <c r="S19" s="51" t="str">
        <f t="shared" ca="1" si="3"/>
        <v>1,33 Tahun</v>
      </c>
      <c r="T19" s="123" t="e">
        <f t="shared" si="4"/>
        <v>#VALUE!</v>
      </c>
      <c r="U19" s="123" t="e">
        <f t="shared" si="5"/>
        <v>#VALUE!</v>
      </c>
      <c r="V19" s="123" t="e">
        <f>U19&amp;COUNTIFS(U$9:U19,U19)</f>
        <v>#VALUE!</v>
      </c>
      <c r="W19" s="123" t="e">
        <f t="shared" si="6"/>
        <v>#VALUE!</v>
      </c>
      <c r="X19" s="123" t="e">
        <f t="shared" si="7"/>
        <v>#VALUE!</v>
      </c>
      <c r="Y19" s="9" t="str">
        <f>IFERROR(IFERROR(IFERROR(IFERROR(VLOOKUP(Y$8&amp;"GTY"&amp;$Q19,'Draft SK'!$AE:$AF,2,FALSE),VLOOKUP(Y$8&amp;"PTY"&amp;$Q19,'Draft SK'!$AE:$AF,2,FALSE)),VLOOKUP(Y$8&amp;"GTT"&amp;$Q19,'Draft SK'!$AE:$AF,2,FALSE)),VLOOKUP(Y$8&amp;"PTT"&amp;$Q19,'Draft SK'!$AE:$AF,2,FALSE)),"")</f>
        <v/>
      </c>
      <c r="AB19" s="60" t="s">
        <v>393</v>
      </c>
    </row>
    <row r="20" spans="1:28" ht="15.5" x14ac:dyDescent="0.35">
      <c r="A20" s="51">
        <f t="shared" si="8"/>
        <v>12</v>
      </c>
      <c r="B20" s="52" t="str">
        <f>IFERROR(VLOOKUP($C$3&amp;$A20,'Data Induk Pegawai'!$A:$Z,B$6,FALSE),"")</f>
        <v/>
      </c>
      <c r="C20" s="53" t="str">
        <f>IFERROR(VLOOKUP($C$3&amp;$A20,'Data Induk Pegawai'!$A:$Z,C$6,FALSE),"")</f>
        <v/>
      </c>
      <c r="D20" s="54" t="str">
        <f>IFERROR(VLOOKUP($C$3&amp;$A20,'Data Induk Pegawai'!$A:$Z,D$6,FALSE),"")</f>
        <v/>
      </c>
      <c r="E20" s="53" t="str">
        <f>IFERROR(VLOOKUP($C$3&amp;$A20,'Data Induk Pegawai'!$A:$Z,E$6,FALSE),"")</f>
        <v/>
      </c>
      <c r="F20" s="91" t="str">
        <f>IFERROR(VLOOKUP($C$3&amp;$A20,'Data Induk Pegawai'!$A:$Z,F$6,FALSE),"")</f>
        <v/>
      </c>
      <c r="G20" s="54" t="str">
        <f>IFERROR(VLOOKUP($C$3&amp;$A20,'Data Induk Pegawai'!$A:$Z,G$6,FALSE),"")</f>
        <v/>
      </c>
      <c r="H20" s="54" t="str">
        <f>IFERROR(VLOOKUP($C$3&amp;$A20,'Data Induk Pegawai'!$A:$Z,H$6,FALSE),"")</f>
        <v/>
      </c>
      <c r="I20" s="54" t="str">
        <f>IFERROR(VLOOKUP($C$3&amp;$A20,'Data Induk Pegawai'!$A:$Z,I$6,FALSE),"")</f>
        <v/>
      </c>
      <c r="J20" s="53" t="str">
        <f>IFERROR(VLOOKUP($C$3&amp;$A20,'Data Induk Pegawai'!$A:$Z,J$6,FALSE),"")</f>
        <v/>
      </c>
      <c r="K20" s="54" t="str">
        <f>IF(B20="","",VLOOKUP($C$3&amp;$A20,'Data Induk Pegawai'!$A:$Z,K$6,FALSE))</f>
        <v/>
      </c>
      <c r="L20" s="54" t="str">
        <f>IF(B20="","",VLOOKUP($C$3&amp;$A20,'Data Induk Pegawai'!$A:$Z,L$6,FALSE))</f>
        <v/>
      </c>
      <c r="M20" s="54" t="str">
        <f>IFERROR(VLOOKUP("1GPTT"&amp;Q20,'Draft SK'!AB:AG,6,FALSE),"")</f>
        <v/>
      </c>
      <c r="N20" s="54" t="str">
        <f>IFERROR(VLOOKUP("1GPTT"&amp;Q20,'Draft SK'!AB:AG,5,FALSE),"")</f>
        <v/>
      </c>
      <c r="O20" s="54" t="str">
        <f t="shared" si="0"/>
        <v/>
      </c>
      <c r="P20" s="54" t="str">
        <f t="shared" si="1"/>
        <v/>
      </c>
      <c r="Q20" s="53" t="str">
        <f>IF(C20="","",VLOOKUP($C$3&amp;$A20,'Data Induk Pegawai'!$A:$Z,Q$6,FALSE))</f>
        <v/>
      </c>
      <c r="R20" s="51" t="str">
        <f t="shared" ca="1" si="2"/>
        <v/>
      </c>
      <c r="S20" s="51" t="str">
        <f t="shared" si="3"/>
        <v/>
      </c>
      <c r="T20" s="123" t="str">
        <f t="shared" si="4"/>
        <v/>
      </c>
      <c r="U20" s="123" t="str">
        <f t="shared" si="5"/>
        <v>-</v>
      </c>
      <c r="V20" s="123" t="str">
        <f>U20&amp;COUNTIFS(U$9:U20,U20)</f>
        <v>-6</v>
      </c>
      <c r="W20" s="123" t="str">
        <f t="shared" si="6"/>
        <v>-</v>
      </c>
      <c r="X20" s="123" t="str">
        <f t="shared" si="7"/>
        <v>-</v>
      </c>
      <c r="Y20" s="9" t="str">
        <f>IFERROR(IFERROR(IFERROR(IFERROR(VLOOKUP(Y$8&amp;"GTY"&amp;$Q20,'Draft SK'!$AE:$AF,2,FALSE),VLOOKUP(Y$8&amp;"PTY"&amp;$Q20,'Draft SK'!$AE:$AF,2,FALSE)),VLOOKUP(Y$8&amp;"GTT"&amp;$Q20,'Draft SK'!$AE:$AF,2,FALSE)),VLOOKUP(Y$8&amp;"PTT"&amp;$Q20,'Draft SK'!$AE:$AF,2,FALSE)),"")</f>
        <v/>
      </c>
    </row>
    <row r="21" spans="1:28" ht="15.5" x14ac:dyDescent="0.35">
      <c r="A21" s="51" t="str">
        <f t="shared" si="8"/>
        <v/>
      </c>
      <c r="B21" s="52" t="str">
        <f>IFERROR(VLOOKUP($C$3&amp;$A21,'Data Induk Pegawai'!$A:$Z,B$6,FALSE),"")</f>
        <v/>
      </c>
      <c r="C21" s="53" t="str">
        <f>IFERROR(VLOOKUP($C$3&amp;$A21,'Data Induk Pegawai'!$A:$Z,C$6,FALSE),"")</f>
        <v/>
      </c>
      <c r="D21" s="54" t="str">
        <f>IFERROR(VLOOKUP($C$3&amp;$A21,'Data Induk Pegawai'!$A:$Z,D$6,FALSE),"")</f>
        <v/>
      </c>
      <c r="E21" s="53" t="str">
        <f>IFERROR(VLOOKUP($C$3&amp;$A21,'Data Induk Pegawai'!$A:$Z,E$6,FALSE),"")</f>
        <v/>
      </c>
      <c r="F21" s="91" t="str">
        <f>IFERROR(VLOOKUP($C$3&amp;$A21,'Data Induk Pegawai'!$A:$Z,F$6,FALSE),"")</f>
        <v/>
      </c>
      <c r="G21" s="54" t="str">
        <f>IFERROR(VLOOKUP($C$3&amp;$A21,'Data Induk Pegawai'!$A:$Z,G$6,FALSE),"")</f>
        <v/>
      </c>
      <c r="H21" s="54" t="str">
        <f>IFERROR(VLOOKUP($C$3&amp;$A21,'Data Induk Pegawai'!$A:$Z,H$6,FALSE),"")</f>
        <v/>
      </c>
      <c r="I21" s="54" t="str">
        <f>IFERROR(VLOOKUP($C$3&amp;$A21,'Data Induk Pegawai'!$A:$Z,I$6,FALSE),"")</f>
        <v/>
      </c>
      <c r="J21" s="53" t="str">
        <f>IFERROR(VLOOKUP($C$3&amp;$A21,'Data Induk Pegawai'!$A:$Z,J$6,FALSE),"")</f>
        <v/>
      </c>
      <c r="K21" s="54" t="str">
        <f>IF(B21="","",VLOOKUP($C$3&amp;$A21,'Data Induk Pegawai'!$A:$Z,K$6,FALSE))</f>
        <v/>
      </c>
      <c r="L21" s="54" t="str">
        <f>IF(B21="","",VLOOKUP($C$3&amp;$A21,'Data Induk Pegawai'!$A:$Z,L$6,FALSE))</f>
        <v/>
      </c>
      <c r="M21" s="54" t="str">
        <f>IFERROR(VLOOKUP("1GPTT"&amp;Q21,'Draft SK'!AB:AG,6,FALSE),"")</f>
        <v/>
      </c>
      <c r="N21" s="54" t="str">
        <f>IFERROR(VLOOKUP("1GPTT"&amp;Q21,'Draft SK'!AB:AG,5,FALSE),"")</f>
        <v/>
      </c>
      <c r="O21" s="54" t="str">
        <f t="shared" si="0"/>
        <v/>
      </c>
      <c r="P21" s="54" t="str">
        <f t="shared" si="1"/>
        <v/>
      </c>
      <c r="Q21" s="53" t="str">
        <f>IF(C21="","",VLOOKUP($C$3&amp;$A21,'Data Induk Pegawai'!$A:$Z,Q$6,FALSE))</f>
        <v/>
      </c>
      <c r="R21" s="51" t="str">
        <f t="shared" ca="1" si="2"/>
        <v/>
      </c>
      <c r="S21" s="51" t="str">
        <f t="shared" si="3"/>
        <v/>
      </c>
      <c r="T21" s="123" t="str">
        <f t="shared" si="4"/>
        <v/>
      </c>
      <c r="U21" s="123" t="str">
        <f t="shared" si="5"/>
        <v>-</v>
      </c>
      <c r="V21" s="123" t="str">
        <f>U21&amp;COUNTIFS(U$9:U21,U21)</f>
        <v>-7</v>
      </c>
      <c r="W21" s="123" t="str">
        <f t="shared" si="6"/>
        <v>-</v>
      </c>
      <c r="X21" s="123" t="str">
        <f t="shared" si="7"/>
        <v>-</v>
      </c>
      <c r="Y21" s="9" t="str">
        <f>IFERROR(IFERROR(IFERROR(IFERROR(VLOOKUP(Y$8&amp;"GTY"&amp;$Q21,'Draft SK'!$AE:$AF,2,FALSE),VLOOKUP(Y$8&amp;"PTY"&amp;$Q21,'Draft SK'!$AE:$AF,2,FALSE)),VLOOKUP(Y$8&amp;"GTT"&amp;$Q21,'Draft SK'!$AE:$AF,2,FALSE)),VLOOKUP(Y$8&amp;"PTT"&amp;$Q21,'Draft SK'!$AE:$AF,2,FALSE)),"")</f>
        <v/>
      </c>
    </row>
    <row r="22" spans="1:28" ht="15.5" x14ac:dyDescent="0.35">
      <c r="A22" s="51" t="str">
        <f t="shared" si="8"/>
        <v/>
      </c>
      <c r="B22" s="52" t="str">
        <f>IFERROR(VLOOKUP($C$3&amp;$A22,'Data Induk Pegawai'!$A:$Z,B$6,FALSE),"")</f>
        <v/>
      </c>
      <c r="C22" s="53" t="str">
        <f>IFERROR(VLOOKUP($C$3&amp;$A22,'Data Induk Pegawai'!$A:$Z,C$6,FALSE),"")</f>
        <v/>
      </c>
      <c r="D22" s="54" t="str">
        <f>IFERROR(VLOOKUP($C$3&amp;$A22,'Data Induk Pegawai'!$A:$Z,D$6,FALSE),"")</f>
        <v/>
      </c>
      <c r="E22" s="53" t="str">
        <f>IFERROR(VLOOKUP($C$3&amp;$A22,'Data Induk Pegawai'!$A:$Z,E$6,FALSE),"")</f>
        <v/>
      </c>
      <c r="F22" s="91" t="str">
        <f>IFERROR(VLOOKUP($C$3&amp;$A22,'Data Induk Pegawai'!$A:$Z,F$6,FALSE),"")</f>
        <v/>
      </c>
      <c r="G22" s="54" t="str">
        <f>IFERROR(VLOOKUP($C$3&amp;$A22,'Data Induk Pegawai'!$A:$Z,G$6,FALSE),"")</f>
        <v/>
      </c>
      <c r="H22" s="54" t="str">
        <f>IFERROR(VLOOKUP($C$3&amp;$A22,'Data Induk Pegawai'!$A:$Z,H$6,FALSE),"")</f>
        <v/>
      </c>
      <c r="I22" s="54" t="str">
        <f>IFERROR(VLOOKUP($C$3&amp;$A22,'Data Induk Pegawai'!$A:$Z,I$6,FALSE),"")</f>
        <v/>
      </c>
      <c r="J22" s="53" t="str">
        <f>IFERROR(VLOOKUP($C$3&amp;$A22,'Data Induk Pegawai'!$A:$Z,J$6,FALSE),"")</f>
        <v/>
      </c>
      <c r="K22" s="54" t="str">
        <f>IF(B22="","",VLOOKUP($C$3&amp;$A22,'Data Induk Pegawai'!$A:$Z,K$6,FALSE))</f>
        <v/>
      </c>
      <c r="L22" s="54" t="str">
        <f>IF(B22="","",VLOOKUP($C$3&amp;$A22,'Data Induk Pegawai'!$A:$Z,L$6,FALSE))</f>
        <v/>
      </c>
      <c r="M22" s="54" t="str">
        <f>IFERROR(VLOOKUP("1GPTT"&amp;Q22,'Draft SK'!AB:AG,6,FALSE),"")</f>
        <v/>
      </c>
      <c r="N22" s="54" t="str">
        <f>IFERROR(VLOOKUP("1GPTT"&amp;Q22,'Draft SK'!AB:AG,5,FALSE),"")</f>
        <v/>
      </c>
      <c r="O22" s="54" t="str">
        <f t="shared" si="0"/>
        <v/>
      </c>
      <c r="P22" s="54" t="str">
        <f t="shared" si="1"/>
        <v/>
      </c>
      <c r="Q22" s="53" t="str">
        <f>IF(C22="","",VLOOKUP($C$3&amp;$A22,'Data Induk Pegawai'!$A:$Z,Q$6,FALSE))</f>
        <v/>
      </c>
      <c r="R22" s="51" t="str">
        <f t="shared" ca="1" si="2"/>
        <v/>
      </c>
      <c r="S22" s="51" t="str">
        <f t="shared" si="3"/>
        <v/>
      </c>
      <c r="T22" s="123" t="str">
        <f t="shared" si="4"/>
        <v/>
      </c>
      <c r="U22" s="123" t="str">
        <f t="shared" si="5"/>
        <v>-</v>
      </c>
      <c r="V22" s="123" t="str">
        <f>U22&amp;COUNTIFS(U$9:U22,U22)</f>
        <v>-8</v>
      </c>
      <c r="W22" s="123" t="str">
        <f t="shared" si="6"/>
        <v>-</v>
      </c>
      <c r="X22" s="123" t="str">
        <f t="shared" si="7"/>
        <v>-</v>
      </c>
      <c r="Y22" s="9" t="str">
        <f>IFERROR(IFERROR(IFERROR(IFERROR(VLOOKUP(Y$8&amp;"GTY"&amp;$Q22,'Draft SK'!$AE:$AF,2,FALSE),VLOOKUP(Y$8&amp;"PTY"&amp;$Q22,'Draft SK'!$AE:$AF,2,FALSE)),VLOOKUP(Y$8&amp;"GTT"&amp;$Q22,'Draft SK'!$AE:$AF,2,FALSE)),VLOOKUP(Y$8&amp;"PTT"&amp;$Q22,'Draft SK'!$AE:$AF,2,FALSE)),"")</f>
        <v/>
      </c>
    </row>
    <row r="23" spans="1:28" ht="15.5" x14ac:dyDescent="0.35">
      <c r="A23" s="51" t="str">
        <f t="shared" si="8"/>
        <v/>
      </c>
      <c r="B23" s="52" t="str">
        <f>IFERROR(VLOOKUP($C$3&amp;$A23,'Data Induk Pegawai'!$A:$Z,B$6,FALSE),"")</f>
        <v/>
      </c>
      <c r="C23" s="53" t="str">
        <f>IFERROR(VLOOKUP($C$3&amp;$A23,'Data Induk Pegawai'!$A:$Z,C$6,FALSE),"")</f>
        <v/>
      </c>
      <c r="D23" s="54" t="str">
        <f>IFERROR(VLOOKUP($C$3&amp;$A23,'Data Induk Pegawai'!$A:$Z,D$6,FALSE),"")</f>
        <v/>
      </c>
      <c r="E23" s="53" t="str">
        <f>IFERROR(VLOOKUP($C$3&amp;$A23,'Data Induk Pegawai'!$A:$Z,E$6,FALSE),"")</f>
        <v/>
      </c>
      <c r="F23" s="91" t="str">
        <f>IFERROR(VLOOKUP($C$3&amp;$A23,'Data Induk Pegawai'!$A:$Z,F$6,FALSE),"")</f>
        <v/>
      </c>
      <c r="G23" s="54" t="str">
        <f>IFERROR(VLOOKUP($C$3&amp;$A23,'Data Induk Pegawai'!$A:$Z,G$6,FALSE),"")</f>
        <v/>
      </c>
      <c r="H23" s="54" t="str">
        <f>IFERROR(VLOOKUP($C$3&amp;$A23,'Data Induk Pegawai'!$A:$Z,H$6,FALSE),"")</f>
        <v/>
      </c>
      <c r="I23" s="54" t="str">
        <f>IFERROR(VLOOKUP($C$3&amp;$A23,'Data Induk Pegawai'!$A:$Z,I$6,FALSE),"")</f>
        <v/>
      </c>
      <c r="J23" s="53" t="str">
        <f>IFERROR(VLOOKUP($C$3&amp;$A23,'Data Induk Pegawai'!$A:$Z,J$6,FALSE),"")</f>
        <v/>
      </c>
      <c r="K23" s="54" t="str">
        <f>IF(B23="","",VLOOKUP($C$3&amp;$A23,'Data Induk Pegawai'!$A:$Z,K$6,FALSE))</f>
        <v/>
      </c>
      <c r="L23" s="54" t="str">
        <f>IF(B23="","",VLOOKUP($C$3&amp;$A23,'Data Induk Pegawai'!$A:$Z,L$6,FALSE))</f>
        <v/>
      </c>
      <c r="M23" s="54" t="str">
        <f>IFERROR(VLOOKUP("1GPTT"&amp;Q23,'Draft SK'!AB:AG,6,FALSE),"")</f>
        <v/>
      </c>
      <c r="N23" s="54" t="str">
        <f>IFERROR(VLOOKUP("1GPTT"&amp;Q23,'Draft SK'!AB:AG,5,FALSE),"")</f>
        <v/>
      </c>
      <c r="O23" s="54" t="str">
        <f t="shared" si="0"/>
        <v/>
      </c>
      <c r="P23" s="54" t="str">
        <f t="shared" si="1"/>
        <v/>
      </c>
      <c r="Q23" s="53" t="str">
        <f>IF(C23="","",VLOOKUP($C$3&amp;$A23,'Data Induk Pegawai'!$A:$Z,Q$6,FALSE))</f>
        <v/>
      </c>
      <c r="R23" s="51" t="str">
        <f t="shared" ca="1" si="2"/>
        <v/>
      </c>
      <c r="S23" s="51" t="str">
        <f t="shared" si="3"/>
        <v/>
      </c>
      <c r="T23" s="123" t="str">
        <f t="shared" si="4"/>
        <v/>
      </c>
      <c r="U23" s="123" t="str">
        <f t="shared" si="5"/>
        <v>-</v>
      </c>
      <c r="V23" s="123" t="str">
        <f>U23&amp;COUNTIFS(U$9:U23,U23)</f>
        <v>-9</v>
      </c>
      <c r="W23" s="123" t="str">
        <f t="shared" si="6"/>
        <v>-</v>
      </c>
      <c r="X23" s="123" t="str">
        <f t="shared" si="7"/>
        <v>-</v>
      </c>
      <c r="Y23" s="9" t="str">
        <f>IFERROR(IFERROR(IFERROR(IFERROR(VLOOKUP(Y$8&amp;"GTY"&amp;$Q23,'Draft SK'!$AE:$AF,2,FALSE),VLOOKUP(Y$8&amp;"PTY"&amp;$Q23,'Draft SK'!$AE:$AF,2,FALSE)),VLOOKUP(Y$8&amp;"GTT"&amp;$Q23,'Draft SK'!$AE:$AF,2,FALSE)),VLOOKUP(Y$8&amp;"PTT"&amp;$Q23,'Draft SK'!$AE:$AF,2,FALSE)),"")</f>
        <v/>
      </c>
    </row>
    <row r="24" spans="1:28" ht="15.5" x14ac:dyDescent="0.35">
      <c r="A24" s="51" t="str">
        <f t="shared" si="8"/>
        <v/>
      </c>
      <c r="B24" s="52" t="str">
        <f>IFERROR(VLOOKUP($C$3&amp;$A24,'Data Induk Pegawai'!$A:$Z,B$6,FALSE),"")</f>
        <v/>
      </c>
      <c r="C24" s="53" t="str">
        <f>IFERROR(VLOOKUP($C$3&amp;$A24,'Data Induk Pegawai'!$A:$Z,C$6,FALSE),"")</f>
        <v/>
      </c>
      <c r="D24" s="54" t="str">
        <f>IFERROR(VLOOKUP($C$3&amp;$A24,'Data Induk Pegawai'!$A:$Z,D$6,FALSE),"")</f>
        <v/>
      </c>
      <c r="E24" s="53" t="str">
        <f>IFERROR(VLOOKUP($C$3&amp;$A24,'Data Induk Pegawai'!$A:$Z,E$6,FALSE),"")</f>
        <v/>
      </c>
      <c r="F24" s="91" t="str">
        <f>IFERROR(VLOOKUP($C$3&amp;$A24,'Data Induk Pegawai'!$A:$Z,F$6,FALSE),"")</f>
        <v/>
      </c>
      <c r="G24" s="54" t="str">
        <f>IFERROR(VLOOKUP($C$3&amp;$A24,'Data Induk Pegawai'!$A:$Z,G$6,FALSE),"")</f>
        <v/>
      </c>
      <c r="H24" s="54" t="str">
        <f>IFERROR(VLOOKUP($C$3&amp;$A24,'Data Induk Pegawai'!$A:$Z,H$6,FALSE),"")</f>
        <v/>
      </c>
      <c r="I24" s="54" t="str">
        <f>IFERROR(VLOOKUP($C$3&amp;$A24,'Data Induk Pegawai'!$A:$Z,I$6,FALSE),"")</f>
        <v/>
      </c>
      <c r="J24" s="53" t="str">
        <f>IFERROR(VLOOKUP($C$3&amp;$A24,'Data Induk Pegawai'!$A:$Z,J$6,FALSE),"")</f>
        <v/>
      </c>
      <c r="K24" s="54" t="str">
        <f>IF(B24="","",VLOOKUP($C$3&amp;$A24,'Data Induk Pegawai'!$A:$Z,K$6,FALSE))</f>
        <v/>
      </c>
      <c r="L24" s="54" t="str">
        <f>IF(B24="","",VLOOKUP($C$3&amp;$A24,'Data Induk Pegawai'!$A:$Z,L$6,FALSE))</f>
        <v/>
      </c>
      <c r="M24" s="54" t="str">
        <f>IFERROR(VLOOKUP("1GPTT"&amp;Q24,'Draft SK'!AB:AG,6,FALSE),"")</f>
        <v/>
      </c>
      <c r="N24" s="54" t="str">
        <f>IFERROR(VLOOKUP("1GPTT"&amp;Q24,'Draft SK'!AB:AG,5,FALSE),"")</f>
        <v/>
      </c>
      <c r="O24" s="54" t="str">
        <f t="shared" si="0"/>
        <v/>
      </c>
      <c r="P24" s="54" t="str">
        <f t="shared" si="1"/>
        <v/>
      </c>
      <c r="Q24" s="53" t="str">
        <f>IF(C24="","",VLOOKUP($C$3&amp;$A24,'Data Induk Pegawai'!$A:$Z,Q$6,FALSE))</f>
        <v/>
      </c>
      <c r="R24" s="51" t="str">
        <f t="shared" ca="1" si="2"/>
        <v/>
      </c>
      <c r="S24" s="51" t="str">
        <f t="shared" si="3"/>
        <v/>
      </c>
      <c r="T24" s="123" t="str">
        <f t="shared" si="4"/>
        <v/>
      </c>
      <c r="U24" s="123" t="str">
        <f t="shared" si="5"/>
        <v>-</v>
      </c>
      <c r="V24" s="123" t="str">
        <f>U24&amp;COUNTIFS(U$9:U24,U24)</f>
        <v>-10</v>
      </c>
      <c r="W24" s="123" t="str">
        <f t="shared" si="6"/>
        <v>-</v>
      </c>
      <c r="X24" s="123" t="str">
        <f t="shared" si="7"/>
        <v>-</v>
      </c>
      <c r="Y24" s="9" t="str">
        <f>IFERROR(IFERROR(IFERROR(IFERROR(VLOOKUP(Y$8&amp;"GTY"&amp;$Q24,'Draft SK'!$AE:$AF,2,FALSE),VLOOKUP(Y$8&amp;"PTY"&amp;$Q24,'Draft SK'!$AE:$AF,2,FALSE)),VLOOKUP(Y$8&amp;"GTT"&amp;$Q24,'Draft SK'!$AE:$AF,2,FALSE)),VLOOKUP(Y$8&amp;"PTT"&amp;$Q24,'Draft SK'!$AE:$AF,2,FALSE)),"")</f>
        <v/>
      </c>
    </row>
    <row r="25" spans="1:28" ht="15.5" x14ac:dyDescent="0.35">
      <c r="A25" s="51" t="str">
        <f t="shared" si="8"/>
        <v/>
      </c>
      <c r="B25" s="52" t="str">
        <f>IFERROR(VLOOKUP($C$3&amp;$A25,'Data Induk Pegawai'!$A:$Z,B$6,FALSE),"")</f>
        <v/>
      </c>
      <c r="C25" s="53" t="str">
        <f>IFERROR(VLOOKUP($C$3&amp;$A25,'Data Induk Pegawai'!$A:$Z,C$6,FALSE),"")</f>
        <v/>
      </c>
      <c r="D25" s="54" t="str">
        <f>IFERROR(VLOOKUP($C$3&amp;$A25,'Data Induk Pegawai'!$A:$Z,D$6,FALSE),"")</f>
        <v/>
      </c>
      <c r="E25" s="53" t="str">
        <f>IFERROR(VLOOKUP($C$3&amp;$A25,'Data Induk Pegawai'!$A:$Z,E$6,FALSE),"")</f>
        <v/>
      </c>
      <c r="F25" s="91" t="str">
        <f>IFERROR(VLOOKUP($C$3&amp;$A25,'Data Induk Pegawai'!$A:$Z,F$6,FALSE),"")</f>
        <v/>
      </c>
      <c r="G25" s="54" t="str">
        <f>IFERROR(VLOOKUP($C$3&amp;$A25,'Data Induk Pegawai'!$A:$Z,G$6,FALSE),"")</f>
        <v/>
      </c>
      <c r="H25" s="54" t="str">
        <f>IFERROR(VLOOKUP($C$3&amp;$A25,'Data Induk Pegawai'!$A:$Z,H$6,FALSE),"")</f>
        <v/>
      </c>
      <c r="I25" s="54" t="str">
        <f>IFERROR(VLOOKUP($C$3&amp;$A25,'Data Induk Pegawai'!$A:$Z,I$6,FALSE),"")</f>
        <v/>
      </c>
      <c r="J25" s="53" t="str">
        <f>IFERROR(VLOOKUP($C$3&amp;$A25,'Data Induk Pegawai'!$A:$Z,J$6,FALSE),"")</f>
        <v/>
      </c>
      <c r="K25" s="54" t="str">
        <f>IF(B25="","",VLOOKUP($C$3&amp;$A25,'Data Induk Pegawai'!$A:$Z,K$6,FALSE))</f>
        <v/>
      </c>
      <c r="L25" s="54" t="str">
        <f>IF(B25="","",VLOOKUP($C$3&amp;$A25,'Data Induk Pegawai'!$A:$Z,L$6,FALSE))</f>
        <v/>
      </c>
      <c r="M25" s="54" t="str">
        <f>IFERROR(VLOOKUP("1GPTT"&amp;Q25,'Draft SK'!AB:AG,6,FALSE),"")</f>
        <v/>
      </c>
      <c r="N25" s="54" t="str">
        <f>IFERROR(VLOOKUP("1GPTT"&amp;Q25,'Draft SK'!AB:AG,5,FALSE),"")</f>
        <v/>
      </c>
      <c r="O25" s="54" t="str">
        <f t="shared" si="0"/>
        <v/>
      </c>
      <c r="P25" s="54" t="str">
        <f t="shared" si="1"/>
        <v/>
      </c>
      <c r="Q25" s="53" t="str">
        <f>IF(C25="","",VLOOKUP($C$3&amp;$A25,'Data Induk Pegawai'!$A:$Z,Q$6,FALSE))</f>
        <v/>
      </c>
      <c r="R25" s="51" t="str">
        <f t="shared" ca="1" si="2"/>
        <v/>
      </c>
      <c r="S25" s="51" t="str">
        <f t="shared" si="3"/>
        <v/>
      </c>
      <c r="T25" s="123" t="str">
        <f t="shared" si="4"/>
        <v/>
      </c>
      <c r="U25" s="123" t="str">
        <f t="shared" si="5"/>
        <v>-</v>
      </c>
      <c r="V25" s="123" t="str">
        <f>U25&amp;COUNTIFS(U$9:U25,U25)</f>
        <v>-11</v>
      </c>
      <c r="W25" s="123" t="str">
        <f t="shared" si="6"/>
        <v>-</v>
      </c>
      <c r="X25" s="123" t="str">
        <f t="shared" si="7"/>
        <v>-</v>
      </c>
      <c r="Y25" s="9" t="str">
        <f>IFERROR(IFERROR(IFERROR(IFERROR(VLOOKUP(Y$8&amp;"GTY"&amp;$Q25,'Draft SK'!$AE:$AF,2,FALSE),VLOOKUP(Y$8&amp;"PTY"&amp;$Q25,'Draft SK'!$AE:$AF,2,FALSE)),VLOOKUP(Y$8&amp;"GTT"&amp;$Q25,'Draft SK'!$AE:$AF,2,FALSE)),VLOOKUP(Y$8&amp;"PTT"&amp;$Q25,'Draft SK'!$AE:$AF,2,FALSE)),"")</f>
        <v/>
      </c>
    </row>
    <row r="26" spans="1:28" ht="15.5" x14ac:dyDescent="0.35">
      <c r="A26" s="51" t="str">
        <f t="shared" si="8"/>
        <v/>
      </c>
      <c r="B26" s="52" t="str">
        <f>IFERROR(VLOOKUP($C$3&amp;$A26,'Data Induk Pegawai'!$A:$Z,B$6,FALSE),"")</f>
        <v/>
      </c>
      <c r="C26" s="53" t="str">
        <f>IFERROR(VLOOKUP($C$3&amp;$A26,'Data Induk Pegawai'!$A:$Z,C$6,FALSE),"")</f>
        <v/>
      </c>
      <c r="D26" s="54" t="str">
        <f>IFERROR(VLOOKUP($C$3&amp;$A26,'Data Induk Pegawai'!$A:$Z,D$6,FALSE),"")</f>
        <v/>
      </c>
      <c r="E26" s="53" t="str">
        <f>IFERROR(VLOOKUP($C$3&amp;$A26,'Data Induk Pegawai'!$A:$Z,E$6,FALSE),"")</f>
        <v/>
      </c>
      <c r="F26" s="91" t="str">
        <f>IFERROR(VLOOKUP($C$3&amp;$A26,'Data Induk Pegawai'!$A:$Z,F$6,FALSE),"")</f>
        <v/>
      </c>
      <c r="G26" s="54" t="str">
        <f>IFERROR(VLOOKUP($C$3&amp;$A26,'Data Induk Pegawai'!$A:$Z,G$6,FALSE),"")</f>
        <v/>
      </c>
      <c r="H26" s="54" t="str">
        <f>IFERROR(VLOOKUP($C$3&amp;$A26,'Data Induk Pegawai'!$A:$Z,H$6,FALSE),"")</f>
        <v/>
      </c>
      <c r="I26" s="54" t="str">
        <f>IFERROR(VLOOKUP($C$3&amp;$A26,'Data Induk Pegawai'!$A:$Z,I$6,FALSE),"")</f>
        <v/>
      </c>
      <c r="J26" s="53" t="str">
        <f>IFERROR(VLOOKUP($C$3&amp;$A26,'Data Induk Pegawai'!$A:$Z,J$6,FALSE),"")</f>
        <v/>
      </c>
      <c r="K26" s="54" t="str">
        <f>IF(B26="","",VLOOKUP($C$3&amp;$A26,'Data Induk Pegawai'!$A:$Z,K$6,FALSE))</f>
        <v/>
      </c>
      <c r="L26" s="54" t="str">
        <f>IF(B26="","",VLOOKUP($C$3&amp;$A26,'Data Induk Pegawai'!$A:$Z,L$6,FALSE))</f>
        <v/>
      </c>
      <c r="M26" s="54" t="str">
        <f>IFERROR(VLOOKUP("1GPTT"&amp;Q26,'Draft SK'!AB:AG,6,FALSE),"")</f>
        <v/>
      </c>
      <c r="N26" s="54" t="str">
        <f>IFERROR(VLOOKUP("1GPTT"&amp;Q26,'Draft SK'!AB:AG,5,FALSE),"")</f>
        <v/>
      </c>
      <c r="O26" s="54" t="str">
        <f t="shared" si="0"/>
        <v/>
      </c>
      <c r="P26" s="54" t="str">
        <f t="shared" si="1"/>
        <v/>
      </c>
      <c r="Q26" s="53" t="str">
        <f>IF(C26="","",VLOOKUP($C$3&amp;$A26,'Data Induk Pegawai'!$A:$Z,Q$6,FALSE))</f>
        <v/>
      </c>
      <c r="R26" s="51" t="str">
        <f t="shared" ca="1" si="2"/>
        <v/>
      </c>
      <c r="S26" s="51" t="str">
        <f t="shared" si="3"/>
        <v/>
      </c>
      <c r="T26" s="123" t="str">
        <f t="shared" si="4"/>
        <v/>
      </c>
      <c r="U26" s="123" t="str">
        <f t="shared" si="5"/>
        <v>-</v>
      </c>
      <c r="V26" s="123" t="str">
        <f>U26&amp;COUNTIFS(U$9:U26,U26)</f>
        <v>-12</v>
      </c>
      <c r="W26" s="123" t="str">
        <f t="shared" si="6"/>
        <v>-</v>
      </c>
      <c r="X26" s="123" t="str">
        <f t="shared" si="7"/>
        <v>-</v>
      </c>
      <c r="Y26" s="9" t="str">
        <f>IFERROR(IFERROR(IFERROR(IFERROR(VLOOKUP(Y$8&amp;"GTY"&amp;$Q26,'Draft SK'!$AE:$AF,2,FALSE),VLOOKUP(Y$8&amp;"PTY"&amp;$Q26,'Draft SK'!$AE:$AF,2,FALSE)),VLOOKUP(Y$8&amp;"GTT"&amp;$Q26,'Draft SK'!$AE:$AF,2,FALSE)),VLOOKUP(Y$8&amp;"PTT"&amp;$Q26,'Draft SK'!$AE:$AF,2,FALSE)),"")</f>
        <v/>
      </c>
    </row>
    <row r="27" spans="1:28" ht="15.5" x14ac:dyDescent="0.35">
      <c r="A27" s="51" t="str">
        <f t="shared" si="8"/>
        <v/>
      </c>
      <c r="B27" s="52" t="str">
        <f>IFERROR(VLOOKUP($C$3&amp;$A27,'Data Induk Pegawai'!$A:$Z,B$6,FALSE),"")</f>
        <v/>
      </c>
      <c r="C27" s="53" t="str">
        <f>IFERROR(VLOOKUP($C$3&amp;$A27,'Data Induk Pegawai'!$A:$Z,C$6,FALSE),"")</f>
        <v/>
      </c>
      <c r="D27" s="54" t="str">
        <f>IFERROR(VLOOKUP($C$3&amp;$A27,'Data Induk Pegawai'!$A:$Z,D$6,FALSE),"")</f>
        <v/>
      </c>
      <c r="E27" s="53" t="str">
        <f>IFERROR(VLOOKUP($C$3&amp;$A27,'Data Induk Pegawai'!$A:$Z,E$6,FALSE),"")</f>
        <v/>
      </c>
      <c r="F27" s="91" t="str">
        <f>IFERROR(VLOOKUP($C$3&amp;$A27,'Data Induk Pegawai'!$A:$Z,F$6,FALSE),"")</f>
        <v/>
      </c>
      <c r="G27" s="54" t="str">
        <f>IFERROR(VLOOKUP($C$3&amp;$A27,'Data Induk Pegawai'!$A:$Z,G$6,FALSE),"")</f>
        <v/>
      </c>
      <c r="H27" s="54" t="str">
        <f>IFERROR(VLOOKUP($C$3&amp;$A27,'Data Induk Pegawai'!$A:$Z,H$6,FALSE),"")</f>
        <v/>
      </c>
      <c r="I27" s="54" t="str">
        <f>IFERROR(VLOOKUP($C$3&amp;$A27,'Data Induk Pegawai'!$A:$Z,I$6,FALSE),"")</f>
        <v/>
      </c>
      <c r="J27" s="53" t="str">
        <f>IFERROR(VLOOKUP($C$3&amp;$A27,'Data Induk Pegawai'!$A:$Z,J$6,FALSE),"")</f>
        <v/>
      </c>
      <c r="K27" s="54" t="str">
        <f>IF(B27="","",VLOOKUP($C$3&amp;$A27,'Data Induk Pegawai'!$A:$Z,K$6,FALSE))</f>
        <v/>
      </c>
      <c r="L27" s="54" t="str">
        <f>IF(B27="","",VLOOKUP($C$3&amp;$A27,'Data Induk Pegawai'!$A:$Z,L$6,FALSE))</f>
        <v/>
      </c>
      <c r="M27" s="54" t="str">
        <f>IFERROR(VLOOKUP("1GPTT"&amp;Q27,'Draft SK'!AB:AG,6,FALSE),"")</f>
        <v/>
      </c>
      <c r="N27" s="54" t="str">
        <f>IFERROR(VLOOKUP("1GPTT"&amp;Q27,'Draft SK'!AB:AG,5,FALSE),"")</f>
        <v/>
      </c>
      <c r="O27" s="54" t="str">
        <f t="shared" si="0"/>
        <v/>
      </c>
      <c r="P27" s="54" t="str">
        <f t="shared" si="1"/>
        <v/>
      </c>
      <c r="Q27" s="53" t="str">
        <f>IF(C27="","",VLOOKUP($C$3&amp;$A27,'Data Induk Pegawai'!$A:$Z,Q$6,FALSE))</f>
        <v/>
      </c>
      <c r="R27" s="51" t="str">
        <f t="shared" ca="1" si="2"/>
        <v/>
      </c>
      <c r="S27" s="51" t="str">
        <f t="shared" si="3"/>
        <v/>
      </c>
      <c r="T27" s="123" t="str">
        <f t="shared" si="4"/>
        <v/>
      </c>
      <c r="U27" s="123" t="str">
        <f t="shared" si="5"/>
        <v>-</v>
      </c>
      <c r="V27" s="123" t="str">
        <f>U27&amp;COUNTIFS(U$9:U27,U27)</f>
        <v>-13</v>
      </c>
      <c r="W27" s="123" t="str">
        <f t="shared" si="6"/>
        <v>-</v>
      </c>
      <c r="X27" s="123" t="str">
        <f t="shared" si="7"/>
        <v>-</v>
      </c>
      <c r="Y27" s="9" t="str">
        <f>IFERROR(IFERROR(IFERROR(IFERROR(VLOOKUP(Y$8&amp;"GTY"&amp;$Q27,'Draft SK'!$AE:$AF,2,FALSE),VLOOKUP(Y$8&amp;"PTY"&amp;$Q27,'Draft SK'!$AE:$AF,2,FALSE)),VLOOKUP(Y$8&amp;"GTT"&amp;$Q27,'Draft SK'!$AE:$AF,2,FALSE)),VLOOKUP(Y$8&amp;"PTT"&amp;$Q27,'Draft SK'!$AE:$AF,2,FALSE)),"")</f>
        <v/>
      </c>
    </row>
    <row r="28" spans="1:28" ht="15.5" x14ac:dyDescent="0.35">
      <c r="A28" s="51" t="str">
        <f t="shared" si="8"/>
        <v/>
      </c>
      <c r="B28" s="52" t="str">
        <f>IFERROR(VLOOKUP($C$3&amp;$A28,'Data Induk Pegawai'!$A:$Z,B$6,FALSE),"")</f>
        <v/>
      </c>
      <c r="C28" s="53" t="str">
        <f>IFERROR(VLOOKUP($C$3&amp;$A28,'Data Induk Pegawai'!$A:$Z,C$6,FALSE),"")</f>
        <v/>
      </c>
      <c r="D28" s="54" t="str">
        <f>IFERROR(VLOOKUP($C$3&amp;$A28,'Data Induk Pegawai'!$A:$Z,D$6,FALSE),"")</f>
        <v/>
      </c>
      <c r="E28" s="53" t="str">
        <f>IFERROR(VLOOKUP($C$3&amp;$A28,'Data Induk Pegawai'!$A:$Z,E$6,FALSE),"")</f>
        <v/>
      </c>
      <c r="F28" s="91" t="str">
        <f>IFERROR(VLOOKUP($C$3&amp;$A28,'Data Induk Pegawai'!$A:$Z,F$6,FALSE),"")</f>
        <v/>
      </c>
      <c r="G28" s="54" t="str">
        <f>IFERROR(VLOOKUP($C$3&amp;$A28,'Data Induk Pegawai'!$A:$Z,G$6,FALSE),"")</f>
        <v/>
      </c>
      <c r="H28" s="54" t="str">
        <f>IFERROR(VLOOKUP($C$3&amp;$A28,'Data Induk Pegawai'!$A:$Z,H$6,FALSE),"")</f>
        <v/>
      </c>
      <c r="I28" s="54" t="str">
        <f>IFERROR(VLOOKUP($C$3&amp;$A28,'Data Induk Pegawai'!$A:$Z,I$6,FALSE),"")</f>
        <v/>
      </c>
      <c r="J28" s="53" t="str">
        <f>IFERROR(VLOOKUP($C$3&amp;$A28,'Data Induk Pegawai'!$A:$Z,J$6,FALSE),"")</f>
        <v/>
      </c>
      <c r="K28" s="54" t="str">
        <f>IF(B28="","",VLOOKUP($C$3&amp;$A28,'Data Induk Pegawai'!$A:$Z,K$6,FALSE))</f>
        <v/>
      </c>
      <c r="L28" s="54" t="str">
        <f>IF(B28="","",VLOOKUP($C$3&amp;$A28,'Data Induk Pegawai'!$A:$Z,L$6,FALSE))</f>
        <v/>
      </c>
      <c r="M28" s="54" t="str">
        <f>IFERROR(VLOOKUP("1GPTT"&amp;Q28,'Draft SK'!AB:AG,6,FALSE),"")</f>
        <v/>
      </c>
      <c r="N28" s="54" t="str">
        <f>IFERROR(VLOOKUP("1GPTT"&amp;Q28,'Draft SK'!AB:AG,5,FALSE),"")</f>
        <v/>
      </c>
      <c r="O28" s="54" t="str">
        <f t="shared" si="0"/>
        <v/>
      </c>
      <c r="P28" s="54" t="str">
        <f t="shared" si="1"/>
        <v/>
      </c>
      <c r="Q28" s="53" t="str">
        <f>IF(C28="","",VLOOKUP($C$3&amp;$A28,'Data Induk Pegawai'!$A:$Z,Q$6,FALSE))</f>
        <v/>
      </c>
      <c r="R28" s="51" t="str">
        <f t="shared" ca="1" si="2"/>
        <v/>
      </c>
      <c r="S28" s="51" t="str">
        <f t="shared" si="3"/>
        <v/>
      </c>
      <c r="T28" s="123" t="str">
        <f t="shared" si="4"/>
        <v/>
      </c>
      <c r="U28" s="123" t="str">
        <f t="shared" si="5"/>
        <v>-</v>
      </c>
      <c r="V28" s="123" t="str">
        <f>U28&amp;COUNTIFS(U$9:U28,U28)</f>
        <v>-14</v>
      </c>
      <c r="W28" s="123" t="str">
        <f t="shared" si="6"/>
        <v>-</v>
      </c>
      <c r="X28" s="123" t="str">
        <f t="shared" si="7"/>
        <v>-</v>
      </c>
      <c r="Y28" s="9" t="str">
        <f>IFERROR(IFERROR(IFERROR(IFERROR(VLOOKUP(Y$8&amp;"GTY"&amp;$Q28,'Draft SK'!$AE:$AF,2,FALSE),VLOOKUP(Y$8&amp;"PTY"&amp;$Q28,'Draft SK'!$AE:$AF,2,FALSE)),VLOOKUP(Y$8&amp;"GTT"&amp;$Q28,'Draft SK'!$AE:$AF,2,FALSE)),VLOOKUP(Y$8&amp;"PTT"&amp;$Q28,'Draft SK'!$AE:$AF,2,FALSE)),"")</f>
        <v/>
      </c>
    </row>
    <row r="29" spans="1:28" ht="15.5" x14ac:dyDescent="0.35">
      <c r="A29" s="51" t="str">
        <f t="shared" si="8"/>
        <v/>
      </c>
      <c r="B29" s="52" t="str">
        <f>IFERROR(VLOOKUP($C$3&amp;$A29,'Data Induk Pegawai'!$A:$Z,B$6,FALSE),"")</f>
        <v/>
      </c>
      <c r="C29" s="53" t="str">
        <f>IFERROR(VLOOKUP($C$3&amp;$A29,'Data Induk Pegawai'!$A:$Z,C$6,FALSE),"")</f>
        <v/>
      </c>
      <c r="D29" s="54" t="str">
        <f>IFERROR(VLOOKUP($C$3&amp;$A29,'Data Induk Pegawai'!$A:$Z,D$6,FALSE),"")</f>
        <v/>
      </c>
      <c r="E29" s="53" t="str">
        <f>IFERROR(VLOOKUP($C$3&amp;$A29,'Data Induk Pegawai'!$A:$Z,E$6,FALSE),"")</f>
        <v/>
      </c>
      <c r="F29" s="91" t="str">
        <f>IFERROR(VLOOKUP($C$3&amp;$A29,'Data Induk Pegawai'!$A:$Z,F$6,FALSE),"")</f>
        <v/>
      </c>
      <c r="G29" s="54" t="str">
        <f>IFERROR(VLOOKUP($C$3&amp;$A29,'Data Induk Pegawai'!$A:$Z,G$6,FALSE),"")</f>
        <v/>
      </c>
      <c r="H29" s="54" t="str">
        <f>IFERROR(VLOOKUP($C$3&amp;$A29,'Data Induk Pegawai'!$A:$Z,H$6,FALSE),"")</f>
        <v/>
      </c>
      <c r="I29" s="54" t="str">
        <f>IFERROR(VLOOKUP($C$3&amp;$A29,'Data Induk Pegawai'!$A:$Z,I$6,FALSE),"")</f>
        <v/>
      </c>
      <c r="J29" s="53" t="str">
        <f>IFERROR(VLOOKUP($C$3&amp;$A29,'Data Induk Pegawai'!$A:$Z,J$6,FALSE),"")</f>
        <v/>
      </c>
      <c r="K29" s="54" t="str">
        <f>IF(B29="","",VLOOKUP($C$3&amp;$A29,'Data Induk Pegawai'!$A:$Z,K$6,FALSE))</f>
        <v/>
      </c>
      <c r="L29" s="54" t="str">
        <f>IF(B29="","",VLOOKUP($C$3&amp;$A29,'Data Induk Pegawai'!$A:$Z,L$6,FALSE))</f>
        <v/>
      </c>
      <c r="M29" s="54" t="str">
        <f>IFERROR(VLOOKUP("1GPTT"&amp;Q29,'Draft SK'!AB:AG,6,FALSE),"")</f>
        <v/>
      </c>
      <c r="N29" s="54" t="str">
        <f>IFERROR(VLOOKUP("1GPTT"&amp;Q29,'Draft SK'!AB:AG,5,FALSE),"")</f>
        <v/>
      </c>
      <c r="O29" s="54" t="str">
        <f t="shared" si="0"/>
        <v/>
      </c>
      <c r="P29" s="54" t="str">
        <f t="shared" si="1"/>
        <v/>
      </c>
      <c r="Q29" s="53" t="str">
        <f>IF(C29="","",VLOOKUP($C$3&amp;$A29,'Data Induk Pegawai'!$A:$Z,Q$6,FALSE))</f>
        <v/>
      </c>
      <c r="R29" s="51" t="str">
        <f t="shared" ca="1" si="2"/>
        <v/>
      </c>
      <c r="S29" s="51" t="str">
        <f t="shared" si="3"/>
        <v/>
      </c>
      <c r="T29" s="123" t="str">
        <f t="shared" si="4"/>
        <v/>
      </c>
      <c r="U29" s="123" t="str">
        <f t="shared" si="5"/>
        <v>-</v>
      </c>
      <c r="V29" s="123" t="str">
        <f>U29&amp;COUNTIFS(U$9:U29,U29)</f>
        <v>-15</v>
      </c>
      <c r="W29" s="123" t="str">
        <f t="shared" si="6"/>
        <v>-</v>
      </c>
      <c r="X29" s="123" t="str">
        <f t="shared" si="7"/>
        <v>-</v>
      </c>
      <c r="Y29" s="9" t="str">
        <f>IFERROR(IFERROR(IFERROR(IFERROR(VLOOKUP(Y$8&amp;"GTY"&amp;$Q29,'Draft SK'!$AE:$AF,2,FALSE),VLOOKUP(Y$8&amp;"PTY"&amp;$Q29,'Draft SK'!$AE:$AF,2,FALSE)),VLOOKUP(Y$8&amp;"GTT"&amp;$Q29,'Draft SK'!$AE:$AF,2,FALSE)),VLOOKUP(Y$8&amp;"PTT"&amp;$Q29,'Draft SK'!$AE:$AF,2,FALSE)),"")</f>
        <v/>
      </c>
    </row>
    <row r="30" spans="1:28" ht="15.5" x14ac:dyDescent="0.35">
      <c r="A30" s="51" t="str">
        <f t="shared" si="8"/>
        <v/>
      </c>
      <c r="B30" s="52" t="str">
        <f>IFERROR(VLOOKUP($C$3&amp;$A30,'Data Induk Pegawai'!$A:$Z,B$6,FALSE),"")</f>
        <v/>
      </c>
      <c r="C30" s="53" t="str">
        <f>IFERROR(VLOOKUP($C$3&amp;$A30,'Data Induk Pegawai'!$A:$Z,C$6,FALSE),"")</f>
        <v/>
      </c>
      <c r="D30" s="54" t="str">
        <f>IFERROR(VLOOKUP($C$3&amp;$A30,'Data Induk Pegawai'!$A:$Z,D$6,FALSE),"")</f>
        <v/>
      </c>
      <c r="E30" s="53" t="str">
        <f>IFERROR(VLOOKUP($C$3&amp;$A30,'Data Induk Pegawai'!$A:$Z,E$6,FALSE),"")</f>
        <v/>
      </c>
      <c r="F30" s="91" t="str">
        <f>IFERROR(VLOOKUP($C$3&amp;$A30,'Data Induk Pegawai'!$A:$Z,F$6,FALSE),"")</f>
        <v/>
      </c>
      <c r="G30" s="54" t="str">
        <f>IFERROR(VLOOKUP($C$3&amp;$A30,'Data Induk Pegawai'!$A:$Z,G$6,FALSE),"")</f>
        <v/>
      </c>
      <c r="H30" s="54" t="str">
        <f>IFERROR(VLOOKUP($C$3&amp;$A30,'Data Induk Pegawai'!$A:$Z,H$6,FALSE),"")</f>
        <v/>
      </c>
      <c r="I30" s="54" t="str">
        <f>IFERROR(VLOOKUP($C$3&amp;$A30,'Data Induk Pegawai'!$A:$Z,I$6,FALSE),"")</f>
        <v/>
      </c>
      <c r="J30" s="53" t="str">
        <f>IFERROR(VLOOKUP($C$3&amp;$A30,'Data Induk Pegawai'!$A:$Z,J$6,FALSE),"")</f>
        <v/>
      </c>
      <c r="K30" s="54" t="str">
        <f>IF(B30="","",VLOOKUP($C$3&amp;$A30,'Data Induk Pegawai'!$A:$Z,K$6,FALSE))</f>
        <v/>
      </c>
      <c r="L30" s="54" t="str">
        <f>IF(B30="","",VLOOKUP($C$3&amp;$A30,'Data Induk Pegawai'!$A:$Z,L$6,FALSE))</f>
        <v/>
      </c>
      <c r="M30" s="54" t="str">
        <f>IFERROR(VLOOKUP("1GPTT"&amp;Q30,'Draft SK'!AB:AG,6,FALSE),"")</f>
        <v/>
      </c>
      <c r="N30" s="54" t="str">
        <f>IFERROR(VLOOKUP("1GPTT"&amp;Q30,'Draft SK'!AB:AG,5,FALSE),"")</f>
        <v/>
      </c>
      <c r="O30" s="54" t="str">
        <f t="shared" si="0"/>
        <v/>
      </c>
      <c r="P30" s="54" t="str">
        <f t="shared" si="1"/>
        <v/>
      </c>
      <c r="Q30" s="53" t="str">
        <f>IF(C30="","",VLOOKUP($C$3&amp;$A30,'Data Induk Pegawai'!$A:$Z,Q$6,FALSE))</f>
        <v/>
      </c>
      <c r="R30" s="51" t="str">
        <f t="shared" ca="1" si="2"/>
        <v/>
      </c>
      <c r="S30" s="51" t="str">
        <f t="shared" si="3"/>
        <v/>
      </c>
      <c r="T30" s="123" t="str">
        <f t="shared" si="4"/>
        <v/>
      </c>
      <c r="U30" s="123" t="str">
        <f t="shared" si="5"/>
        <v>-</v>
      </c>
      <c r="V30" s="123" t="str">
        <f>U30&amp;COUNTIFS(U$9:U30,U30)</f>
        <v>-16</v>
      </c>
      <c r="W30" s="123" t="str">
        <f t="shared" si="6"/>
        <v>-</v>
      </c>
      <c r="X30" s="123" t="str">
        <f t="shared" si="7"/>
        <v>-</v>
      </c>
      <c r="Y30" s="9" t="str">
        <f>IFERROR(IFERROR(IFERROR(IFERROR(VLOOKUP(Y$8&amp;"GTY"&amp;$Q30,'Draft SK'!$AE:$AF,2,FALSE),VLOOKUP(Y$8&amp;"PTY"&amp;$Q30,'Draft SK'!$AE:$AF,2,FALSE)),VLOOKUP(Y$8&amp;"GTT"&amp;$Q30,'Draft SK'!$AE:$AF,2,FALSE)),VLOOKUP(Y$8&amp;"PTT"&amp;$Q30,'Draft SK'!$AE:$AF,2,FALSE)),"")</f>
        <v/>
      </c>
    </row>
    <row r="31" spans="1:28" ht="15.5" x14ac:dyDescent="0.35">
      <c r="A31" s="51" t="str">
        <f t="shared" si="8"/>
        <v/>
      </c>
      <c r="B31" s="52" t="str">
        <f>IFERROR(VLOOKUP($C$3&amp;$A31,'Data Induk Pegawai'!$A:$Z,B$6,FALSE),"")</f>
        <v/>
      </c>
      <c r="C31" s="53" t="str">
        <f>IFERROR(VLOOKUP($C$3&amp;$A31,'Data Induk Pegawai'!$A:$Z,C$6,FALSE),"")</f>
        <v/>
      </c>
      <c r="D31" s="54" t="str">
        <f>IFERROR(VLOOKUP($C$3&amp;$A31,'Data Induk Pegawai'!$A:$Z,D$6,FALSE),"")</f>
        <v/>
      </c>
      <c r="E31" s="53" t="str">
        <f>IFERROR(VLOOKUP($C$3&amp;$A31,'Data Induk Pegawai'!$A:$Z,E$6,FALSE),"")</f>
        <v/>
      </c>
      <c r="F31" s="91" t="str">
        <f>IFERROR(VLOOKUP($C$3&amp;$A31,'Data Induk Pegawai'!$A:$Z,F$6,FALSE),"")</f>
        <v/>
      </c>
      <c r="G31" s="54" t="str">
        <f>IFERROR(VLOOKUP($C$3&amp;$A31,'Data Induk Pegawai'!$A:$Z,G$6,FALSE),"")</f>
        <v/>
      </c>
      <c r="H31" s="54" t="str">
        <f>IFERROR(VLOOKUP($C$3&amp;$A31,'Data Induk Pegawai'!$A:$Z,H$6,FALSE),"")</f>
        <v/>
      </c>
      <c r="I31" s="54" t="str">
        <f>IFERROR(VLOOKUP($C$3&amp;$A31,'Data Induk Pegawai'!$A:$Z,I$6,FALSE),"")</f>
        <v/>
      </c>
      <c r="J31" s="53" t="str">
        <f>IFERROR(VLOOKUP($C$3&amp;$A31,'Data Induk Pegawai'!$A:$Z,J$6,FALSE),"")</f>
        <v/>
      </c>
      <c r="K31" s="54" t="str">
        <f>IF(B31="","",VLOOKUP($C$3&amp;$A31,'Data Induk Pegawai'!$A:$Z,K$6,FALSE))</f>
        <v/>
      </c>
      <c r="L31" s="54" t="str">
        <f>IF(B31="","",VLOOKUP($C$3&amp;$A31,'Data Induk Pegawai'!$A:$Z,L$6,FALSE))</f>
        <v/>
      </c>
      <c r="M31" s="54" t="str">
        <f>IFERROR(VLOOKUP("1GPTT"&amp;Q31,'Draft SK'!AB:AG,6,FALSE),"")</f>
        <v/>
      </c>
      <c r="N31" s="54" t="str">
        <f>IFERROR(VLOOKUP("1GPTT"&amp;Q31,'Draft SK'!AB:AG,5,FALSE),"")</f>
        <v/>
      </c>
      <c r="O31" s="54" t="str">
        <f t="shared" si="0"/>
        <v/>
      </c>
      <c r="P31" s="54" t="str">
        <f t="shared" si="1"/>
        <v/>
      </c>
      <c r="Q31" s="53" t="str">
        <f>IF(C31="","",VLOOKUP($C$3&amp;$A31,'Data Induk Pegawai'!$A:$Z,Q$6,FALSE))</f>
        <v/>
      </c>
      <c r="R31" s="51" t="str">
        <f t="shared" ca="1" si="2"/>
        <v/>
      </c>
      <c r="S31" s="51" t="str">
        <f t="shared" si="3"/>
        <v/>
      </c>
      <c r="T31" s="123" t="str">
        <f t="shared" si="4"/>
        <v/>
      </c>
      <c r="U31" s="123" t="str">
        <f t="shared" si="5"/>
        <v>-</v>
      </c>
      <c r="V31" s="123" t="str">
        <f>U31&amp;COUNTIFS(U$9:U31,U31)</f>
        <v>-17</v>
      </c>
      <c r="W31" s="123" t="str">
        <f t="shared" si="6"/>
        <v>-</v>
      </c>
      <c r="X31" s="123" t="str">
        <f t="shared" si="7"/>
        <v>-</v>
      </c>
      <c r="Y31" s="9" t="str">
        <f>IFERROR(IFERROR(IFERROR(IFERROR(VLOOKUP(Y$8&amp;"GTY"&amp;$Q31,'Draft SK'!$AE:$AF,2,FALSE),VLOOKUP(Y$8&amp;"PTY"&amp;$Q31,'Draft SK'!$AE:$AF,2,FALSE)),VLOOKUP(Y$8&amp;"GTT"&amp;$Q31,'Draft SK'!$AE:$AF,2,FALSE)),VLOOKUP(Y$8&amp;"PTT"&amp;$Q31,'Draft SK'!$AE:$AF,2,FALSE)),"")</f>
        <v/>
      </c>
    </row>
    <row r="32" spans="1:28" ht="15.5" x14ac:dyDescent="0.35">
      <c r="A32" s="51" t="str">
        <f t="shared" si="8"/>
        <v/>
      </c>
      <c r="B32" s="52" t="str">
        <f>IFERROR(VLOOKUP($C$3&amp;$A32,'Data Induk Pegawai'!$A:$Z,B$6,FALSE),"")</f>
        <v/>
      </c>
      <c r="C32" s="53" t="str">
        <f>IFERROR(VLOOKUP($C$3&amp;$A32,'Data Induk Pegawai'!$A:$Z,C$6,FALSE),"")</f>
        <v/>
      </c>
      <c r="D32" s="54" t="str">
        <f>IFERROR(VLOOKUP($C$3&amp;$A32,'Data Induk Pegawai'!$A:$Z,D$6,FALSE),"")</f>
        <v/>
      </c>
      <c r="E32" s="53" t="str">
        <f>IFERROR(VLOOKUP($C$3&amp;$A32,'Data Induk Pegawai'!$A:$Z,E$6,FALSE),"")</f>
        <v/>
      </c>
      <c r="F32" s="91" t="str">
        <f>IFERROR(VLOOKUP($C$3&amp;$A32,'Data Induk Pegawai'!$A:$Z,F$6,FALSE),"")</f>
        <v/>
      </c>
      <c r="G32" s="54" t="str">
        <f>IFERROR(VLOOKUP($C$3&amp;$A32,'Data Induk Pegawai'!$A:$Z,G$6,FALSE),"")</f>
        <v/>
      </c>
      <c r="H32" s="54" t="str">
        <f>IFERROR(VLOOKUP($C$3&amp;$A32,'Data Induk Pegawai'!$A:$Z,H$6,FALSE),"")</f>
        <v/>
      </c>
      <c r="I32" s="54" t="str">
        <f>IFERROR(VLOOKUP($C$3&amp;$A32,'Data Induk Pegawai'!$A:$Z,I$6,FALSE),"")</f>
        <v/>
      </c>
      <c r="J32" s="53" t="str">
        <f>IFERROR(VLOOKUP($C$3&amp;$A32,'Data Induk Pegawai'!$A:$Z,J$6,FALSE),"")</f>
        <v/>
      </c>
      <c r="K32" s="54" t="str">
        <f>IF(B32="","",VLOOKUP($C$3&amp;$A32,'Data Induk Pegawai'!$A:$Z,K$6,FALSE))</f>
        <v/>
      </c>
      <c r="L32" s="54" t="str">
        <f>IF(B32="","",VLOOKUP($C$3&amp;$A32,'Data Induk Pegawai'!$A:$Z,L$6,FALSE))</f>
        <v/>
      </c>
      <c r="M32" s="54" t="str">
        <f>IFERROR(VLOOKUP("1GPTT"&amp;Q32,'Draft SK'!AB:AG,6,FALSE),"")</f>
        <v/>
      </c>
      <c r="N32" s="54" t="str">
        <f>IFERROR(VLOOKUP("1GPTT"&amp;Q32,'Draft SK'!AB:AG,5,FALSE),"")</f>
        <v/>
      </c>
      <c r="O32" s="54" t="str">
        <f t="shared" si="0"/>
        <v/>
      </c>
      <c r="P32" s="54" t="str">
        <f t="shared" si="1"/>
        <v/>
      </c>
      <c r="Q32" s="53" t="str">
        <f>IF(C32="","",VLOOKUP($C$3&amp;$A32,'Data Induk Pegawai'!$A:$Z,Q$6,FALSE))</f>
        <v/>
      </c>
      <c r="R32" s="51" t="str">
        <f t="shared" ca="1" si="2"/>
        <v/>
      </c>
      <c r="S32" s="51" t="str">
        <f t="shared" si="3"/>
        <v/>
      </c>
      <c r="T32" s="123" t="str">
        <f t="shared" si="4"/>
        <v/>
      </c>
      <c r="U32" s="123" t="str">
        <f t="shared" si="5"/>
        <v>-</v>
      </c>
      <c r="V32" s="123" t="str">
        <f>U32&amp;COUNTIFS(U$9:U32,U32)</f>
        <v>-18</v>
      </c>
      <c r="W32" s="123" t="str">
        <f t="shared" si="6"/>
        <v>-</v>
      </c>
      <c r="X32" s="123" t="str">
        <f t="shared" si="7"/>
        <v>-</v>
      </c>
      <c r="Y32" s="9" t="str">
        <f>IFERROR(IFERROR(IFERROR(IFERROR(VLOOKUP(Y$8&amp;"GTY"&amp;$Q32,'Draft SK'!$AE:$AF,2,FALSE),VLOOKUP(Y$8&amp;"PTY"&amp;$Q32,'Draft SK'!$AE:$AF,2,FALSE)),VLOOKUP(Y$8&amp;"GTT"&amp;$Q32,'Draft SK'!$AE:$AF,2,FALSE)),VLOOKUP(Y$8&amp;"PTT"&amp;$Q32,'Draft SK'!$AE:$AF,2,FALSE)),"")</f>
        <v/>
      </c>
    </row>
    <row r="33" spans="1:25" ht="15.5" x14ac:dyDescent="0.35">
      <c r="A33" s="51" t="str">
        <f t="shared" si="8"/>
        <v/>
      </c>
      <c r="B33" s="52" t="str">
        <f>IFERROR(VLOOKUP($C$3&amp;$A33,'Data Induk Pegawai'!$A:$Z,B$6,FALSE),"")</f>
        <v/>
      </c>
      <c r="C33" s="53" t="str">
        <f>IFERROR(VLOOKUP($C$3&amp;$A33,'Data Induk Pegawai'!$A:$Z,C$6,FALSE),"")</f>
        <v/>
      </c>
      <c r="D33" s="54" t="str">
        <f>IFERROR(VLOOKUP($C$3&amp;$A33,'Data Induk Pegawai'!$A:$Z,D$6,FALSE),"")</f>
        <v/>
      </c>
      <c r="E33" s="53" t="str">
        <f>IFERROR(VLOOKUP($C$3&amp;$A33,'Data Induk Pegawai'!$A:$Z,E$6,FALSE),"")</f>
        <v/>
      </c>
      <c r="F33" s="91" t="str">
        <f>IFERROR(VLOOKUP($C$3&amp;$A33,'Data Induk Pegawai'!$A:$Z,F$6,FALSE),"")</f>
        <v/>
      </c>
      <c r="G33" s="54" t="str">
        <f>IFERROR(VLOOKUP($C$3&amp;$A33,'Data Induk Pegawai'!$A:$Z,G$6,FALSE),"")</f>
        <v/>
      </c>
      <c r="H33" s="54" t="str">
        <f>IFERROR(VLOOKUP($C$3&amp;$A33,'Data Induk Pegawai'!$A:$Z,H$6,FALSE),"")</f>
        <v/>
      </c>
      <c r="I33" s="54" t="str">
        <f>IFERROR(VLOOKUP($C$3&amp;$A33,'Data Induk Pegawai'!$A:$Z,I$6,FALSE),"")</f>
        <v/>
      </c>
      <c r="J33" s="53" t="str">
        <f>IFERROR(VLOOKUP($C$3&amp;$A33,'Data Induk Pegawai'!$A:$Z,J$6,FALSE),"")</f>
        <v/>
      </c>
      <c r="K33" s="54" t="str">
        <f>IF(B33="","",VLOOKUP($C$3&amp;$A33,'Data Induk Pegawai'!$A:$Z,K$6,FALSE))</f>
        <v/>
      </c>
      <c r="L33" s="54" t="str">
        <f>IF(B33="","",VLOOKUP($C$3&amp;$A33,'Data Induk Pegawai'!$A:$Z,L$6,FALSE))</f>
        <v/>
      </c>
      <c r="M33" s="54" t="str">
        <f>IFERROR(VLOOKUP("1GPTT"&amp;Q33,'Draft SK'!AB:AG,6,FALSE),"")</f>
        <v/>
      </c>
      <c r="N33" s="54" t="str">
        <f>IFERROR(VLOOKUP("1GPTT"&amp;Q33,'Draft SK'!AB:AG,5,FALSE),"")</f>
        <v/>
      </c>
      <c r="O33" s="54" t="str">
        <f t="shared" si="0"/>
        <v/>
      </c>
      <c r="P33" s="54" t="str">
        <f t="shared" si="1"/>
        <v/>
      </c>
      <c r="Q33" s="53" t="str">
        <f>IF(C33="","",VLOOKUP($C$3&amp;$A33,'Data Induk Pegawai'!$A:$Z,Q$6,FALSE))</f>
        <v/>
      </c>
      <c r="R33" s="51" t="str">
        <f t="shared" ca="1" si="2"/>
        <v/>
      </c>
      <c r="S33" s="51" t="str">
        <f t="shared" si="3"/>
        <v/>
      </c>
      <c r="T33" s="123" t="str">
        <f t="shared" si="4"/>
        <v/>
      </c>
      <c r="U33" s="123" t="str">
        <f t="shared" si="5"/>
        <v>-</v>
      </c>
      <c r="V33" s="123" t="str">
        <f>U33&amp;COUNTIFS(U$9:U33,U33)</f>
        <v>-19</v>
      </c>
      <c r="W33" s="123" t="str">
        <f t="shared" si="6"/>
        <v>-</v>
      </c>
      <c r="X33" s="123" t="str">
        <f t="shared" si="7"/>
        <v>-</v>
      </c>
      <c r="Y33" s="9" t="str">
        <f>IFERROR(IFERROR(IFERROR(IFERROR(VLOOKUP(Y$8&amp;"GTY"&amp;$Q33,'Draft SK'!$AE:$AF,2,FALSE),VLOOKUP(Y$8&amp;"PTY"&amp;$Q33,'Draft SK'!$AE:$AF,2,FALSE)),VLOOKUP(Y$8&amp;"GTT"&amp;$Q33,'Draft SK'!$AE:$AF,2,FALSE)),VLOOKUP(Y$8&amp;"PTT"&amp;$Q33,'Draft SK'!$AE:$AF,2,FALSE)),"")</f>
        <v/>
      </c>
    </row>
    <row r="34" spans="1:25" ht="15.5" x14ac:dyDescent="0.35">
      <c r="A34" s="51" t="str">
        <f t="shared" si="8"/>
        <v/>
      </c>
      <c r="B34" s="52" t="str">
        <f>IFERROR(VLOOKUP($C$3&amp;$A34,'Data Induk Pegawai'!$A:$Z,B$6,FALSE),"")</f>
        <v/>
      </c>
      <c r="C34" s="53" t="str">
        <f>IFERROR(VLOOKUP($C$3&amp;$A34,'Data Induk Pegawai'!$A:$Z,C$6,FALSE),"")</f>
        <v/>
      </c>
      <c r="D34" s="54" t="str">
        <f>IFERROR(VLOOKUP($C$3&amp;$A34,'Data Induk Pegawai'!$A:$Z,D$6,FALSE),"")</f>
        <v/>
      </c>
      <c r="E34" s="53" t="str">
        <f>IFERROR(VLOOKUP($C$3&amp;$A34,'Data Induk Pegawai'!$A:$Z,E$6,FALSE),"")</f>
        <v/>
      </c>
      <c r="F34" s="91" t="str">
        <f>IFERROR(VLOOKUP($C$3&amp;$A34,'Data Induk Pegawai'!$A:$Z,F$6,FALSE),"")</f>
        <v/>
      </c>
      <c r="G34" s="54" t="str">
        <f>IFERROR(VLOOKUP($C$3&amp;$A34,'Data Induk Pegawai'!$A:$Z,G$6,FALSE),"")</f>
        <v/>
      </c>
      <c r="H34" s="54" t="str">
        <f>IFERROR(VLOOKUP($C$3&amp;$A34,'Data Induk Pegawai'!$A:$Z,H$6,FALSE),"")</f>
        <v/>
      </c>
      <c r="I34" s="54" t="str">
        <f>IFERROR(VLOOKUP($C$3&amp;$A34,'Data Induk Pegawai'!$A:$Z,I$6,FALSE),"")</f>
        <v/>
      </c>
      <c r="J34" s="53" t="str">
        <f>IFERROR(VLOOKUP($C$3&amp;$A34,'Data Induk Pegawai'!$A:$Z,J$6,FALSE),"")</f>
        <v/>
      </c>
      <c r="K34" s="54" t="str">
        <f>IF(B34="","",VLOOKUP($C$3&amp;$A34,'Data Induk Pegawai'!$A:$Z,K$6,FALSE))</f>
        <v/>
      </c>
      <c r="L34" s="54" t="str">
        <f>IF(B34="","",VLOOKUP($C$3&amp;$A34,'Data Induk Pegawai'!$A:$Z,L$6,FALSE))</f>
        <v/>
      </c>
      <c r="M34" s="54" t="str">
        <f>IFERROR(VLOOKUP("1GPTT"&amp;Q34,'Draft SK'!AB:AG,6,FALSE),"")</f>
        <v/>
      </c>
      <c r="N34" s="54" t="str">
        <f>IFERROR(VLOOKUP("1GPTT"&amp;Q34,'Draft SK'!AB:AG,5,FALSE),"")</f>
        <v/>
      </c>
      <c r="O34" s="54" t="str">
        <f t="shared" si="0"/>
        <v/>
      </c>
      <c r="P34" s="54" t="str">
        <f t="shared" si="1"/>
        <v/>
      </c>
      <c r="Q34" s="53" t="str">
        <f>IF(C34="","",VLOOKUP($C$3&amp;$A34,'Data Induk Pegawai'!$A:$Z,Q$6,FALSE))</f>
        <v/>
      </c>
      <c r="R34" s="51" t="str">
        <f t="shared" ca="1" si="2"/>
        <v/>
      </c>
      <c r="S34" s="51" t="str">
        <f t="shared" si="3"/>
        <v/>
      </c>
      <c r="T34" s="123" t="str">
        <f t="shared" si="4"/>
        <v/>
      </c>
      <c r="U34" s="123" t="str">
        <f t="shared" si="5"/>
        <v>-</v>
      </c>
      <c r="V34" s="123" t="str">
        <f>U34&amp;COUNTIFS(U$9:U34,U34)</f>
        <v>-20</v>
      </c>
      <c r="W34" s="123" t="str">
        <f t="shared" si="6"/>
        <v>-</v>
      </c>
      <c r="X34" s="123" t="str">
        <f t="shared" si="7"/>
        <v>-</v>
      </c>
      <c r="Y34" s="9" t="str">
        <f>IFERROR(IFERROR(IFERROR(IFERROR(VLOOKUP(Y$8&amp;"GTY"&amp;$Q34,'Draft SK'!$AE:$AF,2,FALSE),VLOOKUP(Y$8&amp;"PTY"&amp;$Q34,'Draft SK'!$AE:$AF,2,FALSE)),VLOOKUP(Y$8&amp;"GTT"&amp;$Q34,'Draft SK'!$AE:$AF,2,FALSE)),VLOOKUP(Y$8&amp;"PTT"&amp;$Q34,'Draft SK'!$AE:$AF,2,FALSE)),"")</f>
        <v/>
      </c>
    </row>
    <row r="35" spans="1:25" ht="15.5" x14ac:dyDescent="0.35">
      <c r="A35" s="51" t="str">
        <f t="shared" si="8"/>
        <v/>
      </c>
      <c r="B35" s="52" t="str">
        <f>IFERROR(VLOOKUP($C$3&amp;$A35,'Data Induk Pegawai'!$A:$Z,B$6,FALSE),"")</f>
        <v/>
      </c>
      <c r="C35" s="53" t="str">
        <f>IFERROR(VLOOKUP($C$3&amp;$A35,'Data Induk Pegawai'!$A:$Z,C$6,FALSE),"")</f>
        <v/>
      </c>
      <c r="D35" s="54" t="str">
        <f>IFERROR(VLOOKUP($C$3&amp;$A35,'Data Induk Pegawai'!$A:$Z,D$6,FALSE),"")</f>
        <v/>
      </c>
      <c r="E35" s="53" t="str">
        <f>IFERROR(VLOOKUP($C$3&amp;$A35,'Data Induk Pegawai'!$A:$Z,E$6,FALSE),"")</f>
        <v/>
      </c>
      <c r="F35" s="91" t="str">
        <f>IFERROR(VLOOKUP($C$3&amp;$A35,'Data Induk Pegawai'!$A:$Z,F$6,FALSE),"")</f>
        <v/>
      </c>
      <c r="G35" s="54" t="str">
        <f>IFERROR(VLOOKUP($C$3&amp;$A35,'Data Induk Pegawai'!$A:$Z,G$6,FALSE),"")</f>
        <v/>
      </c>
      <c r="H35" s="54" t="str">
        <f>IFERROR(VLOOKUP($C$3&amp;$A35,'Data Induk Pegawai'!$A:$Z,H$6,FALSE),"")</f>
        <v/>
      </c>
      <c r="I35" s="54" t="str">
        <f>IFERROR(VLOOKUP($C$3&amp;$A35,'Data Induk Pegawai'!$A:$Z,I$6,FALSE),"")</f>
        <v/>
      </c>
      <c r="J35" s="53" t="str">
        <f>IFERROR(VLOOKUP($C$3&amp;$A35,'Data Induk Pegawai'!$A:$Z,J$6,FALSE),"")</f>
        <v/>
      </c>
      <c r="K35" s="54" t="str">
        <f>IF(B35="","",VLOOKUP($C$3&amp;$A35,'Data Induk Pegawai'!$A:$Z,K$6,FALSE))</f>
        <v/>
      </c>
      <c r="L35" s="54" t="str">
        <f>IF(B35="","",VLOOKUP($C$3&amp;$A35,'Data Induk Pegawai'!$A:$Z,L$6,FALSE))</f>
        <v/>
      </c>
      <c r="M35" s="54" t="str">
        <f>IFERROR(VLOOKUP("1GPTT"&amp;Q35,'Draft SK'!AB:AG,6,FALSE),"")</f>
        <v/>
      </c>
      <c r="N35" s="54" t="str">
        <f>IFERROR(VLOOKUP("1GPTT"&amp;Q35,'Draft SK'!AB:AG,5,FALSE),"")</f>
        <v/>
      </c>
      <c r="O35" s="54" t="str">
        <f t="shared" si="0"/>
        <v/>
      </c>
      <c r="P35" s="54" t="str">
        <f t="shared" si="1"/>
        <v/>
      </c>
      <c r="Q35" s="53" t="str">
        <f>IF(C35="","",VLOOKUP($C$3&amp;$A35,'Data Induk Pegawai'!$A:$Z,Q$6,FALSE))</f>
        <v/>
      </c>
      <c r="R35" s="51" t="str">
        <f t="shared" ca="1" si="2"/>
        <v/>
      </c>
      <c r="S35" s="51" t="str">
        <f t="shared" si="3"/>
        <v/>
      </c>
      <c r="T35" s="123" t="str">
        <f t="shared" si="4"/>
        <v/>
      </c>
      <c r="U35" s="123" t="str">
        <f t="shared" si="5"/>
        <v>-</v>
      </c>
      <c r="V35" s="123" t="str">
        <f>U35&amp;COUNTIFS(U$9:U35,U35)</f>
        <v>-21</v>
      </c>
      <c r="W35" s="123" t="str">
        <f t="shared" si="6"/>
        <v>-</v>
      </c>
      <c r="X35" s="123" t="str">
        <f t="shared" si="7"/>
        <v>-</v>
      </c>
      <c r="Y35" s="9" t="str">
        <f>IFERROR(IFERROR(IFERROR(IFERROR(VLOOKUP(Y$8&amp;"GTY"&amp;$Q35,'Draft SK'!$AE:$AF,2,FALSE),VLOOKUP(Y$8&amp;"PTY"&amp;$Q35,'Draft SK'!$AE:$AF,2,FALSE)),VLOOKUP(Y$8&amp;"GTT"&amp;$Q35,'Draft SK'!$AE:$AF,2,FALSE)),VLOOKUP(Y$8&amp;"PTT"&amp;$Q35,'Draft SK'!$AE:$AF,2,FALSE)),"")</f>
        <v/>
      </c>
    </row>
    <row r="36" spans="1:25" ht="15.5" x14ac:dyDescent="0.35">
      <c r="A36" s="51" t="str">
        <f t="shared" si="8"/>
        <v/>
      </c>
      <c r="B36" s="52" t="str">
        <f>IFERROR(VLOOKUP($C$3&amp;$A36,'Data Induk Pegawai'!$A:$Z,B$6,FALSE),"")</f>
        <v/>
      </c>
      <c r="C36" s="53" t="str">
        <f>IFERROR(VLOOKUP($C$3&amp;$A36,'Data Induk Pegawai'!$A:$Z,C$6,FALSE),"")</f>
        <v/>
      </c>
      <c r="D36" s="54" t="str">
        <f>IFERROR(VLOOKUP($C$3&amp;$A36,'Data Induk Pegawai'!$A:$Z,D$6,FALSE),"")</f>
        <v/>
      </c>
      <c r="E36" s="53" t="str">
        <f>IFERROR(VLOOKUP($C$3&amp;$A36,'Data Induk Pegawai'!$A:$Z,E$6,FALSE),"")</f>
        <v/>
      </c>
      <c r="F36" s="91" t="str">
        <f>IFERROR(VLOOKUP($C$3&amp;$A36,'Data Induk Pegawai'!$A:$Z,F$6,FALSE),"")</f>
        <v/>
      </c>
      <c r="G36" s="54" t="str">
        <f>IFERROR(VLOOKUP($C$3&amp;$A36,'Data Induk Pegawai'!$A:$Z,G$6,FALSE),"")</f>
        <v/>
      </c>
      <c r="H36" s="54" t="str">
        <f>IFERROR(VLOOKUP($C$3&amp;$A36,'Data Induk Pegawai'!$A:$Z,H$6,FALSE),"")</f>
        <v/>
      </c>
      <c r="I36" s="54" t="str">
        <f>IFERROR(VLOOKUP($C$3&amp;$A36,'Data Induk Pegawai'!$A:$Z,I$6,FALSE),"")</f>
        <v/>
      </c>
      <c r="J36" s="53" t="str">
        <f>IFERROR(VLOOKUP($C$3&amp;$A36,'Data Induk Pegawai'!$A:$Z,J$6,FALSE),"")</f>
        <v/>
      </c>
      <c r="K36" s="54" t="str">
        <f>IF(B36="","",VLOOKUP($C$3&amp;$A36,'Data Induk Pegawai'!$A:$Z,K$6,FALSE))</f>
        <v/>
      </c>
      <c r="L36" s="54" t="str">
        <f>IF(B36="","",VLOOKUP($C$3&amp;$A36,'Data Induk Pegawai'!$A:$Z,L$6,FALSE))</f>
        <v/>
      </c>
      <c r="M36" s="54" t="str">
        <f>IFERROR(VLOOKUP("1GPTT"&amp;Q36,'Draft SK'!AB:AG,6,FALSE),"")</f>
        <v/>
      </c>
      <c r="N36" s="54" t="str">
        <f>IFERROR(VLOOKUP("1GPTT"&amp;Q36,'Draft SK'!AB:AG,5,FALSE),"")</f>
        <v/>
      </c>
      <c r="O36" s="54" t="str">
        <f t="shared" si="0"/>
        <v/>
      </c>
      <c r="P36" s="54" t="str">
        <f t="shared" si="1"/>
        <v/>
      </c>
      <c r="Q36" s="53" t="str">
        <f>IF(C36="","",VLOOKUP($C$3&amp;$A36,'Data Induk Pegawai'!$A:$Z,Q$6,FALSE))</f>
        <v/>
      </c>
      <c r="R36" s="51" t="str">
        <f t="shared" ca="1" si="2"/>
        <v/>
      </c>
      <c r="S36" s="51" t="str">
        <f t="shared" si="3"/>
        <v/>
      </c>
      <c r="T36" s="123" t="str">
        <f t="shared" si="4"/>
        <v/>
      </c>
      <c r="U36" s="123" t="str">
        <f t="shared" si="5"/>
        <v>-</v>
      </c>
      <c r="V36" s="123" t="str">
        <f>U36&amp;COUNTIFS(U$9:U36,U36)</f>
        <v>-22</v>
      </c>
      <c r="W36" s="123" t="str">
        <f t="shared" si="6"/>
        <v>-</v>
      </c>
      <c r="X36" s="123" t="str">
        <f t="shared" si="7"/>
        <v>-</v>
      </c>
      <c r="Y36" s="9" t="str">
        <f>IFERROR(IFERROR(IFERROR(IFERROR(VLOOKUP(Y$8&amp;"GTY"&amp;$Q36,'Draft SK'!$AE:$AF,2,FALSE),VLOOKUP(Y$8&amp;"PTY"&amp;$Q36,'Draft SK'!$AE:$AF,2,FALSE)),VLOOKUP(Y$8&amp;"GTT"&amp;$Q36,'Draft SK'!$AE:$AF,2,FALSE)),VLOOKUP(Y$8&amp;"PTT"&amp;$Q36,'Draft SK'!$AE:$AF,2,FALSE)),"")</f>
        <v/>
      </c>
    </row>
    <row r="37" spans="1:25" ht="15.5" x14ac:dyDescent="0.35">
      <c r="A37" s="51" t="str">
        <f t="shared" si="8"/>
        <v/>
      </c>
      <c r="B37" s="52" t="str">
        <f>IFERROR(VLOOKUP($C$3&amp;$A37,'Data Induk Pegawai'!$A:$Z,B$6,FALSE),"")</f>
        <v/>
      </c>
      <c r="C37" s="53" t="str">
        <f>IFERROR(VLOOKUP($C$3&amp;$A37,'Data Induk Pegawai'!$A:$Z,C$6,FALSE),"")</f>
        <v/>
      </c>
      <c r="D37" s="54" t="str">
        <f>IFERROR(VLOOKUP($C$3&amp;$A37,'Data Induk Pegawai'!$A:$Z,D$6,FALSE),"")</f>
        <v/>
      </c>
      <c r="E37" s="53" t="str">
        <f>IFERROR(VLOOKUP($C$3&amp;$A37,'Data Induk Pegawai'!$A:$Z,E$6,FALSE),"")</f>
        <v/>
      </c>
      <c r="F37" s="91" t="str">
        <f>IFERROR(VLOOKUP($C$3&amp;$A37,'Data Induk Pegawai'!$A:$Z,F$6,FALSE),"")</f>
        <v/>
      </c>
      <c r="G37" s="54" t="str">
        <f>IFERROR(VLOOKUP($C$3&amp;$A37,'Data Induk Pegawai'!$A:$Z,G$6,FALSE),"")</f>
        <v/>
      </c>
      <c r="H37" s="54" t="str">
        <f>IFERROR(VLOOKUP($C$3&amp;$A37,'Data Induk Pegawai'!$A:$Z,H$6,FALSE),"")</f>
        <v/>
      </c>
      <c r="I37" s="54" t="str">
        <f>IFERROR(VLOOKUP($C$3&amp;$A37,'Data Induk Pegawai'!$A:$Z,I$6,FALSE),"")</f>
        <v/>
      </c>
      <c r="J37" s="53" t="str">
        <f>IFERROR(VLOOKUP($C$3&amp;$A37,'Data Induk Pegawai'!$A:$Z,J$6,FALSE),"")</f>
        <v/>
      </c>
      <c r="K37" s="54" t="str">
        <f>IF(B37="","",VLOOKUP($C$3&amp;$A37,'Data Induk Pegawai'!$A:$Z,K$6,FALSE))</f>
        <v/>
      </c>
      <c r="L37" s="54" t="str">
        <f>IF(B37="","",VLOOKUP($C$3&amp;$A37,'Data Induk Pegawai'!$A:$Z,L$6,FALSE))</f>
        <v/>
      </c>
      <c r="M37" s="54" t="str">
        <f>IFERROR(VLOOKUP("1GPTT"&amp;Q37,'Draft SK'!AB:AG,6,FALSE),"")</f>
        <v/>
      </c>
      <c r="N37" s="54" t="str">
        <f>IFERROR(VLOOKUP("1GPTT"&amp;Q37,'Draft SK'!AB:AG,5,FALSE),"")</f>
        <v/>
      </c>
      <c r="O37" s="54" t="str">
        <f t="shared" si="0"/>
        <v/>
      </c>
      <c r="P37" s="54" t="str">
        <f t="shared" si="1"/>
        <v/>
      </c>
      <c r="Q37" s="53" t="str">
        <f>IF(C37="","",VLOOKUP($C$3&amp;$A37,'Data Induk Pegawai'!$A:$Z,Q$6,FALSE))</f>
        <v/>
      </c>
      <c r="R37" s="51" t="str">
        <f t="shared" ca="1" si="2"/>
        <v/>
      </c>
      <c r="S37" s="51" t="str">
        <f t="shared" si="3"/>
        <v/>
      </c>
      <c r="T37" s="123" t="str">
        <f t="shared" si="4"/>
        <v/>
      </c>
      <c r="U37" s="123" t="str">
        <f t="shared" si="5"/>
        <v>-</v>
      </c>
      <c r="V37" s="123" t="str">
        <f>U37&amp;COUNTIFS(U$9:U37,U37)</f>
        <v>-23</v>
      </c>
      <c r="W37" s="123" t="str">
        <f t="shared" si="6"/>
        <v>-</v>
      </c>
      <c r="X37" s="123" t="str">
        <f t="shared" si="7"/>
        <v>-</v>
      </c>
      <c r="Y37" s="9" t="str">
        <f>IFERROR(IFERROR(IFERROR(IFERROR(VLOOKUP(Y$8&amp;"GTY"&amp;$Q37,'Draft SK'!$AE:$AF,2,FALSE),VLOOKUP(Y$8&amp;"PTY"&amp;$Q37,'Draft SK'!$AE:$AF,2,FALSE)),VLOOKUP(Y$8&amp;"GTT"&amp;$Q37,'Draft SK'!$AE:$AF,2,FALSE)),VLOOKUP(Y$8&amp;"PTT"&amp;$Q37,'Draft SK'!$AE:$AF,2,FALSE)),"")</f>
        <v/>
      </c>
    </row>
    <row r="38" spans="1:25" ht="15.5" x14ac:dyDescent="0.35">
      <c r="A38" s="51" t="str">
        <f t="shared" si="8"/>
        <v/>
      </c>
      <c r="B38" s="52" t="str">
        <f>IFERROR(VLOOKUP($C$3&amp;$A38,'Data Induk Pegawai'!$A:$Z,B$6,FALSE),"")</f>
        <v/>
      </c>
      <c r="C38" s="53" t="str">
        <f>IFERROR(VLOOKUP($C$3&amp;$A38,'Data Induk Pegawai'!$A:$Z,C$6,FALSE),"")</f>
        <v/>
      </c>
      <c r="D38" s="54" t="str">
        <f>IFERROR(VLOOKUP($C$3&amp;$A38,'Data Induk Pegawai'!$A:$Z,D$6,FALSE),"")</f>
        <v/>
      </c>
      <c r="E38" s="53" t="str">
        <f>IFERROR(VLOOKUP($C$3&amp;$A38,'Data Induk Pegawai'!$A:$Z,E$6,FALSE),"")</f>
        <v/>
      </c>
      <c r="F38" s="91" t="str">
        <f>IFERROR(VLOOKUP($C$3&amp;$A38,'Data Induk Pegawai'!$A:$Z,F$6,FALSE),"")</f>
        <v/>
      </c>
      <c r="G38" s="54" t="str">
        <f>IFERROR(VLOOKUP($C$3&amp;$A38,'Data Induk Pegawai'!$A:$Z,G$6,FALSE),"")</f>
        <v/>
      </c>
      <c r="H38" s="54" t="str">
        <f>IFERROR(VLOOKUP($C$3&amp;$A38,'Data Induk Pegawai'!$A:$Z,H$6,FALSE),"")</f>
        <v/>
      </c>
      <c r="I38" s="54" t="str">
        <f>IFERROR(VLOOKUP($C$3&amp;$A38,'Data Induk Pegawai'!$A:$Z,I$6,FALSE),"")</f>
        <v/>
      </c>
      <c r="J38" s="53" t="str">
        <f>IFERROR(VLOOKUP($C$3&amp;$A38,'Data Induk Pegawai'!$A:$Z,J$6,FALSE),"")</f>
        <v/>
      </c>
      <c r="K38" s="54" t="str">
        <f>IF(B38="","",VLOOKUP($C$3&amp;$A38,'Data Induk Pegawai'!$A:$Z,K$6,FALSE))</f>
        <v/>
      </c>
      <c r="L38" s="54" t="str">
        <f>IF(B38="","",VLOOKUP($C$3&amp;$A38,'Data Induk Pegawai'!$A:$Z,L$6,FALSE))</f>
        <v/>
      </c>
      <c r="M38" s="54" t="str">
        <f>IFERROR(VLOOKUP("1GPTT"&amp;Q38,'Draft SK'!AB:AG,6,FALSE),"")</f>
        <v/>
      </c>
      <c r="N38" s="54" t="str">
        <f>IFERROR(VLOOKUP("1GPTT"&amp;Q38,'Draft SK'!AB:AG,5,FALSE),"")</f>
        <v/>
      </c>
      <c r="O38" s="54" t="str">
        <f t="shared" si="0"/>
        <v/>
      </c>
      <c r="P38" s="54" t="str">
        <f t="shared" si="1"/>
        <v/>
      </c>
      <c r="Q38" s="53" t="str">
        <f>IF(C38="","",VLOOKUP($C$3&amp;$A38,'Data Induk Pegawai'!$A:$Z,Q$6,FALSE))</f>
        <v/>
      </c>
      <c r="R38" s="51" t="str">
        <f t="shared" ca="1" si="2"/>
        <v/>
      </c>
      <c r="S38" s="51" t="str">
        <f t="shared" si="3"/>
        <v/>
      </c>
      <c r="T38" s="123" t="str">
        <f t="shared" si="4"/>
        <v/>
      </c>
      <c r="U38" s="123" t="str">
        <f t="shared" si="5"/>
        <v>-</v>
      </c>
      <c r="V38" s="123" t="str">
        <f>U38&amp;COUNTIFS(U$9:U38,U38)</f>
        <v>-24</v>
      </c>
      <c r="W38" s="123" t="str">
        <f t="shared" si="6"/>
        <v>-</v>
      </c>
      <c r="X38" s="123" t="str">
        <f t="shared" si="7"/>
        <v>-</v>
      </c>
      <c r="Y38" s="9" t="str">
        <f>IFERROR(IFERROR(IFERROR(IFERROR(VLOOKUP(Y$8&amp;"GTY"&amp;$Q38,'Draft SK'!$AE:$AF,2,FALSE),VLOOKUP(Y$8&amp;"PTY"&amp;$Q38,'Draft SK'!$AE:$AF,2,FALSE)),VLOOKUP(Y$8&amp;"GTT"&amp;$Q38,'Draft SK'!$AE:$AF,2,FALSE)),VLOOKUP(Y$8&amp;"PTT"&amp;$Q38,'Draft SK'!$AE:$AF,2,FALSE)),"")</f>
        <v/>
      </c>
    </row>
    <row r="39" spans="1:25" ht="15.5" x14ac:dyDescent="0.35">
      <c r="A39" s="51" t="str">
        <f t="shared" si="8"/>
        <v/>
      </c>
      <c r="B39" s="52" t="str">
        <f>IFERROR(VLOOKUP($C$3&amp;$A39,'Data Induk Pegawai'!$A:$Z,B$6,FALSE),"")</f>
        <v/>
      </c>
      <c r="C39" s="53" t="str">
        <f>IFERROR(VLOOKUP($C$3&amp;$A39,'Data Induk Pegawai'!$A:$Z,C$6,FALSE),"")</f>
        <v/>
      </c>
      <c r="D39" s="54" t="str">
        <f>IFERROR(VLOOKUP($C$3&amp;$A39,'Data Induk Pegawai'!$A:$Z,D$6,FALSE),"")</f>
        <v/>
      </c>
      <c r="E39" s="53" t="str">
        <f>IFERROR(VLOOKUP($C$3&amp;$A39,'Data Induk Pegawai'!$A:$Z,E$6,FALSE),"")</f>
        <v/>
      </c>
      <c r="F39" s="91" t="str">
        <f>IFERROR(VLOOKUP($C$3&amp;$A39,'Data Induk Pegawai'!$A:$Z,F$6,FALSE),"")</f>
        <v/>
      </c>
      <c r="G39" s="54" t="str">
        <f>IFERROR(VLOOKUP($C$3&amp;$A39,'Data Induk Pegawai'!$A:$Z,G$6,FALSE),"")</f>
        <v/>
      </c>
      <c r="H39" s="54" t="str">
        <f>IFERROR(VLOOKUP($C$3&amp;$A39,'Data Induk Pegawai'!$A:$Z,H$6,FALSE),"")</f>
        <v/>
      </c>
      <c r="I39" s="54" t="str">
        <f>IFERROR(VLOOKUP($C$3&amp;$A39,'Data Induk Pegawai'!$A:$Z,I$6,FALSE),"")</f>
        <v/>
      </c>
      <c r="J39" s="53" t="str">
        <f>IFERROR(VLOOKUP($C$3&amp;$A39,'Data Induk Pegawai'!$A:$Z,J$6,FALSE),"")</f>
        <v/>
      </c>
      <c r="K39" s="54" t="str">
        <f>IF(B39="","",VLOOKUP($C$3&amp;$A39,'Data Induk Pegawai'!$A:$Z,K$6,FALSE))</f>
        <v/>
      </c>
      <c r="L39" s="54" t="str">
        <f>IF(B39="","",VLOOKUP($C$3&amp;$A39,'Data Induk Pegawai'!$A:$Z,L$6,FALSE))</f>
        <v/>
      </c>
      <c r="M39" s="54" t="str">
        <f>IFERROR(VLOOKUP("1GPTT"&amp;Q39,'Draft SK'!AB:AG,6,FALSE),"")</f>
        <v/>
      </c>
      <c r="N39" s="54" t="str">
        <f>IFERROR(VLOOKUP("1GPTT"&amp;Q39,'Draft SK'!AB:AG,5,FALSE),"")</f>
        <v/>
      </c>
      <c r="O39" s="54" t="str">
        <f t="shared" si="0"/>
        <v/>
      </c>
      <c r="P39" s="54" t="str">
        <f t="shared" si="1"/>
        <v/>
      </c>
      <c r="Q39" s="53" t="str">
        <f>IF(C39="","",VLOOKUP($C$3&amp;$A39,'Data Induk Pegawai'!$A:$Z,Q$6,FALSE))</f>
        <v/>
      </c>
      <c r="R39" s="51" t="str">
        <f t="shared" ca="1" si="2"/>
        <v/>
      </c>
      <c r="S39" s="51" t="str">
        <f t="shared" si="3"/>
        <v/>
      </c>
      <c r="T39" s="123" t="str">
        <f t="shared" si="4"/>
        <v/>
      </c>
      <c r="U39" s="123" t="str">
        <f t="shared" si="5"/>
        <v>-</v>
      </c>
      <c r="V39" s="123" t="str">
        <f>U39&amp;COUNTIFS(U$9:U39,U39)</f>
        <v>-25</v>
      </c>
      <c r="W39" s="123" t="str">
        <f t="shared" si="6"/>
        <v>-</v>
      </c>
      <c r="X39" s="123" t="str">
        <f t="shared" si="7"/>
        <v>-</v>
      </c>
      <c r="Y39" s="9" t="str">
        <f>IFERROR(IFERROR(IFERROR(IFERROR(VLOOKUP(Y$8&amp;"GTY"&amp;$Q39,'Draft SK'!$AE:$AF,2,FALSE),VLOOKUP(Y$8&amp;"PTY"&amp;$Q39,'Draft SK'!$AE:$AF,2,FALSE)),VLOOKUP(Y$8&amp;"GTT"&amp;$Q39,'Draft SK'!$AE:$AF,2,FALSE)),VLOOKUP(Y$8&amp;"PTT"&amp;$Q39,'Draft SK'!$AE:$AF,2,FALSE)),"")</f>
        <v/>
      </c>
    </row>
    <row r="40" spans="1:25" ht="15.5" x14ac:dyDescent="0.35">
      <c r="A40" s="51" t="str">
        <f t="shared" si="8"/>
        <v/>
      </c>
      <c r="B40" s="52" t="str">
        <f>IFERROR(VLOOKUP($C$3&amp;$A40,'Data Induk Pegawai'!$A:$Z,B$6,FALSE),"")</f>
        <v/>
      </c>
      <c r="C40" s="53" t="str">
        <f>IFERROR(VLOOKUP($C$3&amp;$A40,'Data Induk Pegawai'!$A:$Z,C$6,FALSE),"")</f>
        <v/>
      </c>
      <c r="D40" s="54" t="str">
        <f>IFERROR(VLOOKUP($C$3&amp;$A40,'Data Induk Pegawai'!$A:$Z,D$6,FALSE),"")</f>
        <v/>
      </c>
      <c r="E40" s="53" t="str">
        <f>IFERROR(VLOOKUP($C$3&amp;$A40,'Data Induk Pegawai'!$A:$Z,E$6,FALSE),"")</f>
        <v/>
      </c>
      <c r="F40" s="91" t="str">
        <f>IFERROR(VLOOKUP($C$3&amp;$A40,'Data Induk Pegawai'!$A:$Z,F$6,FALSE),"")</f>
        <v/>
      </c>
      <c r="G40" s="54" t="str">
        <f>IFERROR(VLOOKUP($C$3&amp;$A40,'Data Induk Pegawai'!$A:$Z,G$6,FALSE),"")</f>
        <v/>
      </c>
      <c r="H40" s="54" t="str">
        <f>IFERROR(VLOOKUP($C$3&amp;$A40,'Data Induk Pegawai'!$A:$Z,H$6,FALSE),"")</f>
        <v/>
      </c>
      <c r="I40" s="54" t="str">
        <f>IFERROR(VLOOKUP($C$3&amp;$A40,'Data Induk Pegawai'!$A:$Z,I$6,FALSE),"")</f>
        <v/>
      </c>
      <c r="J40" s="53" t="str">
        <f>IFERROR(VLOOKUP($C$3&amp;$A40,'Data Induk Pegawai'!$A:$Z,J$6,FALSE),"")</f>
        <v/>
      </c>
      <c r="K40" s="54" t="str">
        <f>IF(B40="","",VLOOKUP($C$3&amp;$A40,'Data Induk Pegawai'!$A:$Z,K$6,FALSE))</f>
        <v/>
      </c>
      <c r="L40" s="54" t="str">
        <f>IF(B40="","",VLOOKUP($C$3&amp;$A40,'Data Induk Pegawai'!$A:$Z,L$6,FALSE))</f>
        <v/>
      </c>
      <c r="M40" s="54" t="str">
        <f>IFERROR(VLOOKUP("1GPTT"&amp;Q40,'Draft SK'!AB:AG,6,FALSE),"")</f>
        <v/>
      </c>
      <c r="N40" s="54" t="str">
        <f>IFERROR(VLOOKUP("1GPTT"&amp;Q40,'Draft SK'!AB:AG,5,FALSE),"")</f>
        <v/>
      </c>
      <c r="O40" s="54" t="str">
        <f t="shared" si="0"/>
        <v/>
      </c>
      <c r="P40" s="54" t="str">
        <f t="shared" si="1"/>
        <v/>
      </c>
      <c r="Q40" s="53" t="str">
        <f>IF(C40="","",VLOOKUP($C$3&amp;$A40,'Data Induk Pegawai'!$A:$Z,Q$6,FALSE))</f>
        <v/>
      </c>
      <c r="R40" s="51" t="str">
        <f t="shared" ca="1" si="2"/>
        <v/>
      </c>
      <c r="S40" s="51" t="str">
        <f t="shared" si="3"/>
        <v/>
      </c>
      <c r="T40" s="123" t="str">
        <f t="shared" si="4"/>
        <v/>
      </c>
      <c r="U40" s="123" t="str">
        <f t="shared" si="5"/>
        <v>-</v>
      </c>
      <c r="V40" s="123" t="str">
        <f>U40&amp;COUNTIFS(U$9:U40,U40)</f>
        <v>-26</v>
      </c>
      <c r="W40" s="123" t="str">
        <f t="shared" si="6"/>
        <v>-</v>
      </c>
      <c r="X40" s="123" t="str">
        <f t="shared" si="7"/>
        <v>-</v>
      </c>
      <c r="Y40" s="9" t="str">
        <f>IFERROR(IFERROR(IFERROR(IFERROR(VLOOKUP(Y$8&amp;"GTY"&amp;$Q40,'Draft SK'!$AE:$AF,2,FALSE),VLOOKUP(Y$8&amp;"PTY"&amp;$Q40,'Draft SK'!$AE:$AF,2,FALSE)),VLOOKUP(Y$8&amp;"GTT"&amp;$Q40,'Draft SK'!$AE:$AF,2,FALSE)),VLOOKUP(Y$8&amp;"PTT"&amp;$Q40,'Draft SK'!$AE:$AF,2,FALSE)),"")</f>
        <v/>
      </c>
    </row>
    <row r="41" spans="1:25" ht="15.5" x14ac:dyDescent="0.35">
      <c r="A41" s="51" t="str">
        <f t="shared" si="8"/>
        <v/>
      </c>
      <c r="B41" s="52" t="str">
        <f>IFERROR(VLOOKUP($C$3&amp;$A41,'Data Induk Pegawai'!$A:$Z,B$6,FALSE),"")</f>
        <v/>
      </c>
      <c r="C41" s="53" t="str">
        <f>IFERROR(VLOOKUP($C$3&amp;$A41,'Data Induk Pegawai'!$A:$Z,C$6,FALSE),"")</f>
        <v/>
      </c>
      <c r="D41" s="54" t="str">
        <f>IFERROR(VLOOKUP($C$3&amp;$A41,'Data Induk Pegawai'!$A:$Z,D$6,FALSE),"")</f>
        <v/>
      </c>
      <c r="E41" s="53" t="str">
        <f>IFERROR(VLOOKUP($C$3&amp;$A41,'Data Induk Pegawai'!$A:$Z,E$6,FALSE),"")</f>
        <v/>
      </c>
      <c r="F41" s="91" t="str">
        <f>IFERROR(VLOOKUP($C$3&amp;$A41,'Data Induk Pegawai'!$A:$Z,F$6,FALSE),"")</f>
        <v/>
      </c>
      <c r="G41" s="54" t="str">
        <f>IFERROR(VLOOKUP($C$3&amp;$A41,'Data Induk Pegawai'!$A:$Z,G$6,FALSE),"")</f>
        <v/>
      </c>
      <c r="H41" s="54" t="str">
        <f>IFERROR(VLOOKUP($C$3&amp;$A41,'Data Induk Pegawai'!$A:$Z,H$6,FALSE),"")</f>
        <v/>
      </c>
      <c r="I41" s="54" t="str">
        <f>IFERROR(VLOOKUP($C$3&amp;$A41,'Data Induk Pegawai'!$A:$Z,I$6,FALSE),"")</f>
        <v/>
      </c>
      <c r="J41" s="53" t="str">
        <f>IFERROR(VLOOKUP($C$3&amp;$A41,'Data Induk Pegawai'!$A:$Z,J$6,FALSE),"")</f>
        <v/>
      </c>
      <c r="K41" s="54" t="str">
        <f>IF(B41="","",VLOOKUP($C$3&amp;$A41,'Data Induk Pegawai'!$A:$Z,K$6,FALSE))</f>
        <v/>
      </c>
      <c r="L41" s="54" t="str">
        <f>IF(B41="","",VLOOKUP($C$3&amp;$A41,'Data Induk Pegawai'!$A:$Z,L$6,FALSE))</f>
        <v/>
      </c>
      <c r="M41" s="54" t="str">
        <f>IFERROR(VLOOKUP("1GPTT"&amp;Q41,'Draft SK'!AB:AG,6,FALSE),"")</f>
        <v/>
      </c>
      <c r="N41" s="54" t="str">
        <f>IFERROR(VLOOKUP("1GPTT"&amp;Q41,'Draft SK'!AB:AG,5,FALSE),"")</f>
        <v/>
      </c>
      <c r="O41" s="54" t="str">
        <f t="shared" si="0"/>
        <v/>
      </c>
      <c r="P41" s="54" t="str">
        <f t="shared" si="1"/>
        <v/>
      </c>
      <c r="Q41" s="53" t="str">
        <f>IF(C41="","",VLOOKUP($C$3&amp;$A41,'Data Induk Pegawai'!$A:$Z,Q$6,FALSE))</f>
        <v/>
      </c>
      <c r="R41" s="51" t="str">
        <f t="shared" ca="1" si="2"/>
        <v/>
      </c>
      <c r="S41" s="51" t="str">
        <f t="shared" si="3"/>
        <v/>
      </c>
      <c r="T41" s="123" t="str">
        <f t="shared" si="4"/>
        <v/>
      </c>
      <c r="U41" s="123" t="str">
        <f t="shared" si="5"/>
        <v>-</v>
      </c>
      <c r="V41" s="123" t="str">
        <f>U41&amp;COUNTIFS(U$9:U41,U41)</f>
        <v>-27</v>
      </c>
      <c r="W41" s="123" t="str">
        <f t="shared" si="6"/>
        <v>-</v>
      </c>
      <c r="X41" s="123" t="str">
        <f t="shared" si="7"/>
        <v>-</v>
      </c>
      <c r="Y41" s="9" t="str">
        <f>IFERROR(IFERROR(IFERROR(IFERROR(VLOOKUP(Y$8&amp;"GTY"&amp;$Q41,'Draft SK'!$AE:$AF,2,FALSE),VLOOKUP(Y$8&amp;"PTY"&amp;$Q41,'Draft SK'!$AE:$AF,2,FALSE)),VLOOKUP(Y$8&amp;"GTT"&amp;$Q41,'Draft SK'!$AE:$AF,2,FALSE)),VLOOKUP(Y$8&amp;"PTT"&amp;$Q41,'Draft SK'!$AE:$AF,2,FALSE)),"")</f>
        <v/>
      </c>
    </row>
    <row r="42" spans="1:25" ht="15.5" x14ac:dyDescent="0.35">
      <c r="A42" s="51" t="str">
        <f t="shared" si="8"/>
        <v/>
      </c>
      <c r="B42" s="52" t="str">
        <f>IFERROR(VLOOKUP($C$3&amp;$A42,'Data Induk Pegawai'!$A:$Z,B$6,FALSE),"")</f>
        <v/>
      </c>
      <c r="C42" s="53" t="str">
        <f>IFERROR(VLOOKUP($C$3&amp;$A42,'Data Induk Pegawai'!$A:$Z,C$6,FALSE),"")</f>
        <v/>
      </c>
      <c r="D42" s="54" t="str">
        <f>IFERROR(VLOOKUP($C$3&amp;$A42,'Data Induk Pegawai'!$A:$Z,D$6,FALSE),"")</f>
        <v/>
      </c>
      <c r="E42" s="53" t="str">
        <f>IFERROR(VLOOKUP($C$3&amp;$A42,'Data Induk Pegawai'!$A:$Z,E$6,FALSE),"")</f>
        <v/>
      </c>
      <c r="F42" s="91" t="str">
        <f>IFERROR(VLOOKUP($C$3&amp;$A42,'Data Induk Pegawai'!$A:$Z,F$6,FALSE),"")</f>
        <v/>
      </c>
      <c r="G42" s="54" t="str">
        <f>IFERROR(VLOOKUP($C$3&amp;$A42,'Data Induk Pegawai'!$A:$Z,G$6,FALSE),"")</f>
        <v/>
      </c>
      <c r="H42" s="54" t="str">
        <f>IFERROR(VLOOKUP($C$3&amp;$A42,'Data Induk Pegawai'!$A:$Z,H$6,FALSE),"")</f>
        <v/>
      </c>
      <c r="I42" s="54" t="str">
        <f>IFERROR(VLOOKUP($C$3&amp;$A42,'Data Induk Pegawai'!$A:$Z,I$6,FALSE),"")</f>
        <v/>
      </c>
      <c r="J42" s="53" t="str">
        <f>IFERROR(VLOOKUP($C$3&amp;$A42,'Data Induk Pegawai'!$A:$Z,J$6,FALSE),"")</f>
        <v/>
      </c>
      <c r="K42" s="54" t="str">
        <f>IF(B42="","",VLOOKUP($C$3&amp;$A42,'Data Induk Pegawai'!$A:$Z,K$6,FALSE))</f>
        <v/>
      </c>
      <c r="L42" s="54" t="str">
        <f>IF(B42="","",VLOOKUP($C$3&amp;$A42,'Data Induk Pegawai'!$A:$Z,L$6,FALSE))</f>
        <v/>
      </c>
      <c r="M42" s="54" t="str">
        <f>IFERROR(VLOOKUP("1GPTT"&amp;Q42,'Draft SK'!AB:AG,6,FALSE),"")</f>
        <v/>
      </c>
      <c r="N42" s="54" t="str">
        <f>IFERROR(VLOOKUP("1GPTT"&amp;Q42,'Draft SK'!AB:AG,5,FALSE),"")</f>
        <v/>
      </c>
      <c r="O42" s="54" t="str">
        <f t="shared" si="0"/>
        <v/>
      </c>
      <c r="P42" s="54" t="str">
        <f t="shared" si="1"/>
        <v/>
      </c>
      <c r="Q42" s="53" t="str">
        <f>IF(C42="","",VLOOKUP($C$3&amp;$A42,'Data Induk Pegawai'!$A:$Z,Q$6,FALSE))</f>
        <v/>
      </c>
      <c r="R42" s="51" t="str">
        <f t="shared" ca="1" si="2"/>
        <v/>
      </c>
      <c r="S42" s="51" t="str">
        <f t="shared" si="3"/>
        <v/>
      </c>
      <c r="T42" s="123" t="str">
        <f t="shared" si="4"/>
        <v/>
      </c>
      <c r="U42" s="123" t="str">
        <f t="shared" si="5"/>
        <v>-</v>
      </c>
      <c r="V42" s="123" t="str">
        <f>U42&amp;COUNTIFS(U$9:U42,U42)</f>
        <v>-28</v>
      </c>
      <c r="W42" s="123" t="str">
        <f t="shared" si="6"/>
        <v>-</v>
      </c>
      <c r="X42" s="123" t="str">
        <f t="shared" si="7"/>
        <v>-</v>
      </c>
      <c r="Y42" s="9" t="str">
        <f>IFERROR(IFERROR(IFERROR(IFERROR(VLOOKUP(Y$8&amp;"GTY"&amp;$Q42,'Draft SK'!$AE:$AF,2,FALSE),VLOOKUP(Y$8&amp;"PTY"&amp;$Q42,'Draft SK'!$AE:$AF,2,FALSE)),VLOOKUP(Y$8&amp;"GTT"&amp;$Q42,'Draft SK'!$AE:$AF,2,FALSE)),VLOOKUP(Y$8&amp;"PTT"&amp;$Q42,'Draft SK'!$AE:$AF,2,FALSE)),"")</f>
        <v/>
      </c>
    </row>
    <row r="43" spans="1:25" ht="15.5" x14ac:dyDescent="0.35">
      <c r="A43" s="51" t="str">
        <f t="shared" si="8"/>
        <v/>
      </c>
      <c r="B43" s="52" t="str">
        <f>IFERROR(VLOOKUP($C$3&amp;$A43,'Data Induk Pegawai'!$A:$Z,B$6,FALSE),"")</f>
        <v/>
      </c>
      <c r="C43" s="53" t="str">
        <f>IFERROR(VLOOKUP($C$3&amp;$A43,'Data Induk Pegawai'!$A:$Z,C$6,FALSE),"")</f>
        <v/>
      </c>
      <c r="D43" s="54" t="str">
        <f>IFERROR(VLOOKUP($C$3&amp;$A43,'Data Induk Pegawai'!$A:$Z,D$6,FALSE),"")</f>
        <v/>
      </c>
      <c r="E43" s="53" t="str">
        <f>IFERROR(VLOOKUP($C$3&amp;$A43,'Data Induk Pegawai'!$A:$Z,E$6,FALSE),"")</f>
        <v/>
      </c>
      <c r="F43" s="91" t="str">
        <f>IFERROR(VLOOKUP($C$3&amp;$A43,'Data Induk Pegawai'!$A:$Z,F$6,FALSE),"")</f>
        <v/>
      </c>
      <c r="G43" s="54" t="str">
        <f>IFERROR(VLOOKUP($C$3&amp;$A43,'Data Induk Pegawai'!$A:$Z,G$6,FALSE),"")</f>
        <v/>
      </c>
      <c r="H43" s="54" t="str">
        <f>IFERROR(VLOOKUP($C$3&amp;$A43,'Data Induk Pegawai'!$A:$Z,H$6,FALSE),"")</f>
        <v/>
      </c>
      <c r="I43" s="54" t="str">
        <f>IFERROR(VLOOKUP($C$3&amp;$A43,'Data Induk Pegawai'!$A:$Z,I$6,FALSE),"")</f>
        <v/>
      </c>
      <c r="J43" s="53" t="str">
        <f>IFERROR(VLOOKUP($C$3&amp;$A43,'Data Induk Pegawai'!$A:$Z,J$6,FALSE),"")</f>
        <v/>
      </c>
      <c r="K43" s="54" t="str">
        <f>IF(B43="","",VLOOKUP($C$3&amp;$A43,'Data Induk Pegawai'!$A:$Z,K$6,FALSE))</f>
        <v/>
      </c>
      <c r="L43" s="54" t="str">
        <f>IF(B43="","",VLOOKUP($C$3&amp;$A43,'Data Induk Pegawai'!$A:$Z,L$6,FALSE))</f>
        <v/>
      </c>
      <c r="M43" s="54" t="str">
        <f>IFERROR(VLOOKUP("1GPTT"&amp;Q43,'Draft SK'!AB:AG,6,FALSE),"")</f>
        <v/>
      </c>
      <c r="N43" s="54" t="str">
        <f>IFERROR(VLOOKUP("1GPTT"&amp;Q43,'Draft SK'!AB:AG,5,FALSE),"")</f>
        <v/>
      </c>
      <c r="O43" s="54" t="str">
        <f t="shared" si="0"/>
        <v/>
      </c>
      <c r="P43" s="54" t="str">
        <f t="shared" si="1"/>
        <v/>
      </c>
      <c r="Q43" s="53" t="str">
        <f>IF(C43="","",VLOOKUP($C$3&amp;$A43,'Data Induk Pegawai'!$A:$Z,Q$6,FALSE))</f>
        <v/>
      </c>
      <c r="R43" s="51" t="str">
        <f t="shared" ca="1" si="2"/>
        <v/>
      </c>
      <c r="S43" s="51" t="str">
        <f t="shared" si="3"/>
        <v/>
      </c>
      <c r="T43" s="123" t="str">
        <f t="shared" si="4"/>
        <v/>
      </c>
      <c r="U43" s="123" t="str">
        <f t="shared" si="5"/>
        <v>-</v>
      </c>
      <c r="V43" s="123" t="str">
        <f>U43&amp;COUNTIFS(U$9:U43,U43)</f>
        <v>-29</v>
      </c>
      <c r="W43" s="123" t="str">
        <f t="shared" si="6"/>
        <v>-</v>
      </c>
      <c r="X43" s="123" t="str">
        <f t="shared" si="7"/>
        <v>-</v>
      </c>
      <c r="Y43" s="9" t="str">
        <f>IFERROR(IFERROR(IFERROR(IFERROR(VLOOKUP(Y$8&amp;"GTY"&amp;$Q43,'Draft SK'!$AE:$AF,2,FALSE),VLOOKUP(Y$8&amp;"PTY"&amp;$Q43,'Draft SK'!$AE:$AF,2,FALSE)),VLOOKUP(Y$8&amp;"GTT"&amp;$Q43,'Draft SK'!$AE:$AF,2,FALSE)),VLOOKUP(Y$8&amp;"PTT"&amp;$Q43,'Draft SK'!$AE:$AF,2,FALSE)),"")</f>
        <v/>
      </c>
    </row>
    <row r="44" spans="1:25" ht="15.5" x14ac:dyDescent="0.35">
      <c r="A44" s="51" t="str">
        <f t="shared" si="8"/>
        <v/>
      </c>
      <c r="B44" s="52" t="str">
        <f>IFERROR(VLOOKUP($C$3&amp;$A44,'Data Induk Pegawai'!$A:$Z,B$6,FALSE),"")</f>
        <v/>
      </c>
      <c r="C44" s="53" t="str">
        <f>IFERROR(VLOOKUP($C$3&amp;$A44,'Data Induk Pegawai'!$A:$Z,C$6,FALSE),"")</f>
        <v/>
      </c>
      <c r="D44" s="54" t="str">
        <f>IFERROR(VLOOKUP($C$3&amp;$A44,'Data Induk Pegawai'!$A:$Z,D$6,FALSE),"")</f>
        <v/>
      </c>
      <c r="E44" s="53" t="str">
        <f>IFERROR(VLOOKUP($C$3&amp;$A44,'Data Induk Pegawai'!$A:$Z,E$6,FALSE),"")</f>
        <v/>
      </c>
      <c r="F44" s="91" t="str">
        <f>IFERROR(VLOOKUP($C$3&amp;$A44,'Data Induk Pegawai'!$A:$Z,F$6,FALSE),"")</f>
        <v/>
      </c>
      <c r="G44" s="54" t="str">
        <f>IFERROR(VLOOKUP($C$3&amp;$A44,'Data Induk Pegawai'!$A:$Z,G$6,FALSE),"")</f>
        <v/>
      </c>
      <c r="H44" s="54" t="str">
        <f>IFERROR(VLOOKUP($C$3&amp;$A44,'Data Induk Pegawai'!$A:$Z,H$6,FALSE),"")</f>
        <v/>
      </c>
      <c r="I44" s="54" t="str">
        <f>IFERROR(VLOOKUP($C$3&amp;$A44,'Data Induk Pegawai'!$A:$Z,I$6,FALSE),"")</f>
        <v/>
      </c>
      <c r="J44" s="53" t="str">
        <f>IFERROR(VLOOKUP($C$3&amp;$A44,'Data Induk Pegawai'!$A:$Z,J$6,FALSE),"")</f>
        <v/>
      </c>
      <c r="K44" s="54" t="str">
        <f>IF(B44="","",VLOOKUP($C$3&amp;$A44,'Data Induk Pegawai'!$A:$Z,K$6,FALSE))</f>
        <v/>
      </c>
      <c r="L44" s="54" t="str">
        <f>IF(B44="","",VLOOKUP($C$3&amp;$A44,'Data Induk Pegawai'!$A:$Z,L$6,FALSE))</f>
        <v/>
      </c>
      <c r="M44" s="54" t="str">
        <f>IFERROR(VLOOKUP("1GPTT"&amp;Q44,'Draft SK'!AB:AG,6,FALSE),"")</f>
        <v/>
      </c>
      <c r="N44" s="54" t="str">
        <f>IFERROR(VLOOKUP("1GPTT"&amp;Q44,'Draft SK'!AB:AG,5,FALSE),"")</f>
        <v/>
      </c>
      <c r="O44" s="54" t="str">
        <f t="shared" si="0"/>
        <v/>
      </c>
      <c r="P44" s="54" t="str">
        <f t="shared" si="1"/>
        <v/>
      </c>
      <c r="Q44" s="53" t="str">
        <f>IF(C44="","",VLOOKUP($C$3&amp;$A44,'Data Induk Pegawai'!$A:$Z,Q$6,FALSE))</f>
        <v/>
      </c>
      <c r="R44" s="51" t="str">
        <f t="shared" ca="1" si="2"/>
        <v/>
      </c>
      <c r="S44" s="51" t="str">
        <f t="shared" si="3"/>
        <v/>
      </c>
      <c r="T44" s="123" t="str">
        <f t="shared" si="4"/>
        <v/>
      </c>
      <c r="U44" s="123" t="str">
        <f t="shared" si="5"/>
        <v>-</v>
      </c>
      <c r="V44" s="123" t="str">
        <f>U44&amp;COUNTIFS(U$9:U44,U44)</f>
        <v>-30</v>
      </c>
      <c r="W44" s="123" t="str">
        <f t="shared" si="6"/>
        <v>-</v>
      </c>
      <c r="X44" s="123" t="str">
        <f t="shared" si="7"/>
        <v>-</v>
      </c>
      <c r="Y44" s="9" t="str">
        <f>IFERROR(IFERROR(IFERROR(IFERROR(VLOOKUP(Y$8&amp;"GTY"&amp;$Q44,'Draft SK'!$AE:$AF,2,FALSE),VLOOKUP(Y$8&amp;"PTY"&amp;$Q44,'Draft SK'!$AE:$AF,2,FALSE)),VLOOKUP(Y$8&amp;"GTT"&amp;$Q44,'Draft SK'!$AE:$AF,2,FALSE)),VLOOKUP(Y$8&amp;"PTT"&amp;$Q44,'Draft SK'!$AE:$AF,2,FALSE)),"")</f>
        <v/>
      </c>
    </row>
    <row r="45" spans="1:25" ht="15.5" x14ac:dyDescent="0.35">
      <c r="A45" s="51" t="str">
        <f t="shared" si="8"/>
        <v/>
      </c>
      <c r="B45" s="52" t="str">
        <f>IFERROR(VLOOKUP($C$3&amp;$A45,'Data Induk Pegawai'!$A:$Z,B$6,FALSE),"")</f>
        <v/>
      </c>
      <c r="C45" s="53" t="str">
        <f>IFERROR(VLOOKUP($C$3&amp;$A45,'Data Induk Pegawai'!$A:$Z,C$6,FALSE),"")</f>
        <v/>
      </c>
      <c r="D45" s="54" t="str">
        <f>IFERROR(VLOOKUP($C$3&amp;$A45,'Data Induk Pegawai'!$A:$Z,D$6,FALSE),"")</f>
        <v/>
      </c>
      <c r="E45" s="53" t="str">
        <f>IFERROR(VLOOKUP($C$3&amp;$A45,'Data Induk Pegawai'!$A:$Z,E$6,FALSE),"")</f>
        <v/>
      </c>
      <c r="F45" s="91" t="str">
        <f>IFERROR(VLOOKUP($C$3&amp;$A45,'Data Induk Pegawai'!$A:$Z,F$6,FALSE),"")</f>
        <v/>
      </c>
      <c r="G45" s="54" t="str">
        <f>IFERROR(VLOOKUP($C$3&amp;$A45,'Data Induk Pegawai'!$A:$Z,G$6,FALSE),"")</f>
        <v/>
      </c>
      <c r="H45" s="54" t="str">
        <f>IFERROR(VLOOKUP($C$3&amp;$A45,'Data Induk Pegawai'!$A:$Z,H$6,FALSE),"")</f>
        <v/>
      </c>
      <c r="I45" s="54" t="str">
        <f>IFERROR(VLOOKUP($C$3&amp;$A45,'Data Induk Pegawai'!$A:$Z,I$6,FALSE),"")</f>
        <v/>
      </c>
      <c r="J45" s="53" t="str">
        <f>IFERROR(VLOOKUP($C$3&amp;$A45,'Data Induk Pegawai'!$A:$Z,J$6,FALSE),"")</f>
        <v/>
      </c>
      <c r="K45" s="54" t="str">
        <f>IF(B45="","",VLOOKUP($C$3&amp;$A45,'Data Induk Pegawai'!$A:$Z,K$6,FALSE))</f>
        <v/>
      </c>
      <c r="L45" s="54" t="str">
        <f>IF(B45="","",VLOOKUP($C$3&amp;$A45,'Data Induk Pegawai'!$A:$Z,L$6,FALSE))</f>
        <v/>
      </c>
      <c r="M45" s="54" t="str">
        <f>IFERROR(VLOOKUP("1GPTT"&amp;Q45,'Draft SK'!AB:AG,6,FALSE),"")</f>
        <v/>
      </c>
      <c r="N45" s="54" t="str">
        <f>IFERROR(VLOOKUP("1GPTT"&amp;Q45,'Draft SK'!AB:AG,5,FALSE),"")</f>
        <v/>
      </c>
      <c r="O45" s="54" t="str">
        <f t="shared" si="0"/>
        <v/>
      </c>
      <c r="P45" s="54" t="str">
        <f t="shared" si="1"/>
        <v/>
      </c>
      <c r="Q45" s="53" t="str">
        <f>IF(C45="","",VLOOKUP($C$3&amp;$A45,'Data Induk Pegawai'!$A:$Z,Q$6,FALSE))</f>
        <v/>
      </c>
      <c r="R45" s="51" t="str">
        <f t="shared" ca="1" si="2"/>
        <v/>
      </c>
      <c r="S45" s="51" t="str">
        <f t="shared" si="3"/>
        <v/>
      </c>
      <c r="T45" s="123" t="str">
        <f t="shared" si="4"/>
        <v/>
      </c>
      <c r="U45" s="123" t="str">
        <f t="shared" si="5"/>
        <v>-</v>
      </c>
      <c r="V45" s="123" t="str">
        <f>U45&amp;COUNTIFS(U$9:U45,U45)</f>
        <v>-31</v>
      </c>
      <c r="W45" s="123" t="str">
        <f t="shared" si="6"/>
        <v>-</v>
      </c>
      <c r="X45" s="123" t="str">
        <f t="shared" si="7"/>
        <v>-</v>
      </c>
      <c r="Y45" s="9" t="str">
        <f>IFERROR(IFERROR(IFERROR(IFERROR(VLOOKUP(Y$8&amp;"GTY"&amp;$Q45,'Draft SK'!$AE:$AF,2,FALSE),VLOOKUP(Y$8&amp;"PTY"&amp;$Q45,'Draft SK'!$AE:$AF,2,FALSE)),VLOOKUP(Y$8&amp;"GTT"&amp;$Q45,'Draft SK'!$AE:$AF,2,FALSE)),VLOOKUP(Y$8&amp;"PTT"&amp;$Q45,'Draft SK'!$AE:$AF,2,FALSE)),"")</f>
        <v/>
      </c>
    </row>
    <row r="46" spans="1:25" ht="15.5" x14ac:dyDescent="0.35">
      <c r="A46" s="51" t="str">
        <f t="shared" si="8"/>
        <v/>
      </c>
      <c r="B46" s="52" t="str">
        <f>IFERROR(VLOOKUP($C$3&amp;$A46,'Data Induk Pegawai'!$A:$Z,B$6,FALSE),"")</f>
        <v/>
      </c>
      <c r="C46" s="53" t="str">
        <f>IFERROR(VLOOKUP($C$3&amp;$A46,'Data Induk Pegawai'!$A:$Z,C$6,FALSE),"")</f>
        <v/>
      </c>
      <c r="D46" s="54" t="str">
        <f>IFERROR(VLOOKUP($C$3&amp;$A46,'Data Induk Pegawai'!$A:$Z,D$6,FALSE),"")</f>
        <v/>
      </c>
      <c r="E46" s="53" t="str">
        <f>IFERROR(VLOOKUP($C$3&amp;$A46,'Data Induk Pegawai'!$A:$Z,E$6,FALSE),"")</f>
        <v/>
      </c>
      <c r="F46" s="91" t="str">
        <f>IFERROR(VLOOKUP($C$3&amp;$A46,'Data Induk Pegawai'!$A:$Z,F$6,FALSE),"")</f>
        <v/>
      </c>
      <c r="G46" s="54" t="str">
        <f>IFERROR(VLOOKUP($C$3&amp;$A46,'Data Induk Pegawai'!$A:$Z,G$6,FALSE),"")</f>
        <v/>
      </c>
      <c r="H46" s="54" t="str">
        <f>IFERROR(VLOOKUP($C$3&amp;$A46,'Data Induk Pegawai'!$A:$Z,H$6,FALSE),"")</f>
        <v/>
      </c>
      <c r="I46" s="54" t="str">
        <f>IFERROR(VLOOKUP($C$3&amp;$A46,'Data Induk Pegawai'!$A:$Z,I$6,FALSE),"")</f>
        <v/>
      </c>
      <c r="J46" s="53" t="str">
        <f>IFERROR(VLOOKUP($C$3&amp;$A46,'Data Induk Pegawai'!$A:$Z,J$6,FALSE),"")</f>
        <v/>
      </c>
      <c r="K46" s="54" t="str">
        <f>IF(B46="","",VLOOKUP($C$3&amp;$A46,'Data Induk Pegawai'!$A:$Z,K$6,FALSE))</f>
        <v/>
      </c>
      <c r="L46" s="54" t="str">
        <f>IF(B46="","",VLOOKUP($C$3&amp;$A46,'Data Induk Pegawai'!$A:$Z,L$6,FALSE))</f>
        <v/>
      </c>
      <c r="M46" s="54" t="str">
        <f>IFERROR(VLOOKUP("1GPTT"&amp;Q46,'Draft SK'!AB:AG,6,FALSE),"")</f>
        <v/>
      </c>
      <c r="N46" s="54" t="str">
        <f>IFERROR(VLOOKUP("1GPTT"&amp;Q46,'Draft SK'!AB:AG,5,FALSE),"")</f>
        <v/>
      </c>
      <c r="O46" s="54" t="str">
        <f t="shared" si="0"/>
        <v/>
      </c>
      <c r="P46" s="54" t="str">
        <f t="shared" si="1"/>
        <v/>
      </c>
      <c r="Q46" s="53" t="str">
        <f>IF(C46="","",VLOOKUP($C$3&amp;$A46,'Data Induk Pegawai'!$A:$Z,Q$6,FALSE))</f>
        <v/>
      </c>
      <c r="R46" s="51" t="str">
        <f t="shared" ca="1" si="2"/>
        <v/>
      </c>
      <c r="S46" s="51" t="str">
        <f t="shared" si="3"/>
        <v/>
      </c>
      <c r="T46" s="123" t="str">
        <f t="shared" si="4"/>
        <v/>
      </c>
      <c r="U46" s="123" t="str">
        <f t="shared" si="5"/>
        <v>-</v>
      </c>
      <c r="V46" s="123" t="str">
        <f>U46&amp;COUNTIFS(U$9:U46,U46)</f>
        <v>-32</v>
      </c>
      <c r="W46" s="123" t="str">
        <f t="shared" si="6"/>
        <v>-</v>
      </c>
      <c r="X46" s="123" t="str">
        <f t="shared" si="7"/>
        <v>-</v>
      </c>
      <c r="Y46" s="9" t="str">
        <f>IFERROR(IFERROR(IFERROR(IFERROR(VLOOKUP(Y$8&amp;"GTY"&amp;$Q46,'Draft SK'!$AE:$AF,2,FALSE),VLOOKUP(Y$8&amp;"PTY"&amp;$Q46,'Draft SK'!$AE:$AF,2,FALSE)),VLOOKUP(Y$8&amp;"GTT"&amp;$Q46,'Draft SK'!$AE:$AF,2,FALSE)),VLOOKUP(Y$8&amp;"PTT"&amp;$Q46,'Draft SK'!$AE:$AF,2,FALSE)),"")</f>
        <v/>
      </c>
    </row>
    <row r="47" spans="1:25" ht="15.5" x14ac:dyDescent="0.35">
      <c r="A47" s="51" t="str">
        <f t="shared" si="8"/>
        <v/>
      </c>
      <c r="B47" s="52" t="str">
        <f>IFERROR(VLOOKUP($C$3&amp;$A47,'Data Induk Pegawai'!$A:$Z,B$6,FALSE),"")</f>
        <v/>
      </c>
      <c r="C47" s="53" t="str">
        <f>IFERROR(VLOOKUP($C$3&amp;$A47,'Data Induk Pegawai'!$A:$Z,C$6,FALSE),"")</f>
        <v/>
      </c>
      <c r="D47" s="54" t="str">
        <f>IFERROR(VLOOKUP($C$3&amp;$A47,'Data Induk Pegawai'!$A:$Z,D$6,FALSE),"")</f>
        <v/>
      </c>
      <c r="E47" s="53" t="str">
        <f>IFERROR(VLOOKUP($C$3&amp;$A47,'Data Induk Pegawai'!$A:$Z,E$6,FALSE),"")</f>
        <v/>
      </c>
      <c r="F47" s="91" t="str">
        <f>IFERROR(VLOOKUP($C$3&amp;$A47,'Data Induk Pegawai'!$A:$Z,F$6,FALSE),"")</f>
        <v/>
      </c>
      <c r="G47" s="54" t="str">
        <f>IFERROR(VLOOKUP($C$3&amp;$A47,'Data Induk Pegawai'!$A:$Z,G$6,FALSE),"")</f>
        <v/>
      </c>
      <c r="H47" s="54" t="str">
        <f>IFERROR(VLOOKUP($C$3&amp;$A47,'Data Induk Pegawai'!$A:$Z,H$6,FALSE),"")</f>
        <v/>
      </c>
      <c r="I47" s="54" t="str">
        <f>IFERROR(VLOOKUP($C$3&amp;$A47,'Data Induk Pegawai'!$A:$Z,I$6,FALSE),"")</f>
        <v/>
      </c>
      <c r="J47" s="53" t="str">
        <f>IFERROR(VLOOKUP($C$3&amp;$A47,'Data Induk Pegawai'!$A:$Z,J$6,FALSE),"")</f>
        <v/>
      </c>
      <c r="K47" s="54" t="str">
        <f>IF(B47="","",VLOOKUP($C$3&amp;$A47,'Data Induk Pegawai'!$A:$Z,K$6,FALSE))</f>
        <v/>
      </c>
      <c r="L47" s="54" t="str">
        <f>IF(B47="","",VLOOKUP($C$3&amp;$A47,'Data Induk Pegawai'!$A:$Z,L$6,FALSE))</f>
        <v/>
      </c>
      <c r="M47" s="54" t="str">
        <f>IFERROR(VLOOKUP("1GPTT"&amp;Q47,'Draft SK'!AB:AG,6,FALSE),"")</f>
        <v/>
      </c>
      <c r="N47" s="54" t="str">
        <f>IFERROR(VLOOKUP("1GPTT"&amp;Q47,'Draft SK'!AB:AG,5,FALSE),"")</f>
        <v/>
      </c>
      <c r="O47" s="54" t="str">
        <f t="shared" si="0"/>
        <v/>
      </c>
      <c r="P47" s="54" t="str">
        <f t="shared" si="1"/>
        <v/>
      </c>
      <c r="Q47" s="53" t="str">
        <f>IF(C47="","",VLOOKUP($C$3&amp;$A47,'Data Induk Pegawai'!$A:$Z,Q$6,FALSE))</f>
        <v/>
      </c>
      <c r="R47" s="51" t="str">
        <f t="shared" ca="1" si="2"/>
        <v/>
      </c>
      <c r="S47" s="51" t="str">
        <f t="shared" si="3"/>
        <v/>
      </c>
      <c r="T47" s="123" t="str">
        <f t="shared" si="4"/>
        <v/>
      </c>
      <c r="U47" s="123" t="str">
        <f t="shared" si="5"/>
        <v>-</v>
      </c>
      <c r="V47" s="123" t="str">
        <f>U47&amp;COUNTIFS(U$9:U47,U47)</f>
        <v>-33</v>
      </c>
      <c r="W47" s="123" t="str">
        <f t="shared" si="6"/>
        <v>-</v>
      </c>
      <c r="X47" s="123" t="str">
        <f t="shared" si="7"/>
        <v>-</v>
      </c>
      <c r="Y47" s="9" t="str">
        <f>IFERROR(IFERROR(IFERROR(IFERROR(VLOOKUP(Y$8&amp;"GTY"&amp;$Q47,'Draft SK'!$AE:$AF,2,FALSE),VLOOKUP(Y$8&amp;"PTY"&amp;$Q47,'Draft SK'!$AE:$AF,2,FALSE)),VLOOKUP(Y$8&amp;"GTT"&amp;$Q47,'Draft SK'!$AE:$AF,2,FALSE)),VLOOKUP(Y$8&amp;"PTT"&amp;$Q47,'Draft SK'!$AE:$AF,2,FALSE)),"")</f>
        <v/>
      </c>
    </row>
    <row r="48" spans="1:25" ht="15.5" x14ac:dyDescent="0.35">
      <c r="A48" s="51" t="str">
        <f t="shared" si="8"/>
        <v/>
      </c>
      <c r="B48" s="52" t="str">
        <f>IFERROR(VLOOKUP($C$3&amp;$A48,'Data Induk Pegawai'!$A:$Z,B$6,FALSE),"")</f>
        <v/>
      </c>
      <c r="C48" s="53" t="str">
        <f>IFERROR(VLOOKUP($C$3&amp;$A48,'Data Induk Pegawai'!$A:$Z,C$6,FALSE),"")</f>
        <v/>
      </c>
      <c r="D48" s="54" t="str">
        <f>IFERROR(VLOOKUP($C$3&amp;$A48,'Data Induk Pegawai'!$A:$Z,D$6,FALSE),"")</f>
        <v/>
      </c>
      <c r="E48" s="53" t="str">
        <f>IFERROR(VLOOKUP($C$3&amp;$A48,'Data Induk Pegawai'!$A:$Z,E$6,FALSE),"")</f>
        <v/>
      </c>
      <c r="F48" s="91" t="str">
        <f>IFERROR(VLOOKUP($C$3&amp;$A48,'Data Induk Pegawai'!$A:$Z,F$6,FALSE),"")</f>
        <v/>
      </c>
      <c r="G48" s="54" t="str">
        <f>IFERROR(VLOOKUP($C$3&amp;$A48,'Data Induk Pegawai'!$A:$Z,G$6,FALSE),"")</f>
        <v/>
      </c>
      <c r="H48" s="54" t="str">
        <f>IFERROR(VLOOKUP($C$3&amp;$A48,'Data Induk Pegawai'!$A:$Z,H$6,FALSE),"")</f>
        <v/>
      </c>
      <c r="I48" s="54" t="str">
        <f>IFERROR(VLOOKUP($C$3&amp;$A48,'Data Induk Pegawai'!$A:$Z,I$6,FALSE),"")</f>
        <v/>
      </c>
      <c r="J48" s="53" t="str">
        <f>IFERROR(VLOOKUP($C$3&amp;$A48,'Data Induk Pegawai'!$A:$Z,J$6,FALSE),"")</f>
        <v/>
      </c>
      <c r="K48" s="54" t="str">
        <f>IF(B48="","",VLOOKUP($C$3&amp;$A48,'Data Induk Pegawai'!$A:$Z,K$6,FALSE))</f>
        <v/>
      </c>
      <c r="L48" s="54" t="str">
        <f>IF(B48="","",VLOOKUP($C$3&amp;$A48,'Data Induk Pegawai'!$A:$Z,L$6,FALSE))</f>
        <v/>
      </c>
      <c r="M48" s="54" t="str">
        <f>IFERROR(VLOOKUP("1GPTT"&amp;Q48,'Draft SK'!AB:AG,6,FALSE),"")</f>
        <v/>
      </c>
      <c r="N48" s="54" t="str">
        <f>IFERROR(VLOOKUP("1GPTT"&amp;Q48,'Draft SK'!AB:AG,5,FALSE),"")</f>
        <v/>
      </c>
      <c r="O48" s="54" t="str">
        <f t="shared" si="0"/>
        <v/>
      </c>
      <c r="P48" s="54" t="str">
        <f t="shared" si="1"/>
        <v/>
      </c>
      <c r="Q48" s="53" t="str">
        <f>IF(C48="","",VLOOKUP($C$3&amp;$A48,'Data Induk Pegawai'!$A:$Z,Q$6,FALSE))</f>
        <v/>
      </c>
      <c r="R48" s="51" t="str">
        <f t="shared" ca="1" si="2"/>
        <v/>
      </c>
      <c r="S48" s="51" t="str">
        <f t="shared" si="3"/>
        <v/>
      </c>
      <c r="T48" s="123" t="str">
        <f t="shared" si="4"/>
        <v/>
      </c>
      <c r="U48" s="123" t="str">
        <f t="shared" si="5"/>
        <v>-</v>
      </c>
      <c r="V48" s="123" t="str">
        <f>U48&amp;COUNTIFS(U$9:U48,U48)</f>
        <v>-34</v>
      </c>
      <c r="W48" s="123" t="str">
        <f t="shared" si="6"/>
        <v>-</v>
      </c>
      <c r="X48" s="123" t="str">
        <f t="shared" si="7"/>
        <v>-</v>
      </c>
      <c r="Y48" s="9" t="str">
        <f>IFERROR(IFERROR(IFERROR(IFERROR(VLOOKUP(Y$8&amp;"GTY"&amp;$Q48,'Draft SK'!$AE:$AF,2,FALSE),VLOOKUP(Y$8&amp;"PTY"&amp;$Q48,'Draft SK'!$AE:$AF,2,FALSE)),VLOOKUP(Y$8&amp;"GTT"&amp;$Q48,'Draft SK'!$AE:$AF,2,FALSE)),VLOOKUP(Y$8&amp;"PTT"&amp;$Q48,'Draft SK'!$AE:$AF,2,FALSE)),"")</f>
        <v/>
      </c>
    </row>
    <row r="49" spans="1:25" ht="15.5" x14ac:dyDescent="0.35">
      <c r="A49" s="51" t="str">
        <f t="shared" si="8"/>
        <v/>
      </c>
      <c r="B49" s="52" t="str">
        <f>IFERROR(VLOOKUP($C$3&amp;$A49,'Data Induk Pegawai'!$A:$Z,B$6,FALSE),"")</f>
        <v/>
      </c>
      <c r="C49" s="53" t="str">
        <f>IFERROR(VLOOKUP($C$3&amp;$A49,'Data Induk Pegawai'!$A:$Z,C$6,FALSE),"")</f>
        <v/>
      </c>
      <c r="D49" s="54" t="str">
        <f>IFERROR(VLOOKUP($C$3&amp;$A49,'Data Induk Pegawai'!$A:$Z,D$6,FALSE),"")</f>
        <v/>
      </c>
      <c r="E49" s="53" t="str">
        <f>IFERROR(VLOOKUP($C$3&amp;$A49,'Data Induk Pegawai'!$A:$Z,E$6,FALSE),"")</f>
        <v/>
      </c>
      <c r="F49" s="91" t="str">
        <f>IFERROR(VLOOKUP($C$3&amp;$A49,'Data Induk Pegawai'!$A:$Z,F$6,FALSE),"")</f>
        <v/>
      </c>
      <c r="G49" s="54" t="str">
        <f>IFERROR(VLOOKUP($C$3&amp;$A49,'Data Induk Pegawai'!$A:$Z,G$6,FALSE),"")</f>
        <v/>
      </c>
      <c r="H49" s="54" t="str">
        <f>IFERROR(VLOOKUP($C$3&amp;$A49,'Data Induk Pegawai'!$A:$Z,H$6,FALSE),"")</f>
        <v/>
      </c>
      <c r="I49" s="54" t="str">
        <f>IFERROR(VLOOKUP($C$3&amp;$A49,'Data Induk Pegawai'!$A:$Z,I$6,FALSE),"")</f>
        <v/>
      </c>
      <c r="J49" s="53" t="str">
        <f>IFERROR(VLOOKUP($C$3&amp;$A49,'Data Induk Pegawai'!$A:$Z,J$6,FALSE),"")</f>
        <v/>
      </c>
      <c r="K49" s="54" t="str">
        <f>IF(B49="","",VLOOKUP($C$3&amp;$A49,'Data Induk Pegawai'!$A:$Z,K$6,FALSE))</f>
        <v/>
      </c>
      <c r="L49" s="54" t="str">
        <f>IF(B49="","",VLOOKUP($C$3&amp;$A49,'Data Induk Pegawai'!$A:$Z,L$6,FALSE))</f>
        <v/>
      </c>
      <c r="M49" s="54" t="str">
        <f>IFERROR(VLOOKUP("1GPTT"&amp;Q49,'Draft SK'!AB:AG,6,FALSE),"")</f>
        <v/>
      </c>
      <c r="N49" s="54" t="str">
        <f>IFERROR(VLOOKUP("1GPTT"&amp;Q49,'Draft SK'!AB:AG,5,FALSE),"")</f>
        <v/>
      </c>
      <c r="O49" s="54" t="str">
        <f t="shared" si="0"/>
        <v/>
      </c>
      <c r="P49" s="54" t="str">
        <f t="shared" si="1"/>
        <v/>
      </c>
      <c r="Q49" s="53" t="str">
        <f>IF(C49="","",VLOOKUP($C$3&amp;$A49,'Data Induk Pegawai'!$A:$Z,Q$6,FALSE))</f>
        <v/>
      </c>
      <c r="R49" s="51" t="str">
        <f t="shared" ca="1" si="2"/>
        <v/>
      </c>
      <c r="S49" s="51" t="str">
        <f t="shared" si="3"/>
        <v/>
      </c>
      <c r="T49" s="123" t="str">
        <f t="shared" si="4"/>
        <v/>
      </c>
      <c r="U49" s="123" t="str">
        <f t="shared" si="5"/>
        <v>-</v>
      </c>
      <c r="V49" s="123" t="str">
        <f>U49&amp;COUNTIFS(U$9:U49,U49)</f>
        <v>-35</v>
      </c>
      <c r="W49" s="123" t="str">
        <f t="shared" si="6"/>
        <v>-</v>
      </c>
      <c r="X49" s="123" t="str">
        <f t="shared" si="7"/>
        <v>-</v>
      </c>
      <c r="Y49" s="9" t="str">
        <f>IFERROR(IFERROR(IFERROR(IFERROR(VLOOKUP(Y$8&amp;"GTY"&amp;$Q49,'Draft SK'!$AE:$AF,2,FALSE),VLOOKUP(Y$8&amp;"PTY"&amp;$Q49,'Draft SK'!$AE:$AF,2,FALSE)),VLOOKUP(Y$8&amp;"GTT"&amp;$Q49,'Draft SK'!$AE:$AF,2,FALSE)),VLOOKUP(Y$8&amp;"PTT"&amp;$Q49,'Draft SK'!$AE:$AF,2,FALSE)),"")</f>
        <v/>
      </c>
    </row>
    <row r="50" spans="1:25" ht="15.5" x14ac:dyDescent="0.35">
      <c r="A50" s="51" t="str">
        <f t="shared" si="8"/>
        <v/>
      </c>
      <c r="B50" s="52" t="str">
        <f>IFERROR(VLOOKUP($C$3&amp;$A50,'Data Induk Pegawai'!$A:$Z,B$6,FALSE),"")</f>
        <v/>
      </c>
      <c r="C50" s="53" t="str">
        <f>IFERROR(VLOOKUP($C$3&amp;$A50,'Data Induk Pegawai'!$A:$Z,C$6,FALSE),"")</f>
        <v/>
      </c>
      <c r="D50" s="54" t="str">
        <f>IFERROR(VLOOKUP($C$3&amp;$A50,'Data Induk Pegawai'!$A:$Z,D$6,FALSE),"")</f>
        <v/>
      </c>
      <c r="E50" s="53" t="str">
        <f>IFERROR(VLOOKUP($C$3&amp;$A50,'Data Induk Pegawai'!$A:$Z,E$6,FALSE),"")</f>
        <v/>
      </c>
      <c r="F50" s="91" t="str">
        <f>IFERROR(VLOOKUP($C$3&amp;$A50,'Data Induk Pegawai'!$A:$Z,F$6,FALSE),"")</f>
        <v/>
      </c>
      <c r="G50" s="54" t="str">
        <f>IFERROR(VLOOKUP($C$3&amp;$A50,'Data Induk Pegawai'!$A:$Z,G$6,FALSE),"")</f>
        <v/>
      </c>
      <c r="H50" s="54" t="str">
        <f>IFERROR(VLOOKUP($C$3&amp;$A50,'Data Induk Pegawai'!$A:$Z,H$6,FALSE),"")</f>
        <v/>
      </c>
      <c r="I50" s="54" t="str">
        <f>IFERROR(VLOOKUP($C$3&amp;$A50,'Data Induk Pegawai'!$A:$Z,I$6,FALSE),"")</f>
        <v/>
      </c>
      <c r="J50" s="53" t="str">
        <f>IFERROR(VLOOKUP($C$3&amp;$A50,'Data Induk Pegawai'!$A:$Z,J$6,FALSE),"")</f>
        <v/>
      </c>
      <c r="K50" s="54" t="str">
        <f>IF(B50="","",VLOOKUP($C$3&amp;$A50,'Data Induk Pegawai'!$A:$Z,K$6,FALSE))</f>
        <v/>
      </c>
      <c r="L50" s="54" t="str">
        <f>IF(B50="","",VLOOKUP($C$3&amp;$A50,'Data Induk Pegawai'!$A:$Z,L$6,FALSE))</f>
        <v/>
      </c>
      <c r="M50" s="54" t="str">
        <f>IFERROR(VLOOKUP("1GPTT"&amp;Q50,'Draft SK'!AB:AG,6,FALSE),"")</f>
        <v/>
      </c>
      <c r="N50" s="54" t="str">
        <f>IFERROR(VLOOKUP("1GPTT"&amp;Q50,'Draft SK'!AB:AG,5,FALSE),"")</f>
        <v/>
      </c>
      <c r="O50" s="54" t="str">
        <f t="shared" si="0"/>
        <v/>
      </c>
      <c r="P50" s="54" t="str">
        <f t="shared" si="1"/>
        <v/>
      </c>
      <c r="Q50" s="53" t="str">
        <f>IF(C50="","",VLOOKUP($C$3&amp;$A50,'Data Induk Pegawai'!$A:$Z,Q$6,FALSE))</f>
        <v/>
      </c>
      <c r="R50" s="51" t="str">
        <f t="shared" ca="1" si="2"/>
        <v/>
      </c>
      <c r="S50" s="51" t="str">
        <f t="shared" si="3"/>
        <v/>
      </c>
      <c r="T50" s="123" t="str">
        <f t="shared" si="4"/>
        <v/>
      </c>
      <c r="U50" s="123" t="str">
        <f t="shared" si="5"/>
        <v>-</v>
      </c>
      <c r="V50" s="123" t="str">
        <f>U50&amp;COUNTIFS(U$9:U50,U50)</f>
        <v>-36</v>
      </c>
      <c r="W50" s="123" t="str">
        <f t="shared" si="6"/>
        <v>-</v>
      </c>
      <c r="X50" s="123" t="str">
        <f t="shared" si="7"/>
        <v>-</v>
      </c>
      <c r="Y50" s="9" t="str">
        <f>IFERROR(IFERROR(IFERROR(IFERROR(VLOOKUP(Y$8&amp;"GTY"&amp;$Q50,'Draft SK'!$AE:$AF,2,FALSE),VLOOKUP(Y$8&amp;"PTY"&amp;$Q50,'Draft SK'!$AE:$AF,2,FALSE)),VLOOKUP(Y$8&amp;"GTT"&amp;$Q50,'Draft SK'!$AE:$AF,2,FALSE)),VLOOKUP(Y$8&amp;"PTT"&amp;$Q50,'Draft SK'!$AE:$AF,2,FALSE)),"")</f>
        <v/>
      </c>
    </row>
    <row r="51" spans="1:25" ht="15.5" x14ac:dyDescent="0.35">
      <c r="A51" s="51" t="str">
        <f t="shared" si="8"/>
        <v/>
      </c>
      <c r="B51" s="52" t="str">
        <f>IFERROR(VLOOKUP($C$3&amp;$A51,'Data Induk Pegawai'!$A:$Z,B$6,FALSE),"")</f>
        <v/>
      </c>
      <c r="C51" s="53" t="str">
        <f>IFERROR(VLOOKUP($C$3&amp;$A51,'Data Induk Pegawai'!$A:$Z,C$6,FALSE),"")</f>
        <v/>
      </c>
      <c r="D51" s="54" t="str">
        <f>IFERROR(VLOOKUP($C$3&amp;$A51,'Data Induk Pegawai'!$A:$Z,D$6,FALSE),"")</f>
        <v/>
      </c>
      <c r="E51" s="53" t="str">
        <f>IFERROR(VLOOKUP($C$3&amp;$A51,'Data Induk Pegawai'!$A:$Z,E$6,FALSE),"")</f>
        <v/>
      </c>
      <c r="F51" s="91" t="str">
        <f>IFERROR(VLOOKUP($C$3&amp;$A51,'Data Induk Pegawai'!$A:$Z,F$6,FALSE),"")</f>
        <v/>
      </c>
      <c r="G51" s="54" t="str">
        <f>IFERROR(VLOOKUP($C$3&amp;$A51,'Data Induk Pegawai'!$A:$Z,G$6,FALSE),"")</f>
        <v/>
      </c>
      <c r="H51" s="54" t="str">
        <f>IFERROR(VLOOKUP($C$3&amp;$A51,'Data Induk Pegawai'!$A:$Z,H$6,FALSE),"")</f>
        <v/>
      </c>
      <c r="I51" s="54" t="str">
        <f>IFERROR(VLOOKUP($C$3&amp;$A51,'Data Induk Pegawai'!$A:$Z,I$6,FALSE),"")</f>
        <v/>
      </c>
      <c r="J51" s="53" t="str">
        <f>IFERROR(VLOOKUP($C$3&amp;$A51,'Data Induk Pegawai'!$A:$Z,J$6,FALSE),"")</f>
        <v/>
      </c>
      <c r="K51" s="54" t="str">
        <f>IF(B51="","",VLOOKUP($C$3&amp;$A51,'Data Induk Pegawai'!$A:$Z,K$6,FALSE))</f>
        <v/>
      </c>
      <c r="L51" s="54" t="str">
        <f>IF(B51="","",VLOOKUP($C$3&amp;$A51,'Data Induk Pegawai'!$A:$Z,L$6,FALSE))</f>
        <v/>
      </c>
      <c r="M51" s="54" t="str">
        <f>IFERROR(VLOOKUP("1GPTT"&amp;Q51,'Draft SK'!AB:AG,6,FALSE),"")</f>
        <v/>
      </c>
      <c r="N51" s="54" t="str">
        <f>IFERROR(VLOOKUP("1GPTT"&amp;Q51,'Draft SK'!AB:AG,5,FALSE),"")</f>
        <v/>
      </c>
      <c r="O51" s="54" t="str">
        <f t="shared" si="0"/>
        <v/>
      </c>
      <c r="P51" s="54" t="str">
        <f t="shared" si="1"/>
        <v/>
      </c>
      <c r="Q51" s="53" t="str">
        <f>IF(C51="","",VLOOKUP($C$3&amp;$A51,'Data Induk Pegawai'!$A:$Z,Q$6,FALSE))</f>
        <v/>
      </c>
      <c r="R51" s="51" t="str">
        <f t="shared" ca="1" si="2"/>
        <v/>
      </c>
      <c r="S51" s="51" t="str">
        <f t="shared" si="3"/>
        <v/>
      </c>
      <c r="T51" s="123" t="str">
        <f t="shared" si="4"/>
        <v/>
      </c>
      <c r="U51" s="123" t="str">
        <f t="shared" si="5"/>
        <v>-</v>
      </c>
      <c r="V51" s="123" t="str">
        <f>U51&amp;COUNTIFS(U$9:U51,U51)</f>
        <v>-37</v>
      </c>
      <c r="W51" s="123" t="str">
        <f t="shared" si="6"/>
        <v>-</v>
      </c>
      <c r="X51" s="123" t="str">
        <f t="shared" si="7"/>
        <v>-</v>
      </c>
      <c r="Y51" s="9" t="str">
        <f>IFERROR(IFERROR(IFERROR(IFERROR(VLOOKUP(Y$8&amp;"GTY"&amp;$Q51,'Draft SK'!$AE:$AF,2,FALSE),VLOOKUP(Y$8&amp;"PTY"&amp;$Q51,'Draft SK'!$AE:$AF,2,FALSE)),VLOOKUP(Y$8&amp;"GTT"&amp;$Q51,'Draft SK'!$AE:$AF,2,FALSE)),VLOOKUP(Y$8&amp;"PTT"&amp;$Q51,'Draft SK'!$AE:$AF,2,FALSE)),"")</f>
        <v/>
      </c>
    </row>
    <row r="52" spans="1:25" ht="15.5" x14ac:dyDescent="0.35">
      <c r="A52" s="51" t="str">
        <f t="shared" si="8"/>
        <v/>
      </c>
      <c r="B52" s="52" t="str">
        <f>IFERROR(VLOOKUP($C$3&amp;$A52,'Data Induk Pegawai'!$A:$Z,B$6,FALSE),"")</f>
        <v/>
      </c>
      <c r="C52" s="53" t="str">
        <f>IFERROR(VLOOKUP($C$3&amp;$A52,'Data Induk Pegawai'!$A:$Z,C$6,FALSE),"")</f>
        <v/>
      </c>
      <c r="D52" s="54" t="str">
        <f>IFERROR(VLOOKUP($C$3&amp;$A52,'Data Induk Pegawai'!$A:$Z,D$6,FALSE),"")</f>
        <v/>
      </c>
      <c r="E52" s="53" t="str">
        <f>IFERROR(VLOOKUP($C$3&amp;$A52,'Data Induk Pegawai'!$A:$Z,E$6,FALSE),"")</f>
        <v/>
      </c>
      <c r="F52" s="91" t="str">
        <f>IFERROR(VLOOKUP($C$3&amp;$A52,'Data Induk Pegawai'!$A:$Z,F$6,FALSE),"")</f>
        <v/>
      </c>
      <c r="G52" s="54" t="str">
        <f>IFERROR(VLOOKUP($C$3&amp;$A52,'Data Induk Pegawai'!$A:$Z,G$6,FALSE),"")</f>
        <v/>
      </c>
      <c r="H52" s="54" t="str">
        <f>IFERROR(VLOOKUP($C$3&amp;$A52,'Data Induk Pegawai'!$A:$Z,H$6,FALSE),"")</f>
        <v/>
      </c>
      <c r="I52" s="54" t="str">
        <f>IFERROR(VLOOKUP($C$3&amp;$A52,'Data Induk Pegawai'!$A:$Z,I$6,FALSE),"")</f>
        <v/>
      </c>
      <c r="J52" s="53" t="str">
        <f>IFERROR(VLOOKUP($C$3&amp;$A52,'Data Induk Pegawai'!$A:$Z,J$6,FALSE),"")</f>
        <v/>
      </c>
      <c r="K52" s="54" t="str">
        <f>IF(B52="","",VLOOKUP($C$3&amp;$A52,'Data Induk Pegawai'!$A:$Z,K$6,FALSE))</f>
        <v/>
      </c>
      <c r="L52" s="54" t="str">
        <f>IF(B52="","",VLOOKUP($C$3&amp;$A52,'Data Induk Pegawai'!$A:$Z,L$6,FALSE))</f>
        <v/>
      </c>
      <c r="M52" s="54" t="str">
        <f>IFERROR(VLOOKUP("1GPTT"&amp;Q52,'Draft SK'!AB:AG,6,FALSE),"")</f>
        <v/>
      </c>
      <c r="N52" s="54" t="str">
        <f>IFERROR(VLOOKUP("1GPTT"&amp;Q52,'Draft SK'!AB:AG,5,FALSE),"")</f>
        <v/>
      </c>
      <c r="O52" s="54" t="str">
        <f t="shared" si="0"/>
        <v/>
      </c>
      <c r="P52" s="54" t="str">
        <f t="shared" si="1"/>
        <v/>
      </c>
      <c r="Q52" s="53" t="str">
        <f>IF(C52="","",VLOOKUP($C$3&amp;$A52,'Data Induk Pegawai'!$A:$Z,Q$6,FALSE))</f>
        <v/>
      </c>
      <c r="R52" s="51" t="str">
        <f t="shared" ca="1" si="2"/>
        <v/>
      </c>
      <c r="S52" s="51" t="str">
        <f t="shared" si="3"/>
        <v/>
      </c>
      <c r="T52" s="123" t="str">
        <f t="shared" si="4"/>
        <v/>
      </c>
      <c r="U52" s="123" t="str">
        <f t="shared" si="5"/>
        <v>-</v>
      </c>
      <c r="V52" s="123" t="str">
        <f>U52&amp;COUNTIFS(U$9:U52,U52)</f>
        <v>-38</v>
      </c>
      <c r="W52" s="123" t="str">
        <f t="shared" si="6"/>
        <v>-</v>
      </c>
      <c r="X52" s="123" t="str">
        <f t="shared" si="7"/>
        <v>-</v>
      </c>
      <c r="Y52" s="9" t="str">
        <f>IFERROR(IFERROR(IFERROR(IFERROR(VLOOKUP(Y$8&amp;"GTY"&amp;$Q52,'Draft SK'!$AE:$AF,2,FALSE),VLOOKUP(Y$8&amp;"PTY"&amp;$Q52,'Draft SK'!$AE:$AF,2,FALSE)),VLOOKUP(Y$8&amp;"GTT"&amp;$Q52,'Draft SK'!$AE:$AF,2,FALSE)),VLOOKUP(Y$8&amp;"PTT"&amp;$Q52,'Draft SK'!$AE:$AF,2,FALSE)),"")</f>
        <v/>
      </c>
    </row>
    <row r="53" spans="1:25" ht="15.5" x14ac:dyDescent="0.35">
      <c r="A53" s="51" t="str">
        <f t="shared" si="8"/>
        <v/>
      </c>
      <c r="B53" s="52" t="str">
        <f>IFERROR(VLOOKUP($C$3&amp;$A53,'Data Induk Pegawai'!$A:$Z,B$6,FALSE),"")</f>
        <v/>
      </c>
      <c r="C53" s="53" t="str">
        <f>IFERROR(VLOOKUP($C$3&amp;$A53,'Data Induk Pegawai'!$A:$Z,C$6,FALSE),"")</f>
        <v/>
      </c>
      <c r="D53" s="54" t="str">
        <f>IFERROR(VLOOKUP($C$3&amp;$A53,'Data Induk Pegawai'!$A:$Z,D$6,FALSE),"")</f>
        <v/>
      </c>
      <c r="E53" s="53" t="str">
        <f>IFERROR(VLOOKUP($C$3&amp;$A53,'Data Induk Pegawai'!$A:$Z,E$6,FALSE),"")</f>
        <v/>
      </c>
      <c r="F53" s="91" t="str">
        <f>IFERROR(VLOOKUP($C$3&amp;$A53,'Data Induk Pegawai'!$A:$Z,F$6,FALSE),"")</f>
        <v/>
      </c>
      <c r="G53" s="54" t="str">
        <f>IFERROR(VLOOKUP($C$3&amp;$A53,'Data Induk Pegawai'!$A:$Z,G$6,FALSE),"")</f>
        <v/>
      </c>
      <c r="H53" s="54" t="str">
        <f>IFERROR(VLOOKUP($C$3&amp;$A53,'Data Induk Pegawai'!$A:$Z,H$6,FALSE),"")</f>
        <v/>
      </c>
      <c r="I53" s="54" t="str">
        <f>IFERROR(VLOOKUP($C$3&amp;$A53,'Data Induk Pegawai'!$A:$Z,I$6,FALSE),"")</f>
        <v/>
      </c>
      <c r="J53" s="53" t="str">
        <f>IFERROR(VLOOKUP($C$3&amp;$A53,'Data Induk Pegawai'!$A:$Z,J$6,FALSE),"")</f>
        <v/>
      </c>
      <c r="K53" s="54" t="str">
        <f>IF(B53="","",VLOOKUP($C$3&amp;$A53,'Data Induk Pegawai'!$A:$Z,K$6,FALSE))</f>
        <v/>
      </c>
      <c r="L53" s="54" t="str">
        <f>IF(B53="","",VLOOKUP($C$3&amp;$A53,'Data Induk Pegawai'!$A:$Z,L$6,FALSE))</f>
        <v/>
      </c>
      <c r="M53" s="54" t="str">
        <f>IFERROR(VLOOKUP("1GPTT"&amp;Q53,'Draft SK'!AB:AG,6,FALSE),"")</f>
        <v/>
      </c>
      <c r="N53" s="54" t="str">
        <f>IFERROR(VLOOKUP("1GPTT"&amp;Q53,'Draft SK'!AB:AG,5,FALSE),"")</f>
        <v/>
      </c>
      <c r="O53" s="54" t="str">
        <f t="shared" si="0"/>
        <v/>
      </c>
      <c r="P53" s="54" t="str">
        <f t="shared" si="1"/>
        <v/>
      </c>
      <c r="Q53" s="53" t="str">
        <f>IF(C53="","",VLOOKUP($C$3&amp;$A53,'Data Induk Pegawai'!$A:$Z,Q$6,FALSE))</f>
        <v/>
      </c>
      <c r="R53" s="51" t="str">
        <f t="shared" ca="1" si="2"/>
        <v/>
      </c>
      <c r="S53" s="51" t="str">
        <f t="shared" si="3"/>
        <v/>
      </c>
      <c r="T53" s="123" t="str">
        <f t="shared" si="4"/>
        <v/>
      </c>
      <c r="U53" s="123" t="str">
        <f t="shared" si="5"/>
        <v>-</v>
      </c>
      <c r="V53" s="123" t="str">
        <f>U53&amp;COUNTIFS(U$9:U53,U53)</f>
        <v>-39</v>
      </c>
      <c r="W53" s="123" t="str">
        <f t="shared" si="6"/>
        <v>-</v>
      </c>
      <c r="X53" s="123" t="str">
        <f t="shared" si="7"/>
        <v>-</v>
      </c>
      <c r="Y53" s="9" t="str">
        <f>IFERROR(IFERROR(IFERROR(IFERROR(VLOOKUP(Y$8&amp;"GTY"&amp;$Q53,'Draft SK'!$AE:$AF,2,FALSE),VLOOKUP(Y$8&amp;"PTY"&amp;$Q53,'Draft SK'!$AE:$AF,2,FALSE)),VLOOKUP(Y$8&amp;"GTT"&amp;$Q53,'Draft SK'!$AE:$AF,2,FALSE)),VLOOKUP(Y$8&amp;"PTT"&amp;$Q53,'Draft SK'!$AE:$AF,2,FALSE)),"")</f>
        <v/>
      </c>
    </row>
    <row r="54" spans="1:25" ht="15.5" x14ac:dyDescent="0.35">
      <c r="A54" s="51" t="str">
        <f t="shared" si="8"/>
        <v/>
      </c>
      <c r="B54" s="52" t="str">
        <f>IFERROR(VLOOKUP($C$3&amp;$A54,'Data Induk Pegawai'!$A:$Z,B$6,FALSE),"")</f>
        <v/>
      </c>
      <c r="C54" s="53" t="str">
        <f>IFERROR(VLOOKUP($C$3&amp;$A54,'Data Induk Pegawai'!$A:$Z,C$6,FALSE),"")</f>
        <v/>
      </c>
      <c r="D54" s="54" t="str">
        <f>IFERROR(VLOOKUP($C$3&amp;$A54,'Data Induk Pegawai'!$A:$Z,D$6,FALSE),"")</f>
        <v/>
      </c>
      <c r="E54" s="53" t="str">
        <f>IFERROR(VLOOKUP($C$3&amp;$A54,'Data Induk Pegawai'!$A:$Z,E$6,FALSE),"")</f>
        <v/>
      </c>
      <c r="F54" s="91" t="str">
        <f>IFERROR(VLOOKUP($C$3&amp;$A54,'Data Induk Pegawai'!$A:$Z,F$6,FALSE),"")</f>
        <v/>
      </c>
      <c r="G54" s="54" t="str">
        <f>IFERROR(VLOOKUP($C$3&amp;$A54,'Data Induk Pegawai'!$A:$Z,G$6,FALSE),"")</f>
        <v/>
      </c>
      <c r="H54" s="54" t="str">
        <f>IFERROR(VLOOKUP($C$3&amp;$A54,'Data Induk Pegawai'!$A:$Z,H$6,FALSE),"")</f>
        <v/>
      </c>
      <c r="I54" s="54" t="str">
        <f>IFERROR(VLOOKUP($C$3&amp;$A54,'Data Induk Pegawai'!$A:$Z,I$6,FALSE),"")</f>
        <v/>
      </c>
      <c r="J54" s="53" t="str">
        <f>IFERROR(VLOOKUP($C$3&amp;$A54,'Data Induk Pegawai'!$A:$Z,J$6,FALSE),"")</f>
        <v/>
      </c>
      <c r="K54" s="54" t="str">
        <f>IF(B54="","",VLOOKUP($C$3&amp;$A54,'Data Induk Pegawai'!$A:$Z,K$6,FALSE))</f>
        <v/>
      </c>
      <c r="L54" s="54" t="str">
        <f>IF(B54="","",VLOOKUP($C$3&amp;$A54,'Data Induk Pegawai'!$A:$Z,L$6,FALSE))</f>
        <v/>
      </c>
      <c r="M54" s="54" t="str">
        <f>IFERROR(VLOOKUP("1GPTT"&amp;Q54,'Draft SK'!AB:AG,6,FALSE),"")</f>
        <v/>
      </c>
      <c r="N54" s="54" t="str">
        <f>IFERROR(VLOOKUP("1GPTT"&amp;Q54,'Draft SK'!AB:AG,5,FALSE),"")</f>
        <v/>
      </c>
      <c r="O54" s="54" t="str">
        <f t="shared" si="0"/>
        <v/>
      </c>
      <c r="P54" s="54" t="str">
        <f t="shared" si="1"/>
        <v/>
      </c>
      <c r="Q54" s="53" t="str">
        <f>IF(C54="","",VLOOKUP($C$3&amp;$A54,'Data Induk Pegawai'!$A:$Z,Q$6,FALSE))</f>
        <v/>
      </c>
      <c r="R54" s="51" t="str">
        <f t="shared" ca="1" si="2"/>
        <v/>
      </c>
      <c r="S54" s="51" t="str">
        <f t="shared" si="3"/>
        <v/>
      </c>
      <c r="T54" s="123" t="str">
        <f t="shared" si="4"/>
        <v/>
      </c>
      <c r="U54" s="123" t="str">
        <f t="shared" si="5"/>
        <v>-</v>
      </c>
      <c r="V54" s="123" t="str">
        <f>U54&amp;COUNTIFS(U$9:U54,U54)</f>
        <v>-40</v>
      </c>
      <c r="W54" s="123" t="str">
        <f t="shared" si="6"/>
        <v>-</v>
      </c>
      <c r="X54" s="123" t="str">
        <f t="shared" si="7"/>
        <v>-</v>
      </c>
      <c r="Y54" s="9" t="str">
        <f>IFERROR(IFERROR(IFERROR(IFERROR(VLOOKUP(Y$8&amp;"GTY"&amp;$Q54,'Draft SK'!$AE:$AF,2,FALSE),VLOOKUP(Y$8&amp;"PTY"&amp;$Q54,'Draft SK'!$AE:$AF,2,FALSE)),VLOOKUP(Y$8&amp;"GTT"&amp;$Q54,'Draft SK'!$AE:$AF,2,FALSE)),VLOOKUP(Y$8&amp;"PTT"&amp;$Q54,'Draft SK'!$AE:$AF,2,FALSE)),"")</f>
        <v/>
      </c>
    </row>
    <row r="55" spans="1:25" ht="15.5" x14ac:dyDescent="0.35">
      <c r="A55" s="51" t="str">
        <f t="shared" si="8"/>
        <v/>
      </c>
      <c r="B55" s="52" t="str">
        <f>IFERROR(VLOOKUP($C$3&amp;$A55,'Data Induk Pegawai'!$A:$Z,B$6,FALSE),"")</f>
        <v/>
      </c>
      <c r="C55" s="53" t="str">
        <f>IFERROR(VLOOKUP($C$3&amp;$A55,'Data Induk Pegawai'!$A:$Z,C$6,FALSE),"")</f>
        <v/>
      </c>
      <c r="D55" s="54" t="str">
        <f>IFERROR(VLOOKUP($C$3&amp;$A55,'Data Induk Pegawai'!$A:$Z,D$6,FALSE),"")</f>
        <v/>
      </c>
      <c r="E55" s="53" t="str">
        <f>IFERROR(VLOOKUP($C$3&amp;$A55,'Data Induk Pegawai'!$A:$Z,E$6,FALSE),"")</f>
        <v/>
      </c>
      <c r="F55" s="91" t="str">
        <f>IFERROR(VLOOKUP($C$3&amp;$A55,'Data Induk Pegawai'!$A:$Z,F$6,FALSE),"")</f>
        <v/>
      </c>
      <c r="G55" s="54" t="str">
        <f>IFERROR(VLOOKUP($C$3&amp;$A55,'Data Induk Pegawai'!$A:$Z,G$6,FALSE),"")</f>
        <v/>
      </c>
      <c r="H55" s="54" t="str">
        <f>IFERROR(VLOOKUP($C$3&amp;$A55,'Data Induk Pegawai'!$A:$Z,H$6,FALSE),"")</f>
        <v/>
      </c>
      <c r="I55" s="54" t="str">
        <f>IFERROR(VLOOKUP($C$3&amp;$A55,'Data Induk Pegawai'!$A:$Z,I$6,FALSE),"")</f>
        <v/>
      </c>
      <c r="J55" s="53" t="str">
        <f>IFERROR(VLOOKUP($C$3&amp;$A55,'Data Induk Pegawai'!$A:$Z,J$6,FALSE),"")</f>
        <v/>
      </c>
      <c r="K55" s="54" t="str">
        <f>IF(B55="","",VLOOKUP($C$3&amp;$A55,'Data Induk Pegawai'!$A:$Z,K$6,FALSE))</f>
        <v/>
      </c>
      <c r="L55" s="54" t="str">
        <f>IF(B55="","",VLOOKUP($C$3&amp;$A55,'Data Induk Pegawai'!$A:$Z,L$6,FALSE))</f>
        <v/>
      </c>
      <c r="M55" s="54" t="str">
        <f>IFERROR(VLOOKUP("1GPTT"&amp;Q55,'Draft SK'!AB:AG,6,FALSE),"")</f>
        <v/>
      </c>
      <c r="N55" s="54" t="str">
        <f>IFERROR(VLOOKUP("1GPTT"&amp;Q55,'Draft SK'!AB:AG,5,FALSE),"")</f>
        <v/>
      </c>
      <c r="O55" s="54" t="str">
        <f t="shared" si="0"/>
        <v/>
      </c>
      <c r="P55" s="54" t="str">
        <f t="shared" si="1"/>
        <v/>
      </c>
      <c r="Q55" s="53" t="str">
        <f>IF(C55="","",VLOOKUP($C$3&amp;$A55,'Data Induk Pegawai'!$A:$Z,Q$6,FALSE))</f>
        <v/>
      </c>
      <c r="R55" s="51" t="str">
        <f t="shared" ca="1" si="2"/>
        <v/>
      </c>
      <c r="S55" s="51" t="str">
        <f t="shared" si="3"/>
        <v/>
      </c>
      <c r="T55" s="123" t="str">
        <f t="shared" si="4"/>
        <v/>
      </c>
      <c r="U55" s="123" t="str">
        <f t="shared" si="5"/>
        <v>-</v>
      </c>
      <c r="V55" s="123" t="str">
        <f>U55&amp;COUNTIFS(U$9:U55,U55)</f>
        <v>-41</v>
      </c>
      <c r="W55" s="123" t="str">
        <f t="shared" si="6"/>
        <v>-</v>
      </c>
      <c r="X55" s="123" t="str">
        <f t="shared" si="7"/>
        <v>-</v>
      </c>
      <c r="Y55" s="9" t="str">
        <f>IFERROR(IFERROR(IFERROR(IFERROR(VLOOKUP(Y$8&amp;"GTY"&amp;$Q55,'Draft SK'!$AE:$AF,2,FALSE),VLOOKUP(Y$8&amp;"PTY"&amp;$Q55,'Draft SK'!$AE:$AF,2,FALSE)),VLOOKUP(Y$8&amp;"GTT"&amp;$Q55,'Draft SK'!$AE:$AF,2,FALSE)),VLOOKUP(Y$8&amp;"PTT"&amp;$Q55,'Draft SK'!$AE:$AF,2,FALSE)),"")</f>
        <v/>
      </c>
    </row>
    <row r="56" spans="1:25" ht="15.5" x14ac:dyDescent="0.35">
      <c r="A56" s="51" t="str">
        <f t="shared" si="8"/>
        <v/>
      </c>
      <c r="B56" s="52" t="str">
        <f>IFERROR(VLOOKUP($C$3&amp;$A56,'Data Induk Pegawai'!$A:$Z,B$6,FALSE),"")</f>
        <v/>
      </c>
      <c r="C56" s="53" t="str">
        <f>IFERROR(VLOOKUP($C$3&amp;$A56,'Data Induk Pegawai'!$A:$Z,C$6,FALSE),"")</f>
        <v/>
      </c>
      <c r="D56" s="54" t="str">
        <f>IFERROR(VLOOKUP($C$3&amp;$A56,'Data Induk Pegawai'!$A:$Z,D$6,FALSE),"")</f>
        <v/>
      </c>
      <c r="E56" s="53" t="str">
        <f>IFERROR(VLOOKUP($C$3&amp;$A56,'Data Induk Pegawai'!$A:$Z,E$6,FALSE),"")</f>
        <v/>
      </c>
      <c r="F56" s="91" t="str">
        <f>IFERROR(VLOOKUP($C$3&amp;$A56,'Data Induk Pegawai'!$A:$Z,F$6,FALSE),"")</f>
        <v/>
      </c>
      <c r="G56" s="54" t="str">
        <f>IFERROR(VLOOKUP($C$3&amp;$A56,'Data Induk Pegawai'!$A:$Z,G$6,FALSE),"")</f>
        <v/>
      </c>
      <c r="H56" s="54" t="str">
        <f>IFERROR(VLOOKUP($C$3&amp;$A56,'Data Induk Pegawai'!$A:$Z,H$6,FALSE),"")</f>
        <v/>
      </c>
      <c r="I56" s="54" t="str">
        <f>IFERROR(VLOOKUP($C$3&amp;$A56,'Data Induk Pegawai'!$A:$Z,I$6,FALSE),"")</f>
        <v/>
      </c>
      <c r="J56" s="53" t="str">
        <f>IFERROR(VLOOKUP($C$3&amp;$A56,'Data Induk Pegawai'!$A:$Z,J$6,FALSE),"")</f>
        <v/>
      </c>
      <c r="K56" s="54" t="str">
        <f>IF(B56="","",VLOOKUP($C$3&amp;$A56,'Data Induk Pegawai'!$A:$Z,K$6,FALSE))</f>
        <v/>
      </c>
      <c r="L56" s="54" t="str">
        <f>IF(B56="","",VLOOKUP($C$3&amp;$A56,'Data Induk Pegawai'!$A:$Z,L$6,FALSE))</f>
        <v/>
      </c>
      <c r="M56" s="54" t="str">
        <f>IFERROR(VLOOKUP("1GPTT"&amp;Q56,'Draft SK'!AB:AG,6,FALSE),"")</f>
        <v/>
      </c>
      <c r="N56" s="54" t="str">
        <f>IFERROR(VLOOKUP("1GPTT"&amp;Q56,'Draft SK'!AB:AG,5,FALSE),"")</f>
        <v/>
      </c>
      <c r="O56" s="54" t="str">
        <f t="shared" si="0"/>
        <v/>
      </c>
      <c r="P56" s="54" t="str">
        <f t="shared" si="1"/>
        <v/>
      </c>
      <c r="Q56" s="53" t="str">
        <f>IF(C56="","",VLOOKUP($C$3&amp;$A56,'Data Induk Pegawai'!$A:$Z,Q$6,FALSE))</f>
        <v/>
      </c>
      <c r="R56" s="51" t="str">
        <f t="shared" ca="1" si="2"/>
        <v/>
      </c>
      <c r="S56" s="51" t="str">
        <f t="shared" si="3"/>
        <v/>
      </c>
      <c r="T56" s="123" t="str">
        <f t="shared" si="4"/>
        <v/>
      </c>
      <c r="U56" s="123" t="str">
        <f t="shared" si="5"/>
        <v>-</v>
      </c>
      <c r="V56" s="123" t="str">
        <f>U56&amp;COUNTIFS(U$9:U56,U56)</f>
        <v>-42</v>
      </c>
      <c r="W56" s="123" t="str">
        <f t="shared" si="6"/>
        <v>-</v>
      </c>
      <c r="X56" s="123" t="str">
        <f t="shared" si="7"/>
        <v>-</v>
      </c>
      <c r="Y56" s="9" t="str">
        <f>IFERROR(IFERROR(IFERROR(IFERROR(VLOOKUP(Y$8&amp;"GTY"&amp;$Q56,'Draft SK'!$AE:$AF,2,FALSE),VLOOKUP(Y$8&amp;"PTY"&amp;$Q56,'Draft SK'!$AE:$AF,2,FALSE)),VLOOKUP(Y$8&amp;"GTT"&amp;$Q56,'Draft SK'!$AE:$AF,2,FALSE)),VLOOKUP(Y$8&amp;"PTT"&amp;$Q56,'Draft SK'!$AE:$AF,2,FALSE)),"")</f>
        <v/>
      </c>
    </row>
    <row r="57" spans="1:25" ht="15.5" x14ac:dyDescent="0.35">
      <c r="A57" s="51" t="str">
        <f t="shared" si="8"/>
        <v/>
      </c>
      <c r="B57" s="52" t="str">
        <f>IFERROR(VLOOKUP($C$3&amp;$A57,'Data Induk Pegawai'!$A:$Z,B$6,FALSE),"")</f>
        <v/>
      </c>
      <c r="C57" s="53" t="str">
        <f>IFERROR(VLOOKUP($C$3&amp;$A57,'Data Induk Pegawai'!$A:$Z,C$6,FALSE),"")</f>
        <v/>
      </c>
      <c r="D57" s="54" t="str">
        <f>IFERROR(VLOOKUP($C$3&amp;$A57,'Data Induk Pegawai'!$A:$Z,D$6,FALSE),"")</f>
        <v/>
      </c>
      <c r="E57" s="53" t="str">
        <f>IFERROR(VLOOKUP($C$3&amp;$A57,'Data Induk Pegawai'!$A:$Z,E$6,FALSE),"")</f>
        <v/>
      </c>
      <c r="F57" s="91" t="str">
        <f>IFERROR(VLOOKUP($C$3&amp;$A57,'Data Induk Pegawai'!$A:$Z,F$6,FALSE),"")</f>
        <v/>
      </c>
      <c r="G57" s="54" t="str">
        <f>IFERROR(VLOOKUP($C$3&amp;$A57,'Data Induk Pegawai'!$A:$Z,G$6,FALSE),"")</f>
        <v/>
      </c>
      <c r="H57" s="54" t="str">
        <f>IFERROR(VLOOKUP($C$3&amp;$A57,'Data Induk Pegawai'!$A:$Z,H$6,FALSE),"")</f>
        <v/>
      </c>
      <c r="I57" s="54" t="str">
        <f>IFERROR(VLOOKUP($C$3&amp;$A57,'Data Induk Pegawai'!$A:$Z,I$6,FALSE),"")</f>
        <v/>
      </c>
      <c r="J57" s="53" t="str">
        <f>IFERROR(VLOOKUP($C$3&amp;$A57,'Data Induk Pegawai'!$A:$Z,J$6,FALSE),"")</f>
        <v/>
      </c>
      <c r="K57" s="54" t="str">
        <f>IF(B57="","",VLOOKUP($C$3&amp;$A57,'Data Induk Pegawai'!$A:$Z,K$6,FALSE))</f>
        <v/>
      </c>
      <c r="L57" s="54" t="str">
        <f>IF(B57="","",VLOOKUP($C$3&amp;$A57,'Data Induk Pegawai'!$A:$Z,L$6,FALSE))</f>
        <v/>
      </c>
      <c r="M57" s="54" t="str">
        <f>IFERROR(VLOOKUP("1GPTT"&amp;Q57,'Draft SK'!AB:AG,6,FALSE),"")</f>
        <v/>
      </c>
      <c r="N57" s="54" t="str">
        <f>IFERROR(VLOOKUP("1GPTT"&amp;Q57,'Draft SK'!AB:AG,5,FALSE),"")</f>
        <v/>
      </c>
      <c r="O57" s="54" t="str">
        <f t="shared" si="0"/>
        <v/>
      </c>
      <c r="P57" s="54" t="str">
        <f t="shared" si="1"/>
        <v/>
      </c>
      <c r="Q57" s="53" t="str">
        <f>IF(C57="","",VLOOKUP($C$3&amp;$A57,'Data Induk Pegawai'!$A:$Z,Q$6,FALSE))</f>
        <v/>
      </c>
      <c r="R57" s="51" t="str">
        <f t="shared" ca="1" si="2"/>
        <v/>
      </c>
      <c r="S57" s="51" t="str">
        <f t="shared" si="3"/>
        <v/>
      </c>
      <c r="T57" s="123" t="str">
        <f t="shared" si="4"/>
        <v/>
      </c>
      <c r="U57" s="123" t="str">
        <f t="shared" si="5"/>
        <v>-</v>
      </c>
      <c r="V57" s="123" t="str">
        <f>U57&amp;COUNTIFS(U$9:U57,U57)</f>
        <v>-43</v>
      </c>
      <c r="W57" s="123" t="str">
        <f t="shared" si="6"/>
        <v>-</v>
      </c>
      <c r="X57" s="123" t="str">
        <f t="shared" si="7"/>
        <v>-</v>
      </c>
      <c r="Y57" s="9" t="str">
        <f>IFERROR(IFERROR(IFERROR(IFERROR(VLOOKUP(Y$8&amp;"GTY"&amp;$Q57,'Draft SK'!$AE:$AF,2,FALSE),VLOOKUP(Y$8&amp;"PTY"&amp;$Q57,'Draft SK'!$AE:$AF,2,FALSE)),VLOOKUP(Y$8&amp;"GTT"&amp;$Q57,'Draft SK'!$AE:$AF,2,FALSE)),VLOOKUP(Y$8&amp;"PTT"&amp;$Q57,'Draft SK'!$AE:$AF,2,FALSE)),"")</f>
        <v/>
      </c>
    </row>
    <row r="58" spans="1:25" ht="15.5" x14ac:dyDescent="0.35">
      <c r="A58" s="51" t="str">
        <f t="shared" si="8"/>
        <v/>
      </c>
      <c r="B58" s="52" t="str">
        <f>IFERROR(VLOOKUP($C$3&amp;$A58,'Data Induk Pegawai'!$A:$Z,B$6,FALSE),"")</f>
        <v/>
      </c>
      <c r="C58" s="53" t="str">
        <f>IFERROR(VLOOKUP($C$3&amp;$A58,'Data Induk Pegawai'!$A:$Z,C$6,FALSE),"")</f>
        <v/>
      </c>
      <c r="D58" s="54" t="str">
        <f>IFERROR(VLOOKUP($C$3&amp;$A58,'Data Induk Pegawai'!$A:$Z,D$6,FALSE),"")</f>
        <v/>
      </c>
      <c r="E58" s="53" t="str">
        <f>IFERROR(VLOOKUP($C$3&amp;$A58,'Data Induk Pegawai'!$A:$Z,E$6,FALSE),"")</f>
        <v/>
      </c>
      <c r="F58" s="91" t="str">
        <f>IFERROR(VLOOKUP($C$3&amp;$A58,'Data Induk Pegawai'!$A:$Z,F$6,FALSE),"")</f>
        <v/>
      </c>
      <c r="G58" s="54" t="str">
        <f>IFERROR(VLOOKUP($C$3&amp;$A58,'Data Induk Pegawai'!$A:$Z,G$6,FALSE),"")</f>
        <v/>
      </c>
      <c r="H58" s="54" t="str">
        <f>IFERROR(VLOOKUP($C$3&amp;$A58,'Data Induk Pegawai'!$A:$Z,H$6,FALSE),"")</f>
        <v/>
      </c>
      <c r="I58" s="54" t="str">
        <f>IFERROR(VLOOKUP($C$3&amp;$A58,'Data Induk Pegawai'!$A:$Z,I$6,FALSE),"")</f>
        <v/>
      </c>
      <c r="J58" s="53" t="str">
        <f>IFERROR(VLOOKUP($C$3&amp;$A58,'Data Induk Pegawai'!$A:$Z,J$6,FALSE),"")</f>
        <v/>
      </c>
      <c r="K58" s="54" t="str">
        <f>IF(B58="","",VLOOKUP($C$3&amp;$A58,'Data Induk Pegawai'!$A:$Z,K$6,FALSE))</f>
        <v/>
      </c>
      <c r="L58" s="54" t="str">
        <f>IF(B58="","",VLOOKUP($C$3&amp;$A58,'Data Induk Pegawai'!$A:$Z,L$6,FALSE))</f>
        <v/>
      </c>
      <c r="M58" s="54" t="str">
        <f>IFERROR(VLOOKUP("1GPTT"&amp;Q58,'Draft SK'!AB:AG,6,FALSE),"")</f>
        <v/>
      </c>
      <c r="N58" s="54" t="str">
        <f>IFERROR(VLOOKUP("1GPTT"&amp;Q58,'Draft SK'!AB:AG,5,FALSE),"")</f>
        <v/>
      </c>
      <c r="O58" s="54" t="str">
        <f t="shared" si="0"/>
        <v/>
      </c>
      <c r="P58" s="54" t="str">
        <f t="shared" si="1"/>
        <v/>
      </c>
      <c r="Q58" s="53" t="str">
        <f>IF(C58="","",VLOOKUP($C$3&amp;$A58,'Data Induk Pegawai'!$A:$Z,Q$6,FALSE))</f>
        <v/>
      </c>
      <c r="R58" s="51" t="str">
        <f t="shared" ca="1" si="2"/>
        <v/>
      </c>
      <c r="S58" s="51" t="str">
        <f t="shared" si="3"/>
        <v/>
      </c>
      <c r="T58" s="123" t="str">
        <f t="shared" si="4"/>
        <v/>
      </c>
      <c r="U58" s="123" t="str">
        <f t="shared" si="5"/>
        <v>-</v>
      </c>
      <c r="V58" s="123" t="str">
        <f>U58&amp;COUNTIFS(U$9:U58,U58)</f>
        <v>-44</v>
      </c>
      <c r="W58" s="123" t="str">
        <f t="shared" si="6"/>
        <v>-</v>
      </c>
      <c r="X58" s="123" t="str">
        <f t="shared" si="7"/>
        <v>-</v>
      </c>
      <c r="Y58" s="9" t="str">
        <f>IFERROR(IFERROR(IFERROR(IFERROR(VLOOKUP(Y$8&amp;"GTY"&amp;$Q58,'Draft SK'!$AE:$AF,2,FALSE),VLOOKUP(Y$8&amp;"PTY"&amp;$Q58,'Draft SK'!$AE:$AF,2,FALSE)),VLOOKUP(Y$8&amp;"GTT"&amp;$Q58,'Draft SK'!$AE:$AF,2,FALSE)),VLOOKUP(Y$8&amp;"PTT"&amp;$Q58,'Draft SK'!$AE:$AF,2,FALSE)),"")</f>
        <v/>
      </c>
    </row>
    <row r="59" spans="1:25" ht="15.5" x14ac:dyDescent="0.35">
      <c r="A59" s="51" t="str">
        <f t="shared" si="8"/>
        <v/>
      </c>
      <c r="B59" s="52" t="str">
        <f>IFERROR(VLOOKUP($C$3&amp;$A59,'Data Induk Pegawai'!$A:$Z,B$6,FALSE),"")</f>
        <v/>
      </c>
      <c r="C59" s="53" t="str">
        <f>IFERROR(VLOOKUP($C$3&amp;$A59,'Data Induk Pegawai'!$A:$Z,C$6,FALSE),"")</f>
        <v/>
      </c>
      <c r="D59" s="54" t="str">
        <f>IFERROR(VLOOKUP($C$3&amp;$A59,'Data Induk Pegawai'!$A:$Z,D$6,FALSE),"")</f>
        <v/>
      </c>
      <c r="E59" s="53" t="str">
        <f>IFERROR(VLOOKUP($C$3&amp;$A59,'Data Induk Pegawai'!$A:$Z,E$6,FALSE),"")</f>
        <v/>
      </c>
      <c r="F59" s="91" t="str">
        <f>IFERROR(VLOOKUP($C$3&amp;$A59,'Data Induk Pegawai'!$A:$Z,F$6,FALSE),"")</f>
        <v/>
      </c>
      <c r="G59" s="54" t="str">
        <f>IFERROR(VLOOKUP($C$3&amp;$A59,'Data Induk Pegawai'!$A:$Z,G$6,FALSE),"")</f>
        <v/>
      </c>
      <c r="H59" s="54" t="str">
        <f>IFERROR(VLOOKUP($C$3&amp;$A59,'Data Induk Pegawai'!$A:$Z,H$6,FALSE),"")</f>
        <v/>
      </c>
      <c r="I59" s="54" t="str">
        <f>IFERROR(VLOOKUP($C$3&amp;$A59,'Data Induk Pegawai'!$A:$Z,I$6,FALSE),"")</f>
        <v/>
      </c>
      <c r="J59" s="53" t="str">
        <f>IFERROR(VLOOKUP($C$3&amp;$A59,'Data Induk Pegawai'!$A:$Z,J$6,FALSE),"")</f>
        <v/>
      </c>
      <c r="K59" s="54" t="str">
        <f>IF(B59="","",VLOOKUP($C$3&amp;$A59,'Data Induk Pegawai'!$A:$Z,K$6,FALSE))</f>
        <v/>
      </c>
      <c r="L59" s="54" t="str">
        <f>IF(B59="","",VLOOKUP($C$3&amp;$A59,'Data Induk Pegawai'!$A:$Z,L$6,FALSE))</f>
        <v/>
      </c>
      <c r="M59" s="54" t="str">
        <f>IFERROR(VLOOKUP("1GPTT"&amp;Q59,'Draft SK'!AB:AG,6,FALSE),"")</f>
        <v/>
      </c>
      <c r="N59" s="54" t="str">
        <f>IFERROR(VLOOKUP("1GPTT"&amp;Q59,'Draft SK'!AB:AG,5,FALSE),"")</f>
        <v/>
      </c>
      <c r="O59" s="54" t="str">
        <f t="shared" si="0"/>
        <v/>
      </c>
      <c r="P59" s="54" t="str">
        <f t="shared" si="1"/>
        <v/>
      </c>
      <c r="Q59" s="53" t="str">
        <f>IF(C59="","",VLOOKUP($C$3&amp;$A59,'Data Induk Pegawai'!$A:$Z,Q$6,FALSE))</f>
        <v/>
      </c>
      <c r="R59" s="51" t="str">
        <f t="shared" ca="1" si="2"/>
        <v/>
      </c>
      <c r="S59" s="51" t="str">
        <f t="shared" si="3"/>
        <v/>
      </c>
      <c r="T59" s="123" t="str">
        <f t="shared" si="4"/>
        <v/>
      </c>
      <c r="U59" s="123" t="str">
        <f t="shared" si="5"/>
        <v>-</v>
      </c>
      <c r="V59" s="123" t="str">
        <f>U59&amp;COUNTIFS(U$9:U59,U59)</f>
        <v>-45</v>
      </c>
      <c r="W59" s="123" t="str">
        <f t="shared" si="6"/>
        <v>-</v>
      </c>
      <c r="X59" s="123" t="str">
        <f t="shared" si="7"/>
        <v>-</v>
      </c>
      <c r="Y59" s="9" t="str">
        <f>IFERROR(IFERROR(IFERROR(IFERROR(VLOOKUP(Y$8&amp;"GTY"&amp;$Q59,'Draft SK'!$AE:$AF,2,FALSE),VLOOKUP(Y$8&amp;"PTY"&amp;$Q59,'Draft SK'!$AE:$AF,2,FALSE)),VLOOKUP(Y$8&amp;"GTT"&amp;$Q59,'Draft SK'!$AE:$AF,2,FALSE)),VLOOKUP(Y$8&amp;"PTT"&amp;$Q59,'Draft SK'!$AE:$AF,2,FALSE)),"")</f>
        <v/>
      </c>
    </row>
    <row r="60" spans="1:25" ht="15.5" x14ac:dyDescent="0.35">
      <c r="A60" s="51" t="str">
        <f t="shared" si="8"/>
        <v/>
      </c>
      <c r="B60" s="52" t="str">
        <f>IFERROR(VLOOKUP($C$3&amp;$A60,'Data Induk Pegawai'!$A:$Z,B$6,FALSE),"")</f>
        <v/>
      </c>
      <c r="C60" s="53" t="str">
        <f>IFERROR(VLOOKUP($C$3&amp;$A60,'Data Induk Pegawai'!$A:$Z,C$6,FALSE),"")</f>
        <v/>
      </c>
      <c r="D60" s="54" t="str">
        <f>IFERROR(VLOOKUP($C$3&amp;$A60,'Data Induk Pegawai'!$A:$Z,D$6,FALSE),"")</f>
        <v/>
      </c>
      <c r="E60" s="53" t="str">
        <f>IFERROR(VLOOKUP($C$3&amp;$A60,'Data Induk Pegawai'!$A:$Z,E$6,FALSE),"")</f>
        <v/>
      </c>
      <c r="F60" s="91" t="str">
        <f>IFERROR(VLOOKUP($C$3&amp;$A60,'Data Induk Pegawai'!$A:$Z,F$6,FALSE),"")</f>
        <v/>
      </c>
      <c r="G60" s="54" t="str">
        <f>IFERROR(VLOOKUP($C$3&amp;$A60,'Data Induk Pegawai'!$A:$Z,G$6,FALSE),"")</f>
        <v/>
      </c>
      <c r="H60" s="54" t="str">
        <f>IFERROR(VLOOKUP($C$3&amp;$A60,'Data Induk Pegawai'!$A:$Z,H$6,FALSE),"")</f>
        <v/>
      </c>
      <c r="I60" s="54" t="str">
        <f>IFERROR(VLOOKUP($C$3&amp;$A60,'Data Induk Pegawai'!$A:$Z,I$6,FALSE),"")</f>
        <v/>
      </c>
      <c r="J60" s="53" t="str">
        <f>IFERROR(VLOOKUP($C$3&amp;$A60,'Data Induk Pegawai'!$A:$Z,J$6,FALSE),"")</f>
        <v/>
      </c>
      <c r="K60" s="54" t="str">
        <f>IF(B60="","",VLOOKUP($C$3&amp;$A60,'Data Induk Pegawai'!$A:$Z,K$6,FALSE))</f>
        <v/>
      </c>
      <c r="L60" s="54" t="str">
        <f>IF(B60="","",VLOOKUP($C$3&amp;$A60,'Data Induk Pegawai'!$A:$Z,L$6,FALSE))</f>
        <v/>
      </c>
      <c r="M60" s="54" t="str">
        <f>IFERROR(VLOOKUP("1GPTT"&amp;Q60,'Draft SK'!AB:AG,6,FALSE),"")</f>
        <v/>
      </c>
      <c r="N60" s="54" t="str">
        <f>IFERROR(VLOOKUP("1GPTT"&amp;Q60,'Draft SK'!AB:AG,5,FALSE),"")</f>
        <v/>
      </c>
      <c r="O60" s="54" t="str">
        <f t="shared" si="0"/>
        <v/>
      </c>
      <c r="P60" s="54" t="str">
        <f t="shared" si="1"/>
        <v/>
      </c>
      <c r="Q60" s="53" t="str">
        <f>IF(C60="","",VLOOKUP($C$3&amp;$A60,'Data Induk Pegawai'!$A:$Z,Q$6,FALSE))</f>
        <v/>
      </c>
      <c r="R60" s="51" t="str">
        <f t="shared" ca="1" si="2"/>
        <v/>
      </c>
      <c r="S60" s="51" t="str">
        <f t="shared" si="3"/>
        <v/>
      </c>
      <c r="T60" s="123" t="str">
        <f t="shared" si="4"/>
        <v/>
      </c>
      <c r="U60" s="123" t="str">
        <f t="shared" si="5"/>
        <v>-</v>
      </c>
      <c r="V60" s="123" t="str">
        <f>U60&amp;COUNTIFS(U$9:U60,U60)</f>
        <v>-46</v>
      </c>
      <c r="W60" s="123" t="str">
        <f t="shared" si="6"/>
        <v>-</v>
      </c>
      <c r="X60" s="123" t="str">
        <f t="shared" si="7"/>
        <v>-</v>
      </c>
      <c r="Y60" s="9" t="str">
        <f>IFERROR(IFERROR(IFERROR(IFERROR(VLOOKUP(Y$8&amp;"GTY"&amp;$Q60,'Draft SK'!$AE:$AF,2,FALSE),VLOOKUP(Y$8&amp;"PTY"&amp;$Q60,'Draft SK'!$AE:$AF,2,FALSE)),VLOOKUP(Y$8&amp;"GTT"&amp;$Q60,'Draft SK'!$AE:$AF,2,FALSE)),VLOOKUP(Y$8&amp;"PTT"&amp;$Q60,'Draft SK'!$AE:$AF,2,FALSE)),"")</f>
        <v/>
      </c>
    </row>
    <row r="61" spans="1:25" ht="15.5" x14ac:dyDescent="0.35">
      <c r="A61" s="51" t="str">
        <f t="shared" si="8"/>
        <v/>
      </c>
      <c r="B61" s="52" t="str">
        <f>IFERROR(VLOOKUP($C$3&amp;$A61,'Data Induk Pegawai'!$A:$Z,B$6,FALSE),"")</f>
        <v/>
      </c>
      <c r="C61" s="53" t="str">
        <f>IFERROR(VLOOKUP($C$3&amp;$A61,'Data Induk Pegawai'!$A:$Z,C$6,FALSE),"")</f>
        <v/>
      </c>
      <c r="D61" s="54" t="str">
        <f>IFERROR(VLOOKUP($C$3&amp;$A61,'Data Induk Pegawai'!$A:$Z,D$6,FALSE),"")</f>
        <v/>
      </c>
      <c r="E61" s="53" t="str">
        <f>IFERROR(VLOOKUP($C$3&amp;$A61,'Data Induk Pegawai'!$A:$Z,E$6,FALSE),"")</f>
        <v/>
      </c>
      <c r="F61" s="91" t="str">
        <f>IFERROR(VLOOKUP($C$3&amp;$A61,'Data Induk Pegawai'!$A:$Z,F$6,FALSE),"")</f>
        <v/>
      </c>
      <c r="G61" s="54" t="str">
        <f>IFERROR(VLOOKUP($C$3&amp;$A61,'Data Induk Pegawai'!$A:$Z,G$6,FALSE),"")</f>
        <v/>
      </c>
      <c r="H61" s="54" t="str">
        <f>IFERROR(VLOOKUP($C$3&amp;$A61,'Data Induk Pegawai'!$A:$Z,H$6,FALSE),"")</f>
        <v/>
      </c>
      <c r="I61" s="54" t="str">
        <f>IFERROR(VLOOKUP($C$3&amp;$A61,'Data Induk Pegawai'!$A:$Z,I$6,FALSE),"")</f>
        <v/>
      </c>
      <c r="J61" s="53" t="str">
        <f>IFERROR(VLOOKUP($C$3&amp;$A61,'Data Induk Pegawai'!$A:$Z,J$6,FALSE),"")</f>
        <v/>
      </c>
      <c r="K61" s="54" t="str">
        <f>IF(B61="","",VLOOKUP($C$3&amp;$A61,'Data Induk Pegawai'!$A:$Z,K$6,FALSE))</f>
        <v/>
      </c>
      <c r="L61" s="54" t="str">
        <f>IF(B61="","",VLOOKUP($C$3&amp;$A61,'Data Induk Pegawai'!$A:$Z,L$6,FALSE))</f>
        <v/>
      </c>
      <c r="M61" s="54" t="str">
        <f>IFERROR(VLOOKUP("1GPTT"&amp;Q61,'Draft SK'!AB:AG,6,FALSE),"")</f>
        <v/>
      </c>
      <c r="N61" s="54" t="str">
        <f>IFERROR(VLOOKUP("1GPTT"&amp;Q61,'Draft SK'!AB:AG,5,FALSE),"")</f>
        <v/>
      </c>
      <c r="O61" s="54" t="str">
        <f t="shared" si="0"/>
        <v/>
      </c>
      <c r="P61" s="54" t="str">
        <f t="shared" si="1"/>
        <v/>
      </c>
      <c r="Q61" s="53" t="str">
        <f>IF(C61="","",VLOOKUP($C$3&amp;$A61,'Data Induk Pegawai'!$A:$Z,Q$6,FALSE))</f>
        <v/>
      </c>
      <c r="R61" s="51" t="str">
        <f t="shared" ca="1" si="2"/>
        <v/>
      </c>
      <c r="S61" s="51" t="str">
        <f t="shared" si="3"/>
        <v/>
      </c>
      <c r="T61" s="123" t="str">
        <f t="shared" si="4"/>
        <v/>
      </c>
      <c r="U61" s="123" t="str">
        <f t="shared" si="5"/>
        <v>-</v>
      </c>
      <c r="V61" s="123" t="str">
        <f>U61&amp;COUNTIFS(U$9:U61,U61)</f>
        <v>-47</v>
      </c>
      <c r="W61" s="123" t="str">
        <f t="shared" si="6"/>
        <v>-</v>
      </c>
      <c r="X61" s="123" t="str">
        <f t="shared" si="7"/>
        <v>-</v>
      </c>
      <c r="Y61" s="9" t="str">
        <f>IFERROR(IFERROR(IFERROR(IFERROR(VLOOKUP(Y$8&amp;"GTY"&amp;$Q61,'Draft SK'!$AE:$AF,2,FALSE),VLOOKUP(Y$8&amp;"PTY"&amp;$Q61,'Draft SK'!$AE:$AF,2,FALSE)),VLOOKUP(Y$8&amp;"GTT"&amp;$Q61,'Draft SK'!$AE:$AF,2,FALSE)),VLOOKUP(Y$8&amp;"PTT"&amp;$Q61,'Draft SK'!$AE:$AF,2,FALSE)),"")</f>
        <v/>
      </c>
    </row>
    <row r="62" spans="1:25" ht="15.5" x14ac:dyDescent="0.35">
      <c r="A62" s="51" t="str">
        <f t="shared" si="8"/>
        <v/>
      </c>
      <c r="B62" s="52" t="str">
        <f>IFERROR(VLOOKUP($C$3&amp;$A62,'Data Induk Pegawai'!$A:$Z,B$6,FALSE),"")</f>
        <v/>
      </c>
      <c r="C62" s="53" t="str">
        <f>IFERROR(VLOOKUP($C$3&amp;$A62,'Data Induk Pegawai'!$A:$Z,C$6,FALSE),"")</f>
        <v/>
      </c>
      <c r="D62" s="54" t="str">
        <f>IFERROR(VLOOKUP($C$3&amp;$A62,'Data Induk Pegawai'!$A:$Z,D$6,FALSE),"")</f>
        <v/>
      </c>
      <c r="E62" s="53" t="str">
        <f>IFERROR(VLOOKUP($C$3&amp;$A62,'Data Induk Pegawai'!$A:$Z,E$6,FALSE),"")</f>
        <v/>
      </c>
      <c r="F62" s="91" t="str">
        <f>IFERROR(VLOOKUP($C$3&amp;$A62,'Data Induk Pegawai'!$A:$Z,F$6,FALSE),"")</f>
        <v/>
      </c>
      <c r="G62" s="54" t="str">
        <f>IFERROR(VLOOKUP($C$3&amp;$A62,'Data Induk Pegawai'!$A:$Z,G$6,FALSE),"")</f>
        <v/>
      </c>
      <c r="H62" s="54" t="str">
        <f>IFERROR(VLOOKUP($C$3&amp;$A62,'Data Induk Pegawai'!$A:$Z,H$6,FALSE),"")</f>
        <v/>
      </c>
      <c r="I62" s="54" t="str">
        <f>IFERROR(VLOOKUP($C$3&amp;$A62,'Data Induk Pegawai'!$A:$Z,I$6,FALSE),"")</f>
        <v/>
      </c>
      <c r="J62" s="53" t="str">
        <f>IFERROR(VLOOKUP($C$3&amp;$A62,'Data Induk Pegawai'!$A:$Z,J$6,FALSE),"")</f>
        <v/>
      </c>
      <c r="K62" s="54" t="str">
        <f>IF(B62="","",VLOOKUP($C$3&amp;$A62,'Data Induk Pegawai'!$A:$Z,K$6,FALSE))</f>
        <v/>
      </c>
      <c r="L62" s="54" t="str">
        <f>IF(B62="","",VLOOKUP($C$3&amp;$A62,'Data Induk Pegawai'!$A:$Z,L$6,FALSE))</f>
        <v/>
      </c>
      <c r="M62" s="54" t="str">
        <f>IFERROR(VLOOKUP("1GPTT"&amp;Q62,'Draft SK'!AB:AG,6,FALSE),"")</f>
        <v/>
      </c>
      <c r="N62" s="54" t="str">
        <f>IFERROR(VLOOKUP("1GPTT"&amp;Q62,'Draft SK'!AB:AG,5,FALSE),"")</f>
        <v/>
      </c>
      <c r="O62" s="54" t="str">
        <f t="shared" si="0"/>
        <v/>
      </c>
      <c r="P62" s="54" t="str">
        <f t="shared" si="1"/>
        <v/>
      </c>
      <c r="Q62" s="53" t="str">
        <f>IF(C62="","",VLOOKUP($C$3&amp;$A62,'Data Induk Pegawai'!$A:$Z,Q$6,FALSE))</f>
        <v/>
      </c>
      <c r="R62" s="51" t="str">
        <f t="shared" ca="1" si="2"/>
        <v/>
      </c>
      <c r="S62" s="51" t="str">
        <f t="shared" si="3"/>
        <v/>
      </c>
      <c r="T62" s="123" t="str">
        <f t="shared" si="4"/>
        <v/>
      </c>
      <c r="U62" s="123" t="str">
        <f t="shared" si="5"/>
        <v>-</v>
      </c>
      <c r="V62" s="123" t="str">
        <f>U62&amp;COUNTIFS(U$9:U62,U62)</f>
        <v>-48</v>
      </c>
      <c r="W62" s="123" t="str">
        <f t="shared" si="6"/>
        <v>-</v>
      </c>
      <c r="X62" s="123" t="str">
        <f t="shared" si="7"/>
        <v>-</v>
      </c>
      <c r="Y62" s="9" t="str">
        <f>IFERROR(IFERROR(IFERROR(IFERROR(VLOOKUP(Y$8&amp;"GTY"&amp;$Q62,'Draft SK'!$AE:$AF,2,FALSE),VLOOKUP(Y$8&amp;"PTY"&amp;$Q62,'Draft SK'!$AE:$AF,2,FALSE)),VLOOKUP(Y$8&amp;"GTT"&amp;$Q62,'Draft SK'!$AE:$AF,2,FALSE)),VLOOKUP(Y$8&amp;"PTT"&amp;$Q62,'Draft SK'!$AE:$AF,2,FALSE)),"")</f>
        <v/>
      </c>
    </row>
    <row r="63" spans="1:25" ht="15.5" x14ac:dyDescent="0.35">
      <c r="A63" s="51" t="str">
        <f t="shared" si="8"/>
        <v/>
      </c>
      <c r="B63" s="52" t="str">
        <f>IFERROR(VLOOKUP($C$3&amp;$A63,'Data Induk Pegawai'!$A:$Z,B$6,FALSE),"")</f>
        <v/>
      </c>
      <c r="C63" s="53" t="str">
        <f>IFERROR(VLOOKUP($C$3&amp;$A63,'Data Induk Pegawai'!$A:$Z,C$6,FALSE),"")</f>
        <v/>
      </c>
      <c r="D63" s="54" t="str">
        <f>IFERROR(VLOOKUP($C$3&amp;$A63,'Data Induk Pegawai'!$A:$Z,D$6,FALSE),"")</f>
        <v/>
      </c>
      <c r="E63" s="53" t="str">
        <f>IFERROR(VLOOKUP($C$3&amp;$A63,'Data Induk Pegawai'!$A:$Z,E$6,FALSE),"")</f>
        <v/>
      </c>
      <c r="F63" s="91" t="str">
        <f>IFERROR(VLOOKUP($C$3&amp;$A63,'Data Induk Pegawai'!$A:$Z,F$6,FALSE),"")</f>
        <v/>
      </c>
      <c r="G63" s="54" t="str">
        <f>IFERROR(VLOOKUP($C$3&amp;$A63,'Data Induk Pegawai'!$A:$Z,G$6,FALSE),"")</f>
        <v/>
      </c>
      <c r="H63" s="54" t="str">
        <f>IFERROR(VLOOKUP($C$3&amp;$A63,'Data Induk Pegawai'!$A:$Z,H$6,FALSE),"")</f>
        <v/>
      </c>
      <c r="I63" s="54" t="str">
        <f>IFERROR(VLOOKUP($C$3&amp;$A63,'Data Induk Pegawai'!$A:$Z,I$6,FALSE),"")</f>
        <v/>
      </c>
      <c r="J63" s="53" t="str">
        <f>IFERROR(VLOOKUP($C$3&amp;$A63,'Data Induk Pegawai'!$A:$Z,J$6,FALSE),"")</f>
        <v/>
      </c>
      <c r="K63" s="54" t="str">
        <f>IF(B63="","",VLOOKUP($C$3&amp;$A63,'Data Induk Pegawai'!$A:$Z,K$6,FALSE))</f>
        <v/>
      </c>
      <c r="L63" s="54" t="str">
        <f>IF(B63="","",VLOOKUP($C$3&amp;$A63,'Data Induk Pegawai'!$A:$Z,L$6,FALSE))</f>
        <v/>
      </c>
      <c r="M63" s="54" t="str">
        <f>IFERROR(VLOOKUP("1GPTT"&amp;Q63,'Draft SK'!AB:AG,6,FALSE),"")</f>
        <v/>
      </c>
      <c r="N63" s="54" t="str">
        <f>IFERROR(VLOOKUP("1GPTT"&amp;Q63,'Draft SK'!AB:AG,5,FALSE),"")</f>
        <v/>
      </c>
      <c r="O63" s="54" t="str">
        <f t="shared" si="0"/>
        <v/>
      </c>
      <c r="P63" s="54" t="str">
        <f t="shared" si="1"/>
        <v/>
      </c>
      <c r="Q63" s="53" t="str">
        <f>IF(C63="","",VLOOKUP($C$3&amp;$A63,'Data Induk Pegawai'!$A:$Z,Q$6,FALSE))</f>
        <v/>
      </c>
      <c r="R63" s="51" t="str">
        <f t="shared" ca="1" si="2"/>
        <v/>
      </c>
      <c r="S63" s="51" t="str">
        <f t="shared" si="3"/>
        <v/>
      </c>
      <c r="T63" s="123" t="str">
        <f t="shared" si="4"/>
        <v/>
      </c>
      <c r="U63" s="123" t="str">
        <f t="shared" si="5"/>
        <v>-</v>
      </c>
      <c r="V63" s="123" t="str">
        <f>U63&amp;COUNTIFS(U$9:U63,U63)</f>
        <v>-49</v>
      </c>
      <c r="W63" s="123" t="str">
        <f t="shared" si="6"/>
        <v>-</v>
      </c>
      <c r="X63" s="123" t="str">
        <f t="shared" si="7"/>
        <v>-</v>
      </c>
      <c r="Y63" s="9" t="str">
        <f>IFERROR(IFERROR(IFERROR(IFERROR(VLOOKUP(Y$8&amp;"GTY"&amp;$Q63,'Draft SK'!$AE:$AF,2,FALSE),VLOOKUP(Y$8&amp;"PTY"&amp;$Q63,'Draft SK'!$AE:$AF,2,FALSE)),VLOOKUP(Y$8&amp;"GTT"&amp;$Q63,'Draft SK'!$AE:$AF,2,FALSE)),VLOOKUP(Y$8&amp;"PTT"&amp;$Q63,'Draft SK'!$AE:$AF,2,FALSE)),"")</f>
        <v/>
      </c>
    </row>
    <row r="64" spans="1:25" ht="15.5" x14ac:dyDescent="0.35">
      <c r="A64" s="51" t="str">
        <f t="shared" si="8"/>
        <v/>
      </c>
      <c r="B64" s="52" t="str">
        <f>IFERROR(VLOOKUP($C$3&amp;$A64,'Data Induk Pegawai'!$A:$Z,B$6,FALSE),"")</f>
        <v/>
      </c>
      <c r="C64" s="53" t="str">
        <f>IFERROR(VLOOKUP($C$3&amp;$A64,'Data Induk Pegawai'!$A:$Z,C$6,FALSE),"")</f>
        <v/>
      </c>
      <c r="D64" s="54" t="str">
        <f>IFERROR(VLOOKUP($C$3&amp;$A64,'Data Induk Pegawai'!$A:$Z,D$6,FALSE),"")</f>
        <v/>
      </c>
      <c r="E64" s="53" t="str">
        <f>IFERROR(VLOOKUP($C$3&amp;$A64,'Data Induk Pegawai'!$A:$Z,E$6,FALSE),"")</f>
        <v/>
      </c>
      <c r="F64" s="91" t="str">
        <f>IFERROR(VLOOKUP($C$3&amp;$A64,'Data Induk Pegawai'!$A:$Z,F$6,FALSE),"")</f>
        <v/>
      </c>
      <c r="G64" s="54" t="str">
        <f>IFERROR(VLOOKUP($C$3&amp;$A64,'Data Induk Pegawai'!$A:$Z,G$6,FALSE),"")</f>
        <v/>
      </c>
      <c r="H64" s="54" t="str">
        <f>IFERROR(VLOOKUP($C$3&amp;$A64,'Data Induk Pegawai'!$A:$Z,H$6,FALSE),"")</f>
        <v/>
      </c>
      <c r="I64" s="54" t="str">
        <f>IFERROR(VLOOKUP($C$3&amp;$A64,'Data Induk Pegawai'!$A:$Z,I$6,FALSE),"")</f>
        <v/>
      </c>
      <c r="J64" s="53" t="str">
        <f>IFERROR(VLOOKUP($C$3&amp;$A64,'Data Induk Pegawai'!$A:$Z,J$6,FALSE),"")</f>
        <v/>
      </c>
      <c r="K64" s="54" t="str">
        <f>IF(B64="","",VLOOKUP($C$3&amp;$A64,'Data Induk Pegawai'!$A:$Z,K$6,FALSE))</f>
        <v/>
      </c>
      <c r="L64" s="54" t="str">
        <f>IF(B64="","",VLOOKUP($C$3&amp;$A64,'Data Induk Pegawai'!$A:$Z,L$6,FALSE))</f>
        <v/>
      </c>
      <c r="M64" s="54" t="str">
        <f>IFERROR(VLOOKUP("1GPTT"&amp;Q64,'Draft SK'!AB:AG,6,FALSE),"")</f>
        <v/>
      </c>
      <c r="N64" s="54" t="str">
        <f>IFERROR(VLOOKUP("1GPTT"&amp;Q64,'Draft SK'!AB:AG,5,FALSE),"")</f>
        <v/>
      </c>
      <c r="O64" s="54" t="str">
        <f t="shared" si="0"/>
        <v/>
      </c>
      <c r="P64" s="54" t="str">
        <f t="shared" si="1"/>
        <v/>
      </c>
      <c r="Q64" s="53" t="str">
        <f>IF(C64="","",VLOOKUP($C$3&amp;$A64,'Data Induk Pegawai'!$A:$Z,Q$6,FALSE))</f>
        <v/>
      </c>
      <c r="R64" s="51" t="str">
        <f t="shared" ca="1" si="2"/>
        <v/>
      </c>
      <c r="S64" s="51" t="str">
        <f t="shared" si="3"/>
        <v/>
      </c>
      <c r="T64" s="123" t="str">
        <f t="shared" si="4"/>
        <v/>
      </c>
      <c r="U64" s="123" t="str">
        <f t="shared" si="5"/>
        <v>-</v>
      </c>
      <c r="V64" s="123" t="str">
        <f>U64&amp;COUNTIFS(U$9:U64,U64)</f>
        <v>-50</v>
      </c>
      <c r="W64" s="123" t="str">
        <f t="shared" si="6"/>
        <v>-</v>
      </c>
      <c r="X64" s="123" t="str">
        <f t="shared" si="7"/>
        <v>-</v>
      </c>
      <c r="Y64" s="9" t="str">
        <f>IFERROR(IFERROR(IFERROR(IFERROR(VLOOKUP(Y$8&amp;"GTY"&amp;$Q64,'Draft SK'!$AE:$AF,2,FALSE),VLOOKUP(Y$8&amp;"PTY"&amp;$Q64,'Draft SK'!$AE:$AF,2,FALSE)),VLOOKUP(Y$8&amp;"GTT"&amp;$Q64,'Draft SK'!$AE:$AF,2,FALSE)),VLOOKUP(Y$8&amp;"PTT"&amp;$Q64,'Draft SK'!$AE:$AF,2,FALSE)),"")</f>
        <v/>
      </c>
    </row>
    <row r="65" spans="1:25" ht="15.5" x14ac:dyDescent="0.35">
      <c r="A65" s="51" t="str">
        <f t="shared" si="8"/>
        <v/>
      </c>
      <c r="B65" s="52" t="str">
        <f>IFERROR(VLOOKUP($C$3&amp;$A65,'Data Induk Pegawai'!$A:$Z,B$6,FALSE),"")</f>
        <v/>
      </c>
      <c r="C65" s="53" t="str">
        <f>IFERROR(VLOOKUP($C$3&amp;$A65,'Data Induk Pegawai'!$A:$Z,C$6,FALSE),"")</f>
        <v/>
      </c>
      <c r="D65" s="54" t="str">
        <f>IFERROR(VLOOKUP($C$3&amp;$A65,'Data Induk Pegawai'!$A:$Z,D$6,FALSE),"")</f>
        <v/>
      </c>
      <c r="E65" s="53" t="str">
        <f>IFERROR(VLOOKUP($C$3&amp;$A65,'Data Induk Pegawai'!$A:$Z,E$6,FALSE),"")</f>
        <v/>
      </c>
      <c r="F65" s="91" t="str">
        <f>IFERROR(VLOOKUP($C$3&amp;$A65,'Data Induk Pegawai'!$A:$Z,F$6,FALSE),"")</f>
        <v/>
      </c>
      <c r="G65" s="54" t="str">
        <f>IFERROR(VLOOKUP($C$3&amp;$A65,'Data Induk Pegawai'!$A:$Z,G$6,FALSE),"")</f>
        <v/>
      </c>
      <c r="H65" s="54" t="str">
        <f>IFERROR(VLOOKUP($C$3&amp;$A65,'Data Induk Pegawai'!$A:$Z,H$6,FALSE),"")</f>
        <v/>
      </c>
      <c r="I65" s="54" t="str">
        <f>IFERROR(VLOOKUP($C$3&amp;$A65,'Data Induk Pegawai'!$A:$Z,I$6,FALSE),"")</f>
        <v/>
      </c>
      <c r="J65" s="53" t="str">
        <f>IFERROR(VLOOKUP($C$3&amp;$A65,'Data Induk Pegawai'!$A:$Z,J$6,FALSE),"")</f>
        <v/>
      </c>
      <c r="K65" s="54" t="str">
        <f>IF(B65="","",VLOOKUP($C$3&amp;$A65,'Data Induk Pegawai'!$A:$Z,K$6,FALSE))</f>
        <v/>
      </c>
      <c r="L65" s="54" t="str">
        <f>IF(B65="","",VLOOKUP($C$3&amp;$A65,'Data Induk Pegawai'!$A:$Z,L$6,FALSE))</f>
        <v/>
      </c>
      <c r="M65" s="54" t="str">
        <f>IFERROR(VLOOKUP("1GPTT"&amp;Q65,'Draft SK'!AB:AG,6,FALSE),"")</f>
        <v/>
      </c>
      <c r="N65" s="54" t="str">
        <f>IFERROR(VLOOKUP("1GPTT"&amp;Q65,'Draft SK'!AB:AG,5,FALSE),"")</f>
        <v/>
      </c>
      <c r="O65" s="54" t="str">
        <f t="shared" si="0"/>
        <v/>
      </c>
      <c r="P65" s="54" t="str">
        <f t="shared" si="1"/>
        <v/>
      </c>
      <c r="Q65" s="53" t="str">
        <f>IF(C65="","",VLOOKUP($C$3&amp;$A65,'Data Induk Pegawai'!$A:$Z,Q$6,FALSE))</f>
        <v/>
      </c>
      <c r="R65" s="51" t="str">
        <f t="shared" ca="1" si="2"/>
        <v/>
      </c>
      <c r="S65" s="51" t="str">
        <f t="shared" si="3"/>
        <v/>
      </c>
      <c r="T65" s="123" t="str">
        <f t="shared" si="4"/>
        <v/>
      </c>
      <c r="U65" s="123" t="str">
        <f t="shared" si="5"/>
        <v>-</v>
      </c>
      <c r="V65" s="123" t="str">
        <f>U65&amp;COUNTIFS(U$9:U65,U65)</f>
        <v>-51</v>
      </c>
      <c r="W65" s="123" t="str">
        <f t="shared" si="6"/>
        <v>-</v>
      </c>
      <c r="X65" s="123" t="str">
        <f t="shared" si="7"/>
        <v>-</v>
      </c>
      <c r="Y65" s="9" t="str">
        <f>IFERROR(IFERROR(IFERROR(IFERROR(VLOOKUP(Y$8&amp;"GTY"&amp;$Q65,'Draft SK'!$AE:$AF,2,FALSE),VLOOKUP(Y$8&amp;"PTY"&amp;$Q65,'Draft SK'!$AE:$AF,2,FALSE)),VLOOKUP(Y$8&amp;"GTT"&amp;$Q65,'Draft SK'!$AE:$AF,2,FALSE)),VLOOKUP(Y$8&amp;"PTT"&amp;$Q65,'Draft SK'!$AE:$AF,2,FALSE)),"")</f>
        <v/>
      </c>
    </row>
    <row r="66" spans="1:25" ht="15.5" x14ac:dyDescent="0.35">
      <c r="A66" s="51" t="str">
        <f t="shared" si="8"/>
        <v/>
      </c>
      <c r="B66" s="52" t="str">
        <f>IFERROR(VLOOKUP($C$3&amp;$A66,'Data Induk Pegawai'!$A:$Z,B$6,FALSE),"")</f>
        <v/>
      </c>
      <c r="C66" s="53" t="str">
        <f>IFERROR(VLOOKUP($C$3&amp;$A66,'Data Induk Pegawai'!$A:$Z,C$6,FALSE),"")</f>
        <v/>
      </c>
      <c r="D66" s="54" t="str">
        <f>IFERROR(VLOOKUP($C$3&amp;$A66,'Data Induk Pegawai'!$A:$Z,D$6,FALSE),"")</f>
        <v/>
      </c>
      <c r="E66" s="53" t="str">
        <f>IFERROR(VLOOKUP($C$3&amp;$A66,'Data Induk Pegawai'!$A:$Z,E$6,FALSE),"")</f>
        <v/>
      </c>
      <c r="F66" s="91" t="str">
        <f>IFERROR(VLOOKUP($C$3&amp;$A66,'Data Induk Pegawai'!$A:$Z,F$6,FALSE),"")</f>
        <v/>
      </c>
      <c r="G66" s="54" t="str">
        <f>IFERROR(VLOOKUP($C$3&amp;$A66,'Data Induk Pegawai'!$A:$Z,G$6,FALSE),"")</f>
        <v/>
      </c>
      <c r="H66" s="54" t="str">
        <f>IFERROR(VLOOKUP($C$3&amp;$A66,'Data Induk Pegawai'!$A:$Z,H$6,FALSE),"")</f>
        <v/>
      </c>
      <c r="I66" s="54" t="str">
        <f>IFERROR(VLOOKUP($C$3&amp;$A66,'Data Induk Pegawai'!$A:$Z,I$6,FALSE),"")</f>
        <v/>
      </c>
      <c r="J66" s="53" t="str">
        <f>IFERROR(VLOOKUP($C$3&amp;$A66,'Data Induk Pegawai'!$A:$Z,J$6,FALSE),"")</f>
        <v/>
      </c>
      <c r="K66" s="54" t="str">
        <f>IF(B66="","",VLOOKUP($C$3&amp;$A66,'Data Induk Pegawai'!$A:$Z,K$6,FALSE))</f>
        <v/>
      </c>
      <c r="L66" s="54" t="str">
        <f>IF(B66="","",VLOOKUP($C$3&amp;$A66,'Data Induk Pegawai'!$A:$Z,L$6,FALSE))</f>
        <v/>
      </c>
      <c r="M66" s="54" t="str">
        <f>IFERROR(VLOOKUP("1GPTT"&amp;Q66,'Draft SK'!AB:AG,6,FALSE),"")</f>
        <v/>
      </c>
      <c r="N66" s="54" t="str">
        <f>IFERROR(VLOOKUP("1GPTT"&amp;Q66,'Draft SK'!AB:AG,5,FALSE),"")</f>
        <v/>
      </c>
      <c r="O66" s="54" t="str">
        <f t="shared" si="0"/>
        <v/>
      </c>
      <c r="P66" s="54" t="str">
        <f t="shared" si="1"/>
        <v/>
      </c>
      <c r="Q66" s="53" t="str">
        <f>IF(C66="","",VLOOKUP($C$3&amp;$A66,'Data Induk Pegawai'!$A:$Z,Q$6,FALSE))</f>
        <v/>
      </c>
      <c r="R66" s="51" t="str">
        <f t="shared" ca="1" si="2"/>
        <v/>
      </c>
      <c r="S66" s="51" t="str">
        <f t="shared" si="3"/>
        <v/>
      </c>
      <c r="T66" s="123" t="str">
        <f t="shared" si="4"/>
        <v/>
      </c>
      <c r="U66" s="123" t="str">
        <f t="shared" si="5"/>
        <v>-</v>
      </c>
      <c r="V66" s="123" t="str">
        <f>U66&amp;COUNTIFS(U$9:U66,U66)</f>
        <v>-52</v>
      </c>
      <c r="W66" s="123" t="str">
        <f t="shared" si="6"/>
        <v>-</v>
      </c>
      <c r="X66" s="123" t="str">
        <f t="shared" si="7"/>
        <v>-</v>
      </c>
      <c r="Y66" s="9" t="str">
        <f>IFERROR(IFERROR(IFERROR(IFERROR(VLOOKUP(Y$8&amp;"GTY"&amp;$Q66,'Draft SK'!$AE:$AF,2,FALSE),VLOOKUP(Y$8&amp;"PTY"&amp;$Q66,'Draft SK'!$AE:$AF,2,FALSE)),VLOOKUP(Y$8&amp;"GTT"&amp;$Q66,'Draft SK'!$AE:$AF,2,FALSE)),VLOOKUP(Y$8&amp;"PTT"&amp;$Q66,'Draft SK'!$AE:$AF,2,FALSE)),"")</f>
        <v/>
      </c>
    </row>
    <row r="67" spans="1:25" ht="15.5" x14ac:dyDescent="0.35">
      <c r="A67" s="51" t="str">
        <f t="shared" si="8"/>
        <v/>
      </c>
      <c r="B67" s="52" t="str">
        <f>IFERROR(VLOOKUP($C$3&amp;$A67,'Data Induk Pegawai'!$A:$Z,B$6,FALSE),"")</f>
        <v/>
      </c>
      <c r="C67" s="53" t="str">
        <f>IFERROR(VLOOKUP($C$3&amp;$A67,'Data Induk Pegawai'!$A:$Z,C$6,FALSE),"")</f>
        <v/>
      </c>
      <c r="D67" s="54" t="str">
        <f>IFERROR(VLOOKUP($C$3&amp;$A67,'Data Induk Pegawai'!$A:$Z,D$6,FALSE),"")</f>
        <v/>
      </c>
      <c r="E67" s="53" t="str">
        <f>IFERROR(VLOOKUP($C$3&amp;$A67,'Data Induk Pegawai'!$A:$Z,E$6,FALSE),"")</f>
        <v/>
      </c>
      <c r="F67" s="91" t="str">
        <f>IFERROR(VLOOKUP($C$3&amp;$A67,'Data Induk Pegawai'!$A:$Z,F$6,FALSE),"")</f>
        <v/>
      </c>
      <c r="G67" s="54" t="str">
        <f>IFERROR(VLOOKUP($C$3&amp;$A67,'Data Induk Pegawai'!$A:$Z,G$6,FALSE),"")</f>
        <v/>
      </c>
      <c r="H67" s="54" t="str">
        <f>IFERROR(VLOOKUP($C$3&amp;$A67,'Data Induk Pegawai'!$A:$Z,H$6,FALSE),"")</f>
        <v/>
      </c>
      <c r="I67" s="54" t="str">
        <f>IFERROR(VLOOKUP($C$3&amp;$A67,'Data Induk Pegawai'!$A:$Z,I$6,FALSE),"")</f>
        <v/>
      </c>
      <c r="J67" s="53" t="str">
        <f>IFERROR(VLOOKUP($C$3&amp;$A67,'Data Induk Pegawai'!$A:$Z,J$6,FALSE),"")</f>
        <v/>
      </c>
      <c r="K67" s="54" t="str">
        <f>IF(B67="","",VLOOKUP($C$3&amp;$A67,'Data Induk Pegawai'!$A:$Z,K$6,FALSE))</f>
        <v/>
      </c>
      <c r="L67" s="54" t="str">
        <f>IF(B67="","",VLOOKUP($C$3&amp;$A67,'Data Induk Pegawai'!$A:$Z,L$6,FALSE))</f>
        <v/>
      </c>
      <c r="M67" s="54" t="str">
        <f>IFERROR(VLOOKUP("1GPTT"&amp;Q67,'Draft SK'!AB:AG,6,FALSE),"")</f>
        <v/>
      </c>
      <c r="N67" s="54" t="str">
        <f>IFERROR(VLOOKUP("1GPTT"&amp;Q67,'Draft SK'!AB:AG,5,FALSE),"")</f>
        <v/>
      </c>
      <c r="O67" s="54" t="str">
        <f t="shared" si="0"/>
        <v/>
      </c>
      <c r="P67" s="54" t="str">
        <f t="shared" si="1"/>
        <v/>
      </c>
      <c r="Q67" s="53" t="str">
        <f>IF(C67="","",VLOOKUP($C$3&amp;$A67,'Data Induk Pegawai'!$A:$Z,Q$6,FALSE))</f>
        <v/>
      </c>
      <c r="R67" s="51" t="str">
        <f t="shared" ca="1" si="2"/>
        <v/>
      </c>
      <c r="S67" s="51" t="str">
        <f t="shared" si="3"/>
        <v/>
      </c>
      <c r="T67" s="123" t="str">
        <f t="shared" si="4"/>
        <v/>
      </c>
      <c r="U67" s="123" t="str">
        <f t="shared" si="5"/>
        <v>-</v>
      </c>
      <c r="V67" s="123" t="str">
        <f>U67&amp;COUNTIFS(U$9:U67,U67)</f>
        <v>-53</v>
      </c>
      <c r="W67" s="123" t="str">
        <f t="shared" si="6"/>
        <v>-</v>
      </c>
      <c r="X67" s="123" t="str">
        <f t="shared" si="7"/>
        <v>-</v>
      </c>
      <c r="Y67" s="9" t="str">
        <f>IFERROR(IFERROR(IFERROR(IFERROR(VLOOKUP(Y$8&amp;"GTY"&amp;$Q67,'Draft SK'!$AE:$AF,2,FALSE),VLOOKUP(Y$8&amp;"PTY"&amp;$Q67,'Draft SK'!$AE:$AF,2,FALSE)),VLOOKUP(Y$8&amp;"GTT"&amp;$Q67,'Draft SK'!$AE:$AF,2,FALSE)),VLOOKUP(Y$8&amp;"PTT"&amp;$Q67,'Draft SK'!$AE:$AF,2,FALSE)),"")</f>
        <v/>
      </c>
    </row>
    <row r="68" spans="1:25" ht="15.5" x14ac:dyDescent="0.35">
      <c r="A68" s="51" t="str">
        <f t="shared" si="8"/>
        <v/>
      </c>
      <c r="B68" s="52" t="str">
        <f>IFERROR(VLOOKUP($C$3&amp;$A68,'Data Induk Pegawai'!$A:$Z,B$6,FALSE),"")</f>
        <v/>
      </c>
      <c r="C68" s="53" t="str">
        <f>IFERROR(VLOOKUP($C$3&amp;$A68,'Data Induk Pegawai'!$A:$Z,C$6,FALSE),"")</f>
        <v/>
      </c>
      <c r="D68" s="54" t="str">
        <f>IFERROR(VLOOKUP($C$3&amp;$A68,'Data Induk Pegawai'!$A:$Z,D$6,FALSE),"")</f>
        <v/>
      </c>
      <c r="E68" s="53" t="str">
        <f>IFERROR(VLOOKUP($C$3&amp;$A68,'Data Induk Pegawai'!$A:$Z,E$6,FALSE),"")</f>
        <v/>
      </c>
      <c r="F68" s="91" t="str">
        <f>IFERROR(VLOOKUP($C$3&amp;$A68,'Data Induk Pegawai'!$A:$Z,F$6,FALSE),"")</f>
        <v/>
      </c>
      <c r="G68" s="54" t="str">
        <f>IFERROR(VLOOKUP($C$3&amp;$A68,'Data Induk Pegawai'!$A:$Z,G$6,FALSE),"")</f>
        <v/>
      </c>
      <c r="H68" s="54" t="str">
        <f>IFERROR(VLOOKUP($C$3&amp;$A68,'Data Induk Pegawai'!$A:$Z,H$6,FALSE),"")</f>
        <v/>
      </c>
      <c r="I68" s="54" t="str">
        <f>IFERROR(VLOOKUP($C$3&amp;$A68,'Data Induk Pegawai'!$A:$Z,I$6,FALSE),"")</f>
        <v/>
      </c>
      <c r="J68" s="53" t="str">
        <f>IFERROR(VLOOKUP($C$3&amp;$A68,'Data Induk Pegawai'!$A:$Z,J$6,FALSE),"")</f>
        <v/>
      </c>
      <c r="K68" s="54" t="str">
        <f>IF(B68="","",VLOOKUP($C$3&amp;$A68,'Data Induk Pegawai'!$A:$Z,K$6,FALSE))</f>
        <v/>
      </c>
      <c r="L68" s="54" t="str">
        <f>IF(B68="","",VLOOKUP($C$3&amp;$A68,'Data Induk Pegawai'!$A:$Z,L$6,FALSE))</f>
        <v/>
      </c>
      <c r="M68" s="54" t="str">
        <f>IFERROR(VLOOKUP("1GPTT"&amp;Q68,'Draft SK'!AB:AG,6,FALSE),"")</f>
        <v/>
      </c>
      <c r="N68" s="54" t="str">
        <f>IFERROR(VLOOKUP("1GPTT"&amp;Q68,'Draft SK'!AB:AG,5,FALSE),"")</f>
        <v/>
      </c>
      <c r="O68" s="54" t="str">
        <f t="shared" si="0"/>
        <v/>
      </c>
      <c r="P68" s="54" t="str">
        <f t="shared" si="1"/>
        <v/>
      </c>
      <c r="Q68" s="53" t="str">
        <f>IF(C68="","",VLOOKUP($C$3&amp;$A68,'Data Induk Pegawai'!$A:$Z,Q$6,FALSE))</f>
        <v/>
      </c>
      <c r="R68" s="51" t="str">
        <f t="shared" ca="1" si="2"/>
        <v/>
      </c>
      <c r="S68" s="51" t="str">
        <f t="shared" si="3"/>
        <v/>
      </c>
      <c r="T68" s="123" t="str">
        <f t="shared" si="4"/>
        <v/>
      </c>
      <c r="U68" s="123" t="str">
        <f t="shared" si="5"/>
        <v>-</v>
      </c>
      <c r="V68" s="123" t="str">
        <f>U68&amp;COUNTIFS(U$9:U68,U68)</f>
        <v>-54</v>
      </c>
      <c r="W68" s="123" t="str">
        <f t="shared" si="6"/>
        <v>-</v>
      </c>
      <c r="X68" s="123" t="str">
        <f t="shared" si="7"/>
        <v>-</v>
      </c>
      <c r="Y68" s="9" t="str">
        <f>IFERROR(IFERROR(IFERROR(IFERROR(VLOOKUP(Y$8&amp;"GTY"&amp;$Q68,'Draft SK'!$AE:$AF,2,FALSE),VLOOKUP(Y$8&amp;"PTY"&amp;$Q68,'Draft SK'!$AE:$AF,2,FALSE)),VLOOKUP(Y$8&amp;"GTT"&amp;$Q68,'Draft SK'!$AE:$AF,2,FALSE)),VLOOKUP(Y$8&amp;"PTT"&amp;$Q68,'Draft SK'!$AE:$AF,2,FALSE)),"")</f>
        <v/>
      </c>
    </row>
    <row r="69" spans="1:25" ht="15.5" x14ac:dyDescent="0.35">
      <c r="A69" s="51" t="str">
        <f t="shared" si="8"/>
        <v/>
      </c>
      <c r="B69" s="52" t="str">
        <f>IFERROR(VLOOKUP($C$3&amp;$A69,'Data Induk Pegawai'!$A:$Z,B$6,FALSE),"")</f>
        <v/>
      </c>
      <c r="C69" s="53" t="str">
        <f>IFERROR(VLOOKUP($C$3&amp;$A69,'Data Induk Pegawai'!$A:$Z,C$6,FALSE),"")</f>
        <v/>
      </c>
      <c r="D69" s="54" t="str">
        <f>IFERROR(VLOOKUP($C$3&amp;$A69,'Data Induk Pegawai'!$A:$Z,D$6,FALSE),"")</f>
        <v/>
      </c>
      <c r="E69" s="53" t="str">
        <f>IFERROR(VLOOKUP($C$3&amp;$A69,'Data Induk Pegawai'!$A:$Z,E$6,FALSE),"")</f>
        <v/>
      </c>
      <c r="F69" s="91" t="str">
        <f>IFERROR(VLOOKUP($C$3&amp;$A69,'Data Induk Pegawai'!$A:$Z,F$6,FALSE),"")</f>
        <v/>
      </c>
      <c r="G69" s="54" t="str">
        <f>IFERROR(VLOOKUP($C$3&amp;$A69,'Data Induk Pegawai'!$A:$Z,G$6,FALSE),"")</f>
        <v/>
      </c>
      <c r="H69" s="54" t="str">
        <f>IFERROR(VLOOKUP($C$3&amp;$A69,'Data Induk Pegawai'!$A:$Z,H$6,FALSE),"")</f>
        <v/>
      </c>
      <c r="I69" s="54" t="str">
        <f>IFERROR(VLOOKUP($C$3&amp;$A69,'Data Induk Pegawai'!$A:$Z,I$6,FALSE),"")</f>
        <v/>
      </c>
      <c r="J69" s="53" t="str">
        <f>IFERROR(VLOOKUP($C$3&amp;$A69,'Data Induk Pegawai'!$A:$Z,J$6,FALSE),"")</f>
        <v/>
      </c>
      <c r="K69" s="54" t="str">
        <f>IF(B69="","",VLOOKUP($C$3&amp;$A69,'Data Induk Pegawai'!$A:$Z,K$6,FALSE))</f>
        <v/>
      </c>
      <c r="L69" s="54" t="str">
        <f>IF(B69="","",VLOOKUP($C$3&amp;$A69,'Data Induk Pegawai'!$A:$Z,L$6,FALSE))</f>
        <v/>
      </c>
      <c r="M69" s="54" t="str">
        <f>IFERROR(VLOOKUP("1GPTT"&amp;Q69,'Draft SK'!AB:AG,6,FALSE),"")</f>
        <v/>
      </c>
      <c r="N69" s="54" t="str">
        <f>IFERROR(VLOOKUP("1GPTT"&amp;Q69,'Draft SK'!AB:AG,5,FALSE),"")</f>
        <v/>
      </c>
      <c r="O69" s="54" t="str">
        <f t="shared" si="0"/>
        <v/>
      </c>
      <c r="P69" s="54" t="str">
        <f t="shared" si="1"/>
        <v/>
      </c>
      <c r="Q69" s="53" t="str">
        <f>IF(C69="","",VLOOKUP($C$3&amp;$A69,'Data Induk Pegawai'!$A:$Z,Q$6,FALSE))</f>
        <v/>
      </c>
      <c r="R69" s="51" t="str">
        <f t="shared" ca="1" si="2"/>
        <v/>
      </c>
      <c r="S69" s="51" t="str">
        <f t="shared" si="3"/>
        <v/>
      </c>
      <c r="T69" s="123" t="str">
        <f t="shared" si="4"/>
        <v/>
      </c>
      <c r="U69" s="123" t="str">
        <f t="shared" si="5"/>
        <v>-</v>
      </c>
      <c r="V69" s="123" t="str">
        <f>U69&amp;COUNTIFS(U$9:U69,U69)</f>
        <v>-55</v>
      </c>
      <c r="W69" s="123" t="str">
        <f t="shared" si="6"/>
        <v>-</v>
      </c>
      <c r="X69" s="123" t="str">
        <f t="shared" si="7"/>
        <v>-</v>
      </c>
      <c r="Y69" s="9" t="str">
        <f>IFERROR(IFERROR(IFERROR(IFERROR(VLOOKUP(Y$8&amp;"GTY"&amp;$Q69,'Draft SK'!$AE:$AF,2,FALSE),VLOOKUP(Y$8&amp;"PTY"&amp;$Q69,'Draft SK'!$AE:$AF,2,FALSE)),VLOOKUP(Y$8&amp;"GTT"&amp;$Q69,'Draft SK'!$AE:$AF,2,FALSE)),VLOOKUP(Y$8&amp;"PTT"&amp;$Q69,'Draft SK'!$AE:$AF,2,FALSE)),"")</f>
        <v/>
      </c>
    </row>
    <row r="70" spans="1:25" ht="15.5" x14ac:dyDescent="0.35">
      <c r="A70" s="51" t="str">
        <f t="shared" si="8"/>
        <v/>
      </c>
      <c r="B70" s="52" t="str">
        <f>IFERROR(VLOOKUP($C$3&amp;$A70,'Data Induk Pegawai'!$A:$Z,B$6,FALSE),"")</f>
        <v/>
      </c>
      <c r="C70" s="53" t="str">
        <f>IFERROR(VLOOKUP($C$3&amp;$A70,'Data Induk Pegawai'!$A:$Z,C$6,FALSE),"")</f>
        <v/>
      </c>
      <c r="D70" s="54" t="str">
        <f>IFERROR(VLOOKUP($C$3&amp;$A70,'Data Induk Pegawai'!$A:$Z,D$6,FALSE),"")</f>
        <v/>
      </c>
      <c r="E70" s="53" t="str">
        <f>IFERROR(VLOOKUP($C$3&amp;$A70,'Data Induk Pegawai'!$A:$Z,E$6,FALSE),"")</f>
        <v/>
      </c>
      <c r="F70" s="91" t="str">
        <f>IFERROR(VLOOKUP($C$3&amp;$A70,'Data Induk Pegawai'!$A:$Z,F$6,FALSE),"")</f>
        <v/>
      </c>
      <c r="G70" s="54" t="str">
        <f>IFERROR(VLOOKUP($C$3&amp;$A70,'Data Induk Pegawai'!$A:$Z,G$6,FALSE),"")</f>
        <v/>
      </c>
      <c r="H70" s="54" t="str">
        <f>IFERROR(VLOOKUP($C$3&amp;$A70,'Data Induk Pegawai'!$A:$Z,H$6,FALSE),"")</f>
        <v/>
      </c>
      <c r="I70" s="54" t="str">
        <f>IFERROR(VLOOKUP($C$3&amp;$A70,'Data Induk Pegawai'!$A:$Z,I$6,FALSE),"")</f>
        <v/>
      </c>
      <c r="J70" s="53" t="str">
        <f>IFERROR(VLOOKUP($C$3&amp;$A70,'Data Induk Pegawai'!$A:$Z,J$6,FALSE),"")</f>
        <v/>
      </c>
      <c r="K70" s="54" t="str">
        <f>IF(B70="","",VLOOKUP($C$3&amp;$A70,'Data Induk Pegawai'!$A:$Z,K$6,FALSE))</f>
        <v/>
      </c>
      <c r="L70" s="54" t="str">
        <f>IF(B70="","",VLOOKUP($C$3&amp;$A70,'Data Induk Pegawai'!$A:$Z,L$6,FALSE))</f>
        <v/>
      </c>
      <c r="M70" s="54" t="str">
        <f>IFERROR(VLOOKUP("1GPTT"&amp;Q70,'Draft SK'!AB:AG,6,FALSE),"")</f>
        <v/>
      </c>
      <c r="N70" s="54" t="str">
        <f>IFERROR(VLOOKUP("1GPTT"&amp;Q70,'Draft SK'!AB:AG,5,FALSE),"")</f>
        <v/>
      </c>
      <c r="O70" s="54" t="str">
        <f t="shared" si="0"/>
        <v/>
      </c>
      <c r="P70" s="54" t="str">
        <f t="shared" si="1"/>
        <v/>
      </c>
      <c r="Q70" s="53" t="str">
        <f>IF(C70="","",VLOOKUP($C$3&amp;$A70,'Data Induk Pegawai'!$A:$Z,Q$6,FALSE))</f>
        <v/>
      </c>
      <c r="R70" s="51" t="str">
        <f t="shared" ca="1" si="2"/>
        <v/>
      </c>
      <c r="S70" s="51" t="str">
        <f t="shared" si="3"/>
        <v/>
      </c>
      <c r="T70" s="123" t="str">
        <f t="shared" si="4"/>
        <v/>
      </c>
      <c r="U70" s="123" t="str">
        <f t="shared" si="5"/>
        <v>-</v>
      </c>
      <c r="V70" s="123" t="str">
        <f>U70&amp;COUNTIFS(U$9:U70,U70)</f>
        <v>-56</v>
      </c>
      <c r="W70" s="123" t="str">
        <f t="shared" si="6"/>
        <v>-</v>
      </c>
      <c r="X70" s="123" t="str">
        <f t="shared" si="7"/>
        <v>-</v>
      </c>
      <c r="Y70" s="9" t="str">
        <f>IFERROR(IFERROR(IFERROR(IFERROR(VLOOKUP(Y$8&amp;"GTY"&amp;$Q70,'Draft SK'!$AE:$AF,2,FALSE),VLOOKUP(Y$8&amp;"PTY"&amp;$Q70,'Draft SK'!$AE:$AF,2,FALSE)),VLOOKUP(Y$8&amp;"GTT"&amp;$Q70,'Draft SK'!$AE:$AF,2,FALSE)),VLOOKUP(Y$8&amp;"PTT"&amp;$Q70,'Draft SK'!$AE:$AF,2,FALSE)),"")</f>
        <v/>
      </c>
    </row>
    <row r="71" spans="1:25" ht="15.5" x14ac:dyDescent="0.35">
      <c r="A71" s="51" t="str">
        <f t="shared" si="8"/>
        <v/>
      </c>
      <c r="B71" s="52" t="str">
        <f>IFERROR(VLOOKUP($C$3&amp;$A71,'Data Induk Pegawai'!$A:$Z,B$6,FALSE),"")</f>
        <v/>
      </c>
      <c r="C71" s="53" t="str">
        <f>IFERROR(VLOOKUP($C$3&amp;$A71,'Data Induk Pegawai'!$A:$Z,C$6,FALSE),"")</f>
        <v/>
      </c>
      <c r="D71" s="54" t="str">
        <f>IFERROR(VLOOKUP($C$3&amp;$A71,'Data Induk Pegawai'!$A:$Z,D$6,FALSE),"")</f>
        <v/>
      </c>
      <c r="E71" s="53" t="str">
        <f>IFERROR(VLOOKUP($C$3&amp;$A71,'Data Induk Pegawai'!$A:$Z,E$6,FALSE),"")</f>
        <v/>
      </c>
      <c r="F71" s="91" t="str">
        <f>IFERROR(VLOOKUP($C$3&amp;$A71,'Data Induk Pegawai'!$A:$Z,F$6,FALSE),"")</f>
        <v/>
      </c>
      <c r="G71" s="54" t="str">
        <f>IFERROR(VLOOKUP($C$3&amp;$A71,'Data Induk Pegawai'!$A:$Z,G$6,FALSE),"")</f>
        <v/>
      </c>
      <c r="H71" s="54" t="str">
        <f>IFERROR(VLOOKUP($C$3&amp;$A71,'Data Induk Pegawai'!$A:$Z,H$6,FALSE),"")</f>
        <v/>
      </c>
      <c r="I71" s="54" t="str">
        <f>IFERROR(VLOOKUP($C$3&amp;$A71,'Data Induk Pegawai'!$A:$Z,I$6,FALSE),"")</f>
        <v/>
      </c>
      <c r="J71" s="53" t="str">
        <f>IFERROR(VLOOKUP($C$3&amp;$A71,'Data Induk Pegawai'!$A:$Z,J$6,FALSE),"")</f>
        <v/>
      </c>
      <c r="K71" s="54" t="str">
        <f>IF(B71="","",VLOOKUP($C$3&amp;$A71,'Data Induk Pegawai'!$A:$Z,K$6,FALSE))</f>
        <v/>
      </c>
      <c r="L71" s="54" t="str">
        <f>IF(B71="","",VLOOKUP($C$3&amp;$A71,'Data Induk Pegawai'!$A:$Z,L$6,FALSE))</f>
        <v/>
      </c>
      <c r="M71" s="54" t="str">
        <f>IFERROR(VLOOKUP("1GPTT"&amp;Q71,'Draft SK'!AB:AG,6,FALSE),"")</f>
        <v/>
      </c>
      <c r="N71" s="54" t="str">
        <f>IFERROR(VLOOKUP("1GPTT"&amp;Q71,'Draft SK'!AB:AG,5,FALSE),"")</f>
        <v/>
      </c>
      <c r="O71" s="54" t="str">
        <f t="shared" si="0"/>
        <v/>
      </c>
      <c r="P71" s="54" t="str">
        <f t="shared" si="1"/>
        <v/>
      </c>
      <c r="Q71" s="53" t="str">
        <f>IF(C71="","",VLOOKUP($C$3&amp;$A71,'Data Induk Pegawai'!$A:$Z,Q$6,FALSE))</f>
        <v/>
      </c>
      <c r="R71" s="51" t="str">
        <f t="shared" ca="1" si="2"/>
        <v/>
      </c>
      <c r="S71" s="51" t="str">
        <f t="shared" si="3"/>
        <v/>
      </c>
      <c r="T71" s="123" t="str">
        <f t="shared" si="4"/>
        <v/>
      </c>
      <c r="U71" s="123" t="str">
        <f t="shared" si="5"/>
        <v>-</v>
      </c>
      <c r="V71" s="123" t="str">
        <f>U71&amp;COUNTIFS(U$9:U71,U71)</f>
        <v>-57</v>
      </c>
      <c r="W71" s="123" t="str">
        <f t="shared" si="6"/>
        <v>-</v>
      </c>
      <c r="X71" s="123" t="str">
        <f t="shared" si="7"/>
        <v>-</v>
      </c>
      <c r="Y71" s="9" t="str">
        <f>IFERROR(IFERROR(IFERROR(IFERROR(VLOOKUP(Y$8&amp;"GTY"&amp;$Q71,'Draft SK'!$AE:$AF,2,FALSE),VLOOKUP(Y$8&amp;"PTY"&amp;$Q71,'Draft SK'!$AE:$AF,2,FALSE)),VLOOKUP(Y$8&amp;"GTT"&amp;$Q71,'Draft SK'!$AE:$AF,2,FALSE)),VLOOKUP(Y$8&amp;"PTT"&amp;$Q71,'Draft SK'!$AE:$AF,2,FALSE)),"")</f>
        <v/>
      </c>
    </row>
    <row r="72" spans="1:25" ht="15.5" x14ac:dyDescent="0.35">
      <c r="A72" s="51" t="str">
        <f t="shared" si="8"/>
        <v/>
      </c>
      <c r="B72" s="52" t="str">
        <f>IFERROR(VLOOKUP($C$3&amp;$A72,'Data Induk Pegawai'!$A:$Z,B$6,FALSE),"")</f>
        <v/>
      </c>
      <c r="C72" s="53" t="str">
        <f>IFERROR(VLOOKUP($C$3&amp;$A72,'Data Induk Pegawai'!$A:$Z,C$6,FALSE),"")</f>
        <v/>
      </c>
      <c r="D72" s="54" t="str">
        <f>IFERROR(VLOOKUP($C$3&amp;$A72,'Data Induk Pegawai'!$A:$Z,D$6,FALSE),"")</f>
        <v/>
      </c>
      <c r="E72" s="53" t="str">
        <f>IFERROR(VLOOKUP($C$3&amp;$A72,'Data Induk Pegawai'!$A:$Z,E$6,FALSE),"")</f>
        <v/>
      </c>
      <c r="F72" s="91" t="str">
        <f>IFERROR(VLOOKUP($C$3&amp;$A72,'Data Induk Pegawai'!$A:$Z,F$6,FALSE),"")</f>
        <v/>
      </c>
      <c r="G72" s="54" t="str">
        <f>IFERROR(VLOOKUP($C$3&amp;$A72,'Data Induk Pegawai'!$A:$Z,G$6,FALSE),"")</f>
        <v/>
      </c>
      <c r="H72" s="54" t="str">
        <f>IFERROR(VLOOKUP($C$3&amp;$A72,'Data Induk Pegawai'!$A:$Z,H$6,FALSE),"")</f>
        <v/>
      </c>
      <c r="I72" s="54" t="str">
        <f>IFERROR(VLOOKUP($C$3&amp;$A72,'Data Induk Pegawai'!$A:$Z,I$6,FALSE),"")</f>
        <v/>
      </c>
      <c r="J72" s="53" t="str">
        <f>IFERROR(VLOOKUP($C$3&amp;$A72,'Data Induk Pegawai'!$A:$Z,J$6,FALSE),"")</f>
        <v/>
      </c>
      <c r="K72" s="54" t="str">
        <f>IF(B72="","",VLOOKUP($C$3&amp;$A72,'Data Induk Pegawai'!$A:$Z,K$6,FALSE))</f>
        <v/>
      </c>
      <c r="L72" s="54" t="str">
        <f>IF(B72="","",VLOOKUP($C$3&amp;$A72,'Data Induk Pegawai'!$A:$Z,L$6,FALSE))</f>
        <v/>
      </c>
      <c r="M72" s="54" t="str">
        <f>IFERROR(VLOOKUP("1GPTT"&amp;Q72,'Draft SK'!AB:AG,6,FALSE),"")</f>
        <v/>
      </c>
      <c r="N72" s="54" t="str">
        <f>IFERROR(VLOOKUP("1GPTT"&amp;Q72,'Draft SK'!AB:AG,5,FALSE),"")</f>
        <v/>
      </c>
      <c r="O72" s="54" t="str">
        <f t="shared" si="0"/>
        <v/>
      </c>
      <c r="P72" s="54" t="str">
        <f t="shared" si="1"/>
        <v/>
      </c>
      <c r="Q72" s="53" t="str">
        <f>IF(C72="","",VLOOKUP($C$3&amp;$A72,'Data Induk Pegawai'!$A:$Z,Q$6,FALSE))</f>
        <v/>
      </c>
      <c r="R72" s="51" t="str">
        <f t="shared" ca="1" si="2"/>
        <v/>
      </c>
      <c r="S72" s="51" t="str">
        <f t="shared" si="3"/>
        <v/>
      </c>
      <c r="T72" s="123" t="str">
        <f t="shared" si="4"/>
        <v/>
      </c>
      <c r="U72" s="123" t="str">
        <f t="shared" si="5"/>
        <v>-</v>
      </c>
      <c r="V72" s="123" t="str">
        <f>U72&amp;COUNTIFS(U$9:U72,U72)</f>
        <v>-58</v>
      </c>
      <c r="W72" s="123" t="str">
        <f t="shared" si="6"/>
        <v>-</v>
      </c>
      <c r="X72" s="123" t="str">
        <f t="shared" si="7"/>
        <v>-</v>
      </c>
      <c r="Y72" s="9" t="str">
        <f>IFERROR(IFERROR(IFERROR(IFERROR(VLOOKUP(Y$8&amp;"GTY"&amp;$Q72,'Draft SK'!$AE:$AF,2,FALSE),VLOOKUP(Y$8&amp;"PTY"&amp;$Q72,'Draft SK'!$AE:$AF,2,FALSE)),VLOOKUP(Y$8&amp;"GTT"&amp;$Q72,'Draft SK'!$AE:$AF,2,FALSE)),VLOOKUP(Y$8&amp;"PTT"&amp;$Q72,'Draft SK'!$AE:$AF,2,FALSE)),"")</f>
        <v/>
      </c>
    </row>
    <row r="73" spans="1:25" ht="15.5" x14ac:dyDescent="0.35">
      <c r="A73" s="51" t="str">
        <f t="shared" si="8"/>
        <v/>
      </c>
      <c r="B73" s="52" t="str">
        <f>IFERROR(VLOOKUP($C$3&amp;$A73,'Data Induk Pegawai'!$A:$Z,B$6,FALSE),"")</f>
        <v/>
      </c>
      <c r="C73" s="53" t="str">
        <f>IFERROR(VLOOKUP($C$3&amp;$A73,'Data Induk Pegawai'!$A:$Z,C$6,FALSE),"")</f>
        <v/>
      </c>
      <c r="D73" s="54" t="str">
        <f>IFERROR(VLOOKUP($C$3&amp;$A73,'Data Induk Pegawai'!$A:$Z,D$6,FALSE),"")</f>
        <v/>
      </c>
      <c r="E73" s="53" t="str">
        <f>IFERROR(VLOOKUP($C$3&amp;$A73,'Data Induk Pegawai'!$A:$Z,E$6,FALSE),"")</f>
        <v/>
      </c>
      <c r="F73" s="91" t="str">
        <f>IFERROR(VLOOKUP($C$3&amp;$A73,'Data Induk Pegawai'!$A:$Z,F$6,FALSE),"")</f>
        <v/>
      </c>
      <c r="G73" s="54" t="str">
        <f>IFERROR(VLOOKUP($C$3&amp;$A73,'Data Induk Pegawai'!$A:$Z,G$6,FALSE),"")</f>
        <v/>
      </c>
      <c r="H73" s="54" t="str">
        <f>IFERROR(VLOOKUP($C$3&amp;$A73,'Data Induk Pegawai'!$A:$Z,H$6,FALSE),"")</f>
        <v/>
      </c>
      <c r="I73" s="54" t="str">
        <f>IFERROR(VLOOKUP($C$3&amp;$A73,'Data Induk Pegawai'!$A:$Z,I$6,FALSE),"")</f>
        <v/>
      </c>
      <c r="J73" s="53" t="str">
        <f>IFERROR(VLOOKUP($C$3&amp;$A73,'Data Induk Pegawai'!$A:$Z,J$6,FALSE),"")</f>
        <v/>
      </c>
      <c r="K73" s="54" t="str">
        <f>IF(B73="","",VLOOKUP($C$3&amp;$A73,'Data Induk Pegawai'!$A:$Z,K$6,FALSE))</f>
        <v/>
      </c>
      <c r="L73" s="54" t="str">
        <f>IF(B73="","",VLOOKUP($C$3&amp;$A73,'Data Induk Pegawai'!$A:$Z,L$6,FALSE))</f>
        <v/>
      </c>
      <c r="M73" s="54" t="str">
        <f>IFERROR(VLOOKUP("1GPTT"&amp;Q73,'Draft SK'!AB:AG,6,FALSE),"")</f>
        <v/>
      </c>
      <c r="N73" s="54" t="str">
        <f>IFERROR(VLOOKUP("1GPTT"&amp;Q73,'Draft SK'!AB:AG,5,FALSE),"")</f>
        <v/>
      </c>
      <c r="O73" s="54" t="str">
        <f t="shared" si="0"/>
        <v/>
      </c>
      <c r="P73" s="54" t="str">
        <f t="shared" si="1"/>
        <v/>
      </c>
      <c r="Q73" s="53" t="str">
        <f>IF(C73="","",VLOOKUP($C$3&amp;$A73,'Data Induk Pegawai'!$A:$Z,Q$6,FALSE))</f>
        <v/>
      </c>
      <c r="R73" s="51" t="str">
        <f t="shared" ca="1" si="2"/>
        <v/>
      </c>
      <c r="S73" s="51" t="str">
        <f t="shared" si="3"/>
        <v/>
      </c>
      <c r="T73" s="123" t="str">
        <f t="shared" si="4"/>
        <v/>
      </c>
      <c r="U73" s="123" t="str">
        <f t="shared" si="5"/>
        <v>-</v>
      </c>
      <c r="V73" s="123" t="str">
        <f>U73&amp;COUNTIFS(U$9:U73,U73)</f>
        <v>-59</v>
      </c>
      <c r="W73" s="123" t="str">
        <f t="shared" si="6"/>
        <v>-</v>
      </c>
      <c r="X73" s="123" t="str">
        <f t="shared" si="7"/>
        <v>-</v>
      </c>
      <c r="Y73" s="9" t="str">
        <f>IFERROR(IFERROR(IFERROR(IFERROR(VLOOKUP(Y$8&amp;"GTY"&amp;$Q73,'Draft SK'!$AE:$AF,2,FALSE),VLOOKUP(Y$8&amp;"PTY"&amp;$Q73,'Draft SK'!$AE:$AF,2,FALSE)),VLOOKUP(Y$8&amp;"GTT"&amp;$Q73,'Draft SK'!$AE:$AF,2,FALSE)),VLOOKUP(Y$8&amp;"PTT"&amp;$Q73,'Draft SK'!$AE:$AF,2,FALSE)),"")</f>
        <v/>
      </c>
    </row>
    <row r="74" spans="1:25" ht="15.5" x14ac:dyDescent="0.35">
      <c r="A74" s="51" t="str">
        <f t="shared" si="8"/>
        <v/>
      </c>
      <c r="B74" s="52" t="str">
        <f>IFERROR(VLOOKUP($C$3&amp;$A74,'Data Induk Pegawai'!$A:$Z,B$6,FALSE),"")</f>
        <v/>
      </c>
      <c r="C74" s="53" t="str">
        <f>IFERROR(VLOOKUP($C$3&amp;$A74,'Data Induk Pegawai'!$A:$Z,C$6,FALSE),"")</f>
        <v/>
      </c>
      <c r="D74" s="54" t="str">
        <f>IFERROR(VLOOKUP($C$3&amp;$A74,'Data Induk Pegawai'!$A:$Z,D$6,FALSE),"")</f>
        <v/>
      </c>
      <c r="E74" s="53" t="str">
        <f>IFERROR(VLOOKUP($C$3&amp;$A74,'Data Induk Pegawai'!$A:$Z,E$6,FALSE),"")</f>
        <v/>
      </c>
      <c r="F74" s="91" t="str">
        <f>IFERROR(VLOOKUP($C$3&amp;$A74,'Data Induk Pegawai'!$A:$Z,F$6,FALSE),"")</f>
        <v/>
      </c>
      <c r="G74" s="54" t="str">
        <f>IFERROR(VLOOKUP($C$3&amp;$A74,'Data Induk Pegawai'!$A:$Z,G$6,FALSE),"")</f>
        <v/>
      </c>
      <c r="H74" s="54" t="str">
        <f>IFERROR(VLOOKUP($C$3&amp;$A74,'Data Induk Pegawai'!$A:$Z,H$6,FALSE),"")</f>
        <v/>
      </c>
      <c r="I74" s="54" t="str">
        <f>IFERROR(VLOOKUP($C$3&amp;$A74,'Data Induk Pegawai'!$A:$Z,I$6,FALSE),"")</f>
        <v/>
      </c>
      <c r="J74" s="53" t="str">
        <f>IFERROR(VLOOKUP($C$3&amp;$A74,'Data Induk Pegawai'!$A:$Z,J$6,FALSE),"")</f>
        <v/>
      </c>
      <c r="K74" s="54" t="str">
        <f>IF(B74="","",VLOOKUP($C$3&amp;$A74,'Data Induk Pegawai'!$A:$Z,K$6,FALSE))</f>
        <v/>
      </c>
      <c r="L74" s="54" t="str">
        <f>IF(B74="","",VLOOKUP($C$3&amp;$A74,'Data Induk Pegawai'!$A:$Z,L$6,FALSE))</f>
        <v/>
      </c>
      <c r="M74" s="54" t="str">
        <f>IFERROR(VLOOKUP("1GPTT"&amp;Q74,'Draft SK'!AB:AG,6,FALSE),"")</f>
        <v/>
      </c>
      <c r="N74" s="54" t="str">
        <f>IFERROR(VLOOKUP("1GPTT"&amp;Q74,'Draft SK'!AB:AG,5,FALSE),"")</f>
        <v/>
      </c>
      <c r="O74" s="54" t="str">
        <f t="shared" ref="O74:O120" si="9">IF(K74="--",M74,IF(K74&gt;M74,K74,M74))</f>
        <v/>
      </c>
      <c r="P74" s="54" t="str">
        <f t="shared" ref="P74:P120" si="10">IF(K74="--",N74,IF(K74&gt;M74,L74,N74))</f>
        <v/>
      </c>
      <c r="Q74" s="53" t="str">
        <f>IF(C74="","",VLOOKUP($C$3&amp;$A74,'Data Induk Pegawai'!$A:$Z,Q$6,FALSE))</f>
        <v/>
      </c>
      <c r="R74" s="51" t="str">
        <f t="shared" ref="R74:R120" ca="1" si="11">IFERROR(IF(B74="","",DATEDIF(G74,NOW(),"M")),DATEDIF(D74,NOW(),"M"))</f>
        <v/>
      </c>
      <c r="S74" s="51" t="str">
        <f t="shared" ref="S74:S120" si="12">IF(B74="","",IF(E74="MG","Mg ","")&amp;IF(R74/12&gt;1,TEXT(R74/12,"#,#0")&amp;" Tahun",R74&amp;" Bulan"))</f>
        <v/>
      </c>
      <c r="T74" s="123" t="str">
        <f t="shared" ref="T74:T120" si="13">IF(B74="","",IF(E74="MG",EDATE(D74,3),IF(RIGHT(E74,1)="Y","Done",DATE(YEAR(O74)+1,MONTH(O74),DAY(O74)))))</f>
        <v/>
      </c>
      <c r="U74" s="123" t="str">
        <f t="shared" ref="U74:U120" si="14">IF(OR(T74="",T74="Done"),"-",IF(T74-U$8&lt;40,"A","-"))</f>
        <v>-</v>
      </c>
      <c r="V74" s="123" t="str">
        <f>U74&amp;COUNTIFS(U$9:U74,U74)</f>
        <v>-60</v>
      </c>
      <c r="W74" s="123" t="str">
        <f t="shared" ref="W74:W120" si="15">IF(U74="A",B74,U74)</f>
        <v>-</v>
      </c>
      <c r="X74" s="123" t="str">
        <f t="shared" ref="X74:X120" si="16">IF(U74="A",T74,W74)</f>
        <v>-</v>
      </c>
      <c r="Y74" s="9" t="str">
        <f>IFERROR(IFERROR(IFERROR(IFERROR(VLOOKUP(Y$8&amp;"GTY"&amp;$Q74,'Draft SK'!$AE:$AF,2,FALSE),VLOOKUP(Y$8&amp;"PTY"&amp;$Q74,'Draft SK'!$AE:$AF,2,FALSE)),VLOOKUP(Y$8&amp;"GTT"&amp;$Q74,'Draft SK'!$AE:$AF,2,FALSE)),VLOOKUP(Y$8&amp;"PTT"&amp;$Q74,'Draft SK'!$AE:$AF,2,FALSE)),"")</f>
        <v/>
      </c>
    </row>
    <row r="75" spans="1:25" ht="15.5" x14ac:dyDescent="0.35">
      <c r="A75" s="51" t="str">
        <f t="shared" ref="A75:A120" si="17">IF(B74="","",A74+1)</f>
        <v/>
      </c>
      <c r="B75" s="52" t="str">
        <f>IFERROR(VLOOKUP($C$3&amp;$A75,'Data Induk Pegawai'!$A:$Z,B$6,FALSE),"")</f>
        <v/>
      </c>
      <c r="C75" s="53" t="str">
        <f>IFERROR(VLOOKUP($C$3&amp;$A75,'Data Induk Pegawai'!$A:$Z,C$6,FALSE),"")</f>
        <v/>
      </c>
      <c r="D75" s="54" t="str">
        <f>IFERROR(VLOOKUP($C$3&amp;$A75,'Data Induk Pegawai'!$A:$Z,D$6,FALSE),"")</f>
        <v/>
      </c>
      <c r="E75" s="53" t="str">
        <f>IFERROR(VLOOKUP($C$3&amp;$A75,'Data Induk Pegawai'!$A:$Z,E$6,FALSE),"")</f>
        <v/>
      </c>
      <c r="F75" s="91" t="str">
        <f>IFERROR(VLOOKUP($C$3&amp;$A75,'Data Induk Pegawai'!$A:$Z,F$6,FALSE),"")</f>
        <v/>
      </c>
      <c r="G75" s="54" t="str">
        <f>IFERROR(VLOOKUP($C$3&amp;$A75,'Data Induk Pegawai'!$A:$Z,G$6,FALSE),"")</f>
        <v/>
      </c>
      <c r="H75" s="54" t="str">
        <f>IFERROR(VLOOKUP($C$3&amp;$A75,'Data Induk Pegawai'!$A:$Z,H$6,FALSE),"")</f>
        <v/>
      </c>
      <c r="I75" s="54" t="str">
        <f>IFERROR(VLOOKUP($C$3&amp;$A75,'Data Induk Pegawai'!$A:$Z,I$6,FALSE),"")</f>
        <v/>
      </c>
      <c r="J75" s="53" t="str">
        <f>IFERROR(VLOOKUP($C$3&amp;$A75,'Data Induk Pegawai'!$A:$Z,J$6,FALSE),"")</f>
        <v/>
      </c>
      <c r="K75" s="54" t="str">
        <f>IF(B75="","",VLOOKUP($C$3&amp;$A75,'Data Induk Pegawai'!$A:$Z,K$6,FALSE))</f>
        <v/>
      </c>
      <c r="L75" s="54" t="str">
        <f>IF(B75="","",VLOOKUP($C$3&amp;$A75,'Data Induk Pegawai'!$A:$Z,L$6,FALSE))</f>
        <v/>
      </c>
      <c r="M75" s="54" t="str">
        <f>IFERROR(VLOOKUP("1GPTT"&amp;Q75,'Draft SK'!AB:AG,6,FALSE),"")</f>
        <v/>
      </c>
      <c r="N75" s="54" t="str">
        <f>IFERROR(VLOOKUP("1GPTT"&amp;Q75,'Draft SK'!AB:AG,5,FALSE),"")</f>
        <v/>
      </c>
      <c r="O75" s="54" t="str">
        <f t="shared" si="9"/>
        <v/>
      </c>
      <c r="P75" s="54" t="str">
        <f t="shared" si="10"/>
        <v/>
      </c>
      <c r="Q75" s="53" t="str">
        <f>IF(C75="","",VLOOKUP($C$3&amp;$A75,'Data Induk Pegawai'!$A:$Z,Q$6,FALSE))</f>
        <v/>
      </c>
      <c r="R75" s="51" t="str">
        <f t="shared" ca="1" si="11"/>
        <v/>
      </c>
      <c r="S75" s="51" t="str">
        <f t="shared" si="12"/>
        <v/>
      </c>
      <c r="T75" s="123" t="str">
        <f t="shared" si="13"/>
        <v/>
      </c>
      <c r="U75" s="123" t="str">
        <f t="shared" si="14"/>
        <v>-</v>
      </c>
      <c r="V75" s="123" t="str">
        <f>U75&amp;COUNTIFS(U$9:U75,U75)</f>
        <v>-61</v>
      </c>
      <c r="W75" s="123" t="str">
        <f t="shared" si="15"/>
        <v>-</v>
      </c>
      <c r="X75" s="123" t="str">
        <f t="shared" si="16"/>
        <v>-</v>
      </c>
      <c r="Y75" s="9" t="str">
        <f>IFERROR(IFERROR(IFERROR(IFERROR(VLOOKUP(Y$8&amp;"GTY"&amp;$Q75,'Draft SK'!$AE:$AF,2,FALSE),VLOOKUP(Y$8&amp;"PTY"&amp;$Q75,'Draft SK'!$AE:$AF,2,FALSE)),VLOOKUP(Y$8&amp;"GTT"&amp;$Q75,'Draft SK'!$AE:$AF,2,FALSE)),VLOOKUP(Y$8&amp;"PTT"&amp;$Q75,'Draft SK'!$AE:$AF,2,FALSE)),"")</f>
        <v/>
      </c>
    </row>
    <row r="76" spans="1:25" ht="15.5" x14ac:dyDescent="0.35">
      <c r="A76" s="51" t="str">
        <f t="shared" si="17"/>
        <v/>
      </c>
      <c r="B76" s="52" t="str">
        <f>IFERROR(VLOOKUP($C$3&amp;$A76,'Data Induk Pegawai'!$A:$Z,B$6,FALSE),"")</f>
        <v/>
      </c>
      <c r="C76" s="53" t="str">
        <f>IFERROR(VLOOKUP($C$3&amp;$A76,'Data Induk Pegawai'!$A:$Z,C$6,FALSE),"")</f>
        <v/>
      </c>
      <c r="D76" s="54" t="str">
        <f>IFERROR(VLOOKUP($C$3&amp;$A76,'Data Induk Pegawai'!$A:$Z,D$6,FALSE),"")</f>
        <v/>
      </c>
      <c r="E76" s="53" t="str">
        <f>IFERROR(VLOOKUP($C$3&amp;$A76,'Data Induk Pegawai'!$A:$Z,E$6,FALSE),"")</f>
        <v/>
      </c>
      <c r="F76" s="91" t="str">
        <f>IFERROR(VLOOKUP($C$3&amp;$A76,'Data Induk Pegawai'!$A:$Z,F$6,FALSE),"")</f>
        <v/>
      </c>
      <c r="G76" s="54" t="str">
        <f>IFERROR(VLOOKUP($C$3&amp;$A76,'Data Induk Pegawai'!$A:$Z,G$6,FALSE),"")</f>
        <v/>
      </c>
      <c r="H76" s="54" t="str">
        <f>IFERROR(VLOOKUP($C$3&amp;$A76,'Data Induk Pegawai'!$A:$Z,H$6,FALSE),"")</f>
        <v/>
      </c>
      <c r="I76" s="54" t="str">
        <f>IFERROR(VLOOKUP($C$3&amp;$A76,'Data Induk Pegawai'!$A:$Z,I$6,FALSE),"")</f>
        <v/>
      </c>
      <c r="J76" s="53" t="str">
        <f>IFERROR(VLOOKUP($C$3&amp;$A76,'Data Induk Pegawai'!$A:$Z,J$6,FALSE),"")</f>
        <v/>
      </c>
      <c r="K76" s="54" t="str">
        <f>IF(B76="","",VLOOKUP($C$3&amp;$A76,'Data Induk Pegawai'!$A:$Z,K$6,FALSE))</f>
        <v/>
      </c>
      <c r="L76" s="54" t="str">
        <f>IF(B76="","",VLOOKUP($C$3&amp;$A76,'Data Induk Pegawai'!$A:$Z,L$6,FALSE))</f>
        <v/>
      </c>
      <c r="M76" s="54" t="str">
        <f>IFERROR(VLOOKUP("1GPTT"&amp;Q76,'Draft SK'!AB:AG,6,FALSE),"")</f>
        <v/>
      </c>
      <c r="N76" s="54" t="str">
        <f>IFERROR(VLOOKUP("1GPTT"&amp;Q76,'Draft SK'!AB:AG,5,FALSE),"")</f>
        <v/>
      </c>
      <c r="O76" s="54" t="str">
        <f t="shared" si="9"/>
        <v/>
      </c>
      <c r="P76" s="54" t="str">
        <f t="shared" si="10"/>
        <v/>
      </c>
      <c r="Q76" s="53" t="str">
        <f>IF(C76="","",VLOOKUP($C$3&amp;$A76,'Data Induk Pegawai'!$A:$Z,Q$6,FALSE))</f>
        <v/>
      </c>
      <c r="R76" s="51" t="str">
        <f t="shared" ca="1" si="11"/>
        <v/>
      </c>
      <c r="S76" s="51" t="str">
        <f t="shared" si="12"/>
        <v/>
      </c>
      <c r="T76" s="123" t="str">
        <f t="shared" si="13"/>
        <v/>
      </c>
      <c r="U76" s="123" t="str">
        <f t="shared" si="14"/>
        <v>-</v>
      </c>
      <c r="V76" s="123" t="str">
        <f>U76&amp;COUNTIFS(U$9:U76,U76)</f>
        <v>-62</v>
      </c>
      <c r="W76" s="123" t="str">
        <f t="shared" si="15"/>
        <v>-</v>
      </c>
      <c r="X76" s="123" t="str">
        <f t="shared" si="16"/>
        <v>-</v>
      </c>
      <c r="Y76" s="9" t="str">
        <f>IFERROR(IFERROR(IFERROR(IFERROR(VLOOKUP(Y$8&amp;"GTY"&amp;$Q76,'Draft SK'!$AE:$AF,2,FALSE),VLOOKUP(Y$8&amp;"PTY"&amp;$Q76,'Draft SK'!$AE:$AF,2,FALSE)),VLOOKUP(Y$8&amp;"GTT"&amp;$Q76,'Draft SK'!$AE:$AF,2,FALSE)),VLOOKUP(Y$8&amp;"PTT"&amp;$Q76,'Draft SK'!$AE:$AF,2,FALSE)),"")</f>
        <v/>
      </c>
    </row>
    <row r="77" spans="1:25" ht="15.5" x14ac:dyDescent="0.35">
      <c r="A77" s="51" t="str">
        <f t="shared" si="17"/>
        <v/>
      </c>
      <c r="B77" s="52" t="str">
        <f>IFERROR(VLOOKUP($C$3&amp;$A77,'Data Induk Pegawai'!$A:$Z,B$6,FALSE),"")</f>
        <v/>
      </c>
      <c r="C77" s="53" t="str">
        <f>IFERROR(VLOOKUP($C$3&amp;$A77,'Data Induk Pegawai'!$A:$Z,C$6,FALSE),"")</f>
        <v/>
      </c>
      <c r="D77" s="54" t="str">
        <f>IFERROR(VLOOKUP($C$3&amp;$A77,'Data Induk Pegawai'!$A:$Z,D$6,FALSE),"")</f>
        <v/>
      </c>
      <c r="E77" s="53" t="str">
        <f>IFERROR(VLOOKUP($C$3&amp;$A77,'Data Induk Pegawai'!$A:$Z,E$6,FALSE),"")</f>
        <v/>
      </c>
      <c r="F77" s="91" t="str">
        <f>IFERROR(VLOOKUP($C$3&amp;$A77,'Data Induk Pegawai'!$A:$Z,F$6,FALSE),"")</f>
        <v/>
      </c>
      <c r="G77" s="54" t="str">
        <f>IFERROR(VLOOKUP($C$3&amp;$A77,'Data Induk Pegawai'!$A:$Z,G$6,FALSE),"")</f>
        <v/>
      </c>
      <c r="H77" s="54" t="str">
        <f>IFERROR(VLOOKUP($C$3&amp;$A77,'Data Induk Pegawai'!$A:$Z,H$6,FALSE),"")</f>
        <v/>
      </c>
      <c r="I77" s="54" t="str">
        <f>IFERROR(VLOOKUP($C$3&amp;$A77,'Data Induk Pegawai'!$A:$Z,I$6,FALSE),"")</f>
        <v/>
      </c>
      <c r="J77" s="53" t="str">
        <f>IFERROR(VLOOKUP($C$3&amp;$A77,'Data Induk Pegawai'!$A:$Z,J$6,FALSE),"")</f>
        <v/>
      </c>
      <c r="K77" s="54" t="str">
        <f>IF(B77="","",VLOOKUP($C$3&amp;$A77,'Data Induk Pegawai'!$A:$Z,K$6,FALSE))</f>
        <v/>
      </c>
      <c r="L77" s="54" t="str">
        <f>IF(B77="","",VLOOKUP($C$3&amp;$A77,'Data Induk Pegawai'!$A:$Z,L$6,FALSE))</f>
        <v/>
      </c>
      <c r="M77" s="54" t="str">
        <f>IFERROR(VLOOKUP("1GPTT"&amp;Q77,'Draft SK'!AB:AG,6,FALSE),"")</f>
        <v/>
      </c>
      <c r="N77" s="54" t="str">
        <f>IFERROR(VLOOKUP("1GPTT"&amp;Q77,'Draft SK'!AB:AG,5,FALSE),"")</f>
        <v/>
      </c>
      <c r="O77" s="54" t="str">
        <f t="shared" si="9"/>
        <v/>
      </c>
      <c r="P77" s="54" t="str">
        <f t="shared" si="10"/>
        <v/>
      </c>
      <c r="Q77" s="53" t="str">
        <f>IF(C77="","",VLOOKUP($C$3&amp;$A77,'Data Induk Pegawai'!$A:$Z,Q$6,FALSE))</f>
        <v/>
      </c>
      <c r="R77" s="51" t="str">
        <f t="shared" ca="1" si="11"/>
        <v/>
      </c>
      <c r="S77" s="51" t="str">
        <f t="shared" si="12"/>
        <v/>
      </c>
      <c r="T77" s="123" t="str">
        <f t="shared" si="13"/>
        <v/>
      </c>
      <c r="U77" s="123" t="str">
        <f t="shared" si="14"/>
        <v>-</v>
      </c>
      <c r="V77" s="123" t="str">
        <f>U77&amp;COUNTIFS(U$9:U77,U77)</f>
        <v>-63</v>
      </c>
      <c r="W77" s="123" t="str">
        <f t="shared" si="15"/>
        <v>-</v>
      </c>
      <c r="X77" s="123" t="str">
        <f t="shared" si="16"/>
        <v>-</v>
      </c>
      <c r="Y77" s="9" t="str">
        <f>IFERROR(IFERROR(IFERROR(IFERROR(VLOOKUP(Y$8&amp;"GTY"&amp;$Q77,'Draft SK'!$AE:$AF,2,FALSE),VLOOKUP(Y$8&amp;"PTY"&amp;$Q77,'Draft SK'!$AE:$AF,2,FALSE)),VLOOKUP(Y$8&amp;"GTT"&amp;$Q77,'Draft SK'!$AE:$AF,2,FALSE)),VLOOKUP(Y$8&amp;"PTT"&amp;$Q77,'Draft SK'!$AE:$AF,2,FALSE)),"")</f>
        <v/>
      </c>
    </row>
    <row r="78" spans="1:25" ht="15.5" x14ac:dyDescent="0.35">
      <c r="A78" s="51" t="str">
        <f t="shared" si="17"/>
        <v/>
      </c>
      <c r="B78" s="52" t="str">
        <f>IFERROR(VLOOKUP($C$3&amp;$A78,'Data Induk Pegawai'!$A:$Z,B$6,FALSE),"")</f>
        <v/>
      </c>
      <c r="C78" s="53" t="str">
        <f>IFERROR(VLOOKUP($C$3&amp;$A78,'Data Induk Pegawai'!$A:$Z,C$6,FALSE),"")</f>
        <v/>
      </c>
      <c r="D78" s="54" t="str">
        <f>IFERROR(VLOOKUP($C$3&amp;$A78,'Data Induk Pegawai'!$A:$Z,D$6,FALSE),"")</f>
        <v/>
      </c>
      <c r="E78" s="53" t="str">
        <f>IFERROR(VLOOKUP($C$3&amp;$A78,'Data Induk Pegawai'!$A:$Z,E$6,FALSE),"")</f>
        <v/>
      </c>
      <c r="F78" s="91" t="str">
        <f>IFERROR(VLOOKUP($C$3&amp;$A78,'Data Induk Pegawai'!$A:$Z,F$6,FALSE),"")</f>
        <v/>
      </c>
      <c r="G78" s="54" t="str">
        <f>IFERROR(VLOOKUP($C$3&amp;$A78,'Data Induk Pegawai'!$A:$Z,G$6,FALSE),"")</f>
        <v/>
      </c>
      <c r="H78" s="54" t="str">
        <f>IFERROR(VLOOKUP($C$3&amp;$A78,'Data Induk Pegawai'!$A:$Z,H$6,FALSE),"")</f>
        <v/>
      </c>
      <c r="I78" s="54" t="str">
        <f>IFERROR(VLOOKUP($C$3&amp;$A78,'Data Induk Pegawai'!$A:$Z,I$6,FALSE),"")</f>
        <v/>
      </c>
      <c r="J78" s="53" t="str">
        <f>IFERROR(VLOOKUP($C$3&amp;$A78,'Data Induk Pegawai'!$A:$Z,J$6,FALSE),"")</f>
        <v/>
      </c>
      <c r="K78" s="54" t="str">
        <f>IF(B78="","",VLOOKUP($C$3&amp;$A78,'Data Induk Pegawai'!$A:$Z,K$6,FALSE))</f>
        <v/>
      </c>
      <c r="L78" s="54" t="str">
        <f>IF(B78="","",VLOOKUP($C$3&amp;$A78,'Data Induk Pegawai'!$A:$Z,L$6,FALSE))</f>
        <v/>
      </c>
      <c r="M78" s="54" t="str">
        <f>IFERROR(VLOOKUP("1GPTT"&amp;Q78,'Draft SK'!AB:AG,6,FALSE),"")</f>
        <v/>
      </c>
      <c r="N78" s="54" t="str">
        <f>IFERROR(VLOOKUP("1GPTT"&amp;Q78,'Draft SK'!AB:AG,5,FALSE),"")</f>
        <v/>
      </c>
      <c r="O78" s="54" t="str">
        <f t="shared" si="9"/>
        <v/>
      </c>
      <c r="P78" s="54" t="str">
        <f t="shared" si="10"/>
        <v/>
      </c>
      <c r="Q78" s="53" t="str">
        <f>IF(C78="","",VLOOKUP($C$3&amp;$A78,'Data Induk Pegawai'!$A:$Z,Q$6,FALSE))</f>
        <v/>
      </c>
      <c r="R78" s="51" t="str">
        <f t="shared" ca="1" si="11"/>
        <v/>
      </c>
      <c r="S78" s="51" t="str">
        <f t="shared" si="12"/>
        <v/>
      </c>
      <c r="T78" s="123" t="str">
        <f t="shared" si="13"/>
        <v/>
      </c>
      <c r="U78" s="123" t="str">
        <f t="shared" si="14"/>
        <v>-</v>
      </c>
      <c r="V78" s="123" t="str">
        <f>U78&amp;COUNTIFS(U$9:U78,U78)</f>
        <v>-64</v>
      </c>
      <c r="W78" s="123" t="str">
        <f t="shared" si="15"/>
        <v>-</v>
      </c>
      <c r="X78" s="123" t="str">
        <f t="shared" si="16"/>
        <v>-</v>
      </c>
      <c r="Y78" s="9" t="str">
        <f>IFERROR(IFERROR(IFERROR(IFERROR(VLOOKUP(Y$8&amp;"GTY"&amp;$Q78,'Draft SK'!$AE:$AF,2,FALSE),VLOOKUP(Y$8&amp;"PTY"&amp;$Q78,'Draft SK'!$AE:$AF,2,FALSE)),VLOOKUP(Y$8&amp;"GTT"&amp;$Q78,'Draft SK'!$AE:$AF,2,FALSE)),VLOOKUP(Y$8&amp;"PTT"&amp;$Q78,'Draft SK'!$AE:$AF,2,FALSE)),"")</f>
        <v/>
      </c>
    </row>
    <row r="79" spans="1:25" ht="15.5" x14ac:dyDescent="0.35">
      <c r="A79" s="51" t="str">
        <f t="shared" si="17"/>
        <v/>
      </c>
      <c r="B79" s="52" t="str">
        <f>IFERROR(VLOOKUP($C$3&amp;$A79,'Data Induk Pegawai'!$A:$Z,B$6,FALSE),"")</f>
        <v/>
      </c>
      <c r="C79" s="53" t="str">
        <f>IFERROR(VLOOKUP($C$3&amp;$A79,'Data Induk Pegawai'!$A:$Z,C$6,FALSE),"")</f>
        <v/>
      </c>
      <c r="D79" s="54" t="str">
        <f>IFERROR(VLOOKUP($C$3&amp;$A79,'Data Induk Pegawai'!$A:$Z,D$6,FALSE),"")</f>
        <v/>
      </c>
      <c r="E79" s="53" t="str">
        <f>IFERROR(VLOOKUP($C$3&amp;$A79,'Data Induk Pegawai'!$A:$Z,E$6,FALSE),"")</f>
        <v/>
      </c>
      <c r="F79" s="91" t="str">
        <f>IFERROR(VLOOKUP($C$3&amp;$A79,'Data Induk Pegawai'!$A:$Z,F$6,FALSE),"")</f>
        <v/>
      </c>
      <c r="G79" s="54" t="str">
        <f>IFERROR(VLOOKUP($C$3&amp;$A79,'Data Induk Pegawai'!$A:$Z,G$6,FALSE),"")</f>
        <v/>
      </c>
      <c r="H79" s="54" t="str">
        <f>IFERROR(VLOOKUP($C$3&amp;$A79,'Data Induk Pegawai'!$A:$Z,H$6,FALSE),"")</f>
        <v/>
      </c>
      <c r="I79" s="54" t="str">
        <f>IFERROR(VLOOKUP($C$3&amp;$A79,'Data Induk Pegawai'!$A:$Z,I$6,FALSE),"")</f>
        <v/>
      </c>
      <c r="J79" s="53" t="str">
        <f>IFERROR(VLOOKUP($C$3&amp;$A79,'Data Induk Pegawai'!$A:$Z,J$6,FALSE),"")</f>
        <v/>
      </c>
      <c r="K79" s="54" t="str">
        <f>IF(B79="","",VLOOKUP($C$3&amp;$A79,'Data Induk Pegawai'!$A:$Z,K$6,FALSE))</f>
        <v/>
      </c>
      <c r="L79" s="54" t="str">
        <f>IF(B79="","",VLOOKUP($C$3&amp;$A79,'Data Induk Pegawai'!$A:$Z,L$6,FALSE))</f>
        <v/>
      </c>
      <c r="M79" s="54" t="str">
        <f>IFERROR(VLOOKUP("1GPTT"&amp;Q79,'Draft SK'!AB:AG,6,FALSE),"")</f>
        <v/>
      </c>
      <c r="N79" s="54" t="str">
        <f>IFERROR(VLOOKUP("1GPTT"&amp;Q79,'Draft SK'!AB:AG,5,FALSE),"")</f>
        <v/>
      </c>
      <c r="O79" s="54" t="str">
        <f t="shared" si="9"/>
        <v/>
      </c>
      <c r="P79" s="54" t="str">
        <f t="shared" si="10"/>
        <v/>
      </c>
      <c r="Q79" s="53" t="str">
        <f>IF(C79="","",VLOOKUP($C$3&amp;$A79,'Data Induk Pegawai'!$A:$Z,Q$6,FALSE))</f>
        <v/>
      </c>
      <c r="R79" s="51" t="str">
        <f t="shared" ca="1" si="11"/>
        <v/>
      </c>
      <c r="S79" s="51" t="str">
        <f t="shared" si="12"/>
        <v/>
      </c>
      <c r="T79" s="123" t="str">
        <f t="shared" si="13"/>
        <v/>
      </c>
      <c r="U79" s="123" t="str">
        <f t="shared" si="14"/>
        <v>-</v>
      </c>
      <c r="V79" s="123" t="str">
        <f>U79&amp;COUNTIFS(U$9:U79,U79)</f>
        <v>-65</v>
      </c>
      <c r="W79" s="123" t="str">
        <f t="shared" si="15"/>
        <v>-</v>
      </c>
      <c r="X79" s="123" t="str">
        <f t="shared" si="16"/>
        <v>-</v>
      </c>
      <c r="Y79" s="9" t="str">
        <f>IFERROR(IFERROR(IFERROR(IFERROR(VLOOKUP(Y$8&amp;"GTY"&amp;$Q79,'Draft SK'!$AE:$AF,2,FALSE),VLOOKUP(Y$8&amp;"PTY"&amp;$Q79,'Draft SK'!$AE:$AF,2,FALSE)),VLOOKUP(Y$8&amp;"GTT"&amp;$Q79,'Draft SK'!$AE:$AF,2,FALSE)),VLOOKUP(Y$8&amp;"PTT"&amp;$Q79,'Draft SK'!$AE:$AF,2,FALSE)),"")</f>
        <v/>
      </c>
    </row>
    <row r="80" spans="1:25" ht="15.5" x14ac:dyDescent="0.35">
      <c r="A80" s="51" t="str">
        <f t="shared" si="17"/>
        <v/>
      </c>
      <c r="B80" s="52" t="str">
        <f>IFERROR(VLOOKUP($C$3&amp;$A80,'Data Induk Pegawai'!$A:$Z,B$6,FALSE),"")</f>
        <v/>
      </c>
      <c r="C80" s="53" t="str">
        <f>IFERROR(VLOOKUP($C$3&amp;$A80,'Data Induk Pegawai'!$A:$Z,C$6,FALSE),"")</f>
        <v/>
      </c>
      <c r="D80" s="54" t="str">
        <f>IFERROR(VLOOKUP($C$3&amp;$A80,'Data Induk Pegawai'!$A:$Z,D$6,FALSE),"")</f>
        <v/>
      </c>
      <c r="E80" s="53" t="str">
        <f>IFERROR(VLOOKUP($C$3&amp;$A80,'Data Induk Pegawai'!$A:$Z,E$6,FALSE),"")</f>
        <v/>
      </c>
      <c r="F80" s="91" t="str">
        <f>IFERROR(VLOOKUP($C$3&amp;$A80,'Data Induk Pegawai'!$A:$Z,F$6,FALSE),"")</f>
        <v/>
      </c>
      <c r="G80" s="54" t="str">
        <f>IFERROR(VLOOKUP($C$3&amp;$A80,'Data Induk Pegawai'!$A:$Z,G$6,FALSE),"")</f>
        <v/>
      </c>
      <c r="H80" s="54" t="str">
        <f>IFERROR(VLOOKUP($C$3&amp;$A80,'Data Induk Pegawai'!$A:$Z,H$6,FALSE),"")</f>
        <v/>
      </c>
      <c r="I80" s="54" t="str">
        <f>IFERROR(VLOOKUP($C$3&amp;$A80,'Data Induk Pegawai'!$A:$Z,I$6,FALSE),"")</f>
        <v/>
      </c>
      <c r="J80" s="53" t="str">
        <f>IFERROR(VLOOKUP($C$3&amp;$A80,'Data Induk Pegawai'!$A:$Z,J$6,FALSE),"")</f>
        <v/>
      </c>
      <c r="K80" s="54" t="str">
        <f>IF(B80="","",VLOOKUP($C$3&amp;$A80,'Data Induk Pegawai'!$A:$Z,K$6,FALSE))</f>
        <v/>
      </c>
      <c r="L80" s="54" t="str">
        <f>IF(B80="","",VLOOKUP($C$3&amp;$A80,'Data Induk Pegawai'!$A:$Z,L$6,FALSE))</f>
        <v/>
      </c>
      <c r="M80" s="54" t="str">
        <f>IFERROR(VLOOKUP("1GPTT"&amp;Q80,'Draft SK'!AB:AG,6,FALSE),"")</f>
        <v/>
      </c>
      <c r="N80" s="54" t="str">
        <f>IFERROR(VLOOKUP("1GPTT"&amp;Q80,'Draft SK'!AB:AG,5,FALSE),"")</f>
        <v/>
      </c>
      <c r="O80" s="54" t="str">
        <f t="shared" si="9"/>
        <v/>
      </c>
      <c r="P80" s="54" t="str">
        <f t="shared" si="10"/>
        <v/>
      </c>
      <c r="Q80" s="53" t="str">
        <f>IF(C80="","",VLOOKUP($C$3&amp;$A80,'Data Induk Pegawai'!$A:$Z,Q$6,FALSE))</f>
        <v/>
      </c>
      <c r="R80" s="51" t="str">
        <f t="shared" ca="1" si="11"/>
        <v/>
      </c>
      <c r="S80" s="51" t="str">
        <f t="shared" si="12"/>
        <v/>
      </c>
      <c r="T80" s="123" t="str">
        <f t="shared" si="13"/>
        <v/>
      </c>
      <c r="U80" s="123" t="str">
        <f t="shared" si="14"/>
        <v>-</v>
      </c>
      <c r="V80" s="123" t="str">
        <f>U80&amp;COUNTIFS(U$9:U80,U80)</f>
        <v>-66</v>
      </c>
      <c r="W80" s="123" t="str">
        <f t="shared" si="15"/>
        <v>-</v>
      </c>
      <c r="X80" s="123" t="str">
        <f t="shared" si="16"/>
        <v>-</v>
      </c>
      <c r="Y80" s="9" t="str">
        <f>IFERROR(IFERROR(IFERROR(IFERROR(VLOOKUP(Y$8&amp;"GTY"&amp;$Q80,'Draft SK'!$AE:$AF,2,FALSE),VLOOKUP(Y$8&amp;"PTY"&amp;$Q80,'Draft SK'!$AE:$AF,2,FALSE)),VLOOKUP(Y$8&amp;"GTT"&amp;$Q80,'Draft SK'!$AE:$AF,2,FALSE)),VLOOKUP(Y$8&amp;"PTT"&amp;$Q80,'Draft SK'!$AE:$AF,2,FALSE)),"")</f>
        <v/>
      </c>
    </row>
    <row r="81" spans="1:25" ht="15.5" x14ac:dyDescent="0.35">
      <c r="A81" s="51" t="str">
        <f t="shared" si="17"/>
        <v/>
      </c>
      <c r="B81" s="52" t="str">
        <f>IFERROR(VLOOKUP($C$3&amp;$A81,'Data Induk Pegawai'!$A:$Z,B$6,FALSE),"")</f>
        <v/>
      </c>
      <c r="C81" s="53" t="str">
        <f>IFERROR(VLOOKUP($C$3&amp;$A81,'Data Induk Pegawai'!$A:$Z,C$6,FALSE),"")</f>
        <v/>
      </c>
      <c r="D81" s="54" t="str">
        <f>IFERROR(VLOOKUP($C$3&amp;$A81,'Data Induk Pegawai'!$A:$Z,D$6,FALSE),"")</f>
        <v/>
      </c>
      <c r="E81" s="53" t="str">
        <f>IFERROR(VLOOKUP($C$3&amp;$A81,'Data Induk Pegawai'!$A:$Z,E$6,FALSE),"")</f>
        <v/>
      </c>
      <c r="F81" s="91" t="str">
        <f>IFERROR(VLOOKUP($C$3&amp;$A81,'Data Induk Pegawai'!$A:$Z,F$6,FALSE),"")</f>
        <v/>
      </c>
      <c r="G81" s="54" t="str">
        <f>IFERROR(VLOOKUP($C$3&amp;$A81,'Data Induk Pegawai'!$A:$Z,G$6,FALSE),"")</f>
        <v/>
      </c>
      <c r="H81" s="54" t="str">
        <f>IFERROR(VLOOKUP($C$3&amp;$A81,'Data Induk Pegawai'!$A:$Z,H$6,FALSE),"")</f>
        <v/>
      </c>
      <c r="I81" s="54" t="str">
        <f>IFERROR(VLOOKUP($C$3&amp;$A81,'Data Induk Pegawai'!$A:$Z,I$6,FALSE),"")</f>
        <v/>
      </c>
      <c r="J81" s="53" t="str">
        <f>IFERROR(VLOOKUP($C$3&amp;$A81,'Data Induk Pegawai'!$A:$Z,J$6,FALSE),"")</f>
        <v/>
      </c>
      <c r="K81" s="54" t="str">
        <f>IF(B81="","",VLOOKUP($C$3&amp;$A81,'Data Induk Pegawai'!$A:$Z,K$6,FALSE))</f>
        <v/>
      </c>
      <c r="L81" s="54" t="str">
        <f>IF(B81="","",VLOOKUP($C$3&amp;$A81,'Data Induk Pegawai'!$A:$Z,L$6,FALSE))</f>
        <v/>
      </c>
      <c r="M81" s="54" t="str">
        <f>IFERROR(VLOOKUP("1GPTT"&amp;Q81,'Draft SK'!AB:AG,6,FALSE),"")</f>
        <v/>
      </c>
      <c r="N81" s="54" t="str">
        <f>IFERROR(VLOOKUP("1GPTT"&amp;Q81,'Draft SK'!AB:AG,5,FALSE),"")</f>
        <v/>
      </c>
      <c r="O81" s="54" t="str">
        <f t="shared" si="9"/>
        <v/>
      </c>
      <c r="P81" s="54" t="str">
        <f t="shared" si="10"/>
        <v/>
      </c>
      <c r="Q81" s="53" t="str">
        <f>IF(C81="","",VLOOKUP($C$3&amp;$A81,'Data Induk Pegawai'!$A:$Z,Q$6,FALSE))</f>
        <v/>
      </c>
      <c r="R81" s="51" t="str">
        <f t="shared" ca="1" si="11"/>
        <v/>
      </c>
      <c r="S81" s="51" t="str">
        <f t="shared" si="12"/>
        <v/>
      </c>
      <c r="T81" s="123" t="str">
        <f t="shared" si="13"/>
        <v/>
      </c>
      <c r="U81" s="123" t="str">
        <f t="shared" si="14"/>
        <v>-</v>
      </c>
      <c r="V81" s="123" t="str">
        <f>U81&amp;COUNTIFS(U$9:U81,U81)</f>
        <v>-67</v>
      </c>
      <c r="W81" s="123" t="str">
        <f t="shared" si="15"/>
        <v>-</v>
      </c>
      <c r="X81" s="123" t="str">
        <f t="shared" si="16"/>
        <v>-</v>
      </c>
      <c r="Y81" s="9" t="str">
        <f>IFERROR(IFERROR(IFERROR(IFERROR(VLOOKUP(Y$8&amp;"GTY"&amp;$Q81,'Draft SK'!$AE:$AF,2,FALSE),VLOOKUP(Y$8&amp;"PTY"&amp;$Q81,'Draft SK'!$AE:$AF,2,FALSE)),VLOOKUP(Y$8&amp;"GTT"&amp;$Q81,'Draft SK'!$AE:$AF,2,FALSE)),VLOOKUP(Y$8&amp;"PTT"&amp;$Q81,'Draft SK'!$AE:$AF,2,FALSE)),"")</f>
        <v/>
      </c>
    </row>
    <row r="82" spans="1:25" ht="15.5" x14ac:dyDescent="0.35">
      <c r="A82" s="51" t="str">
        <f t="shared" si="17"/>
        <v/>
      </c>
      <c r="B82" s="52" t="str">
        <f>IFERROR(VLOOKUP($C$3&amp;$A82,'Data Induk Pegawai'!$A:$Z,B$6,FALSE),"")</f>
        <v/>
      </c>
      <c r="C82" s="53" t="str">
        <f>IFERROR(VLOOKUP($C$3&amp;$A82,'Data Induk Pegawai'!$A:$Z,C$6,FALSE),"")</f>
        <v/>
      </c>
      <c r="D82" s="54" t="str">
        <f>IFERROR(VLOOKUP($C$3&amp;$A82,'Data Induk Pegawai'!$A:$Z,D$6,FALSE),"")</f>
        <v/>
      </c>
      <c r="E82" s="53" t="str">
        <f>IFERROR(VLOOKUP($C$3&amp;$A82,'Data Induk Pegawai'!$A:$Z,E$6,FALSE),"")</f>
        <v/>
      </c>
      <c r="F82" s="91" t="str">
        <f>IFERROR(VLOOKUP($C$3&amp;$A82,'Data Induk Pegawai'!$A:$Z,F$6,FALSE),"")</f>
        <v/>
      </c>
      <c r="G82" s="54" t="str">
        <f>IFERROR(VLOOKUP($C$3&amp;$A82,'Data Induk Pegawai'!$A:$Z,G$6,FALSE),"")</f>
        <v/>
      </c>
      <c r="H82" s="54" t="str">
        <f>IFERROR(VLOOKUP($C$3&amp;$A82,'Data Induk Pegawai'!$A:$Z,H$6,FALSE),"")</f>
        <v/>
      </c>
      <c r="I82" s="54" t="str">
        <f>IFERROR(VLOOKUP($C$3&amp;$A82,'Data Induk Pegawai'!$A:$Z,I$6,FALSE),"")</f>
        <v/>
      </c>
      <c r="J82" s="53" t="str">
        <f>IFERROR(VLOOKUP($C$3&amp;$A82,'Data Induk Pegawai'!$A:$Z,J$6,FALSE),"")</f>
        <v/>
      </c>
      <c r="K82" s="54" t="str">
        <f>IF(B82="","",VLOOKUP($C$3&amp;$A82,'Data Induk Pegawai'!$A:$Z,K$6,FALSE))</f>
        <v/>
      </c>
      <c r="L82" s="54" t="str">
        <f>IF(B82="","",VLOOKUP($C$3&amp;$A82,'Data Induk Pegawai'!$A:$Z,L$6,FALSE))</f>
        <v/>
      </c>
      <c r="M82" s="54" t="str">
        <f>IFERROR(VLOOKUP("1GPTT"&amp;Q82,'Draft SK'!AB:AG,6,FALSE),"")</f>
        <v/>
      </c>
      <c r="N82" s="54" t="str">
        <f>IFERROR(VLOOKUP("1GPTT"&amp;Q82,'Draft SK'!AB:AG,5,FALSE),"")</f>
        <v/>
      </c>
      <c r="O82" s="54" t="str">
        <f t="shared" si="9"/>
        <v/>
      </c>
      <c r="P82" s="54" t="str">
        <f t="shared" si="10"/>
        <v/>
      </c>
      <c r="Q82" s="53" t="str">
        <f>IF(C82="","",VLOOKUP($C$3&amp;$A82,'Data Induk Pegawai'!$A:$Z,Q$6,FALSE))</f>
        <v/>
      </c>
      <c r="R82" s="51" t="str">
        <f t="shared" ca="1" si="11"/>
        <v/>
      </c>
      <c r="S82" s="51" t="str">
        <f t="shared" si="12"/>
        <v/>
      </c>
      <c r="T82" s="123" t="str">
        <f t="shared" si="13"/>
        <v/>
      </c>
      <c r="U82" s="123" t="str">
        <f t="shared" si="14"/>
        <v>-</v>
      </c>
      <c r="V82" s="123" t="str">
        <f>U82&amp;COUNTIFS(U$9:U82,U82)</f>
        <v>-68</v>
      </c>
      <c r="W82" s="123" t="str">
        <f t="shared" si="15"/>
        <v>-</v>
      </c>
      <c r="X82" s="123" t="str">
        <f t="shared" si="16"/>
        <v>-</v>
      </c>
      <c r="Y82" s="9" t="str">
        <f>IFERROR(IFERROR(IFERROR(IFERROR(VLOOKUP(Y$8&amp;"GTY"&amp;$Q82,'Draft SK'!$AE:$AF,2,FALSE),VLOOKUP(Y$8&amp;"PTY"&amp;$Q82,'Draft SK'!$AE:$AF,2,FALSE)),VLOOKUP(Y$8&amp;"GTT"&amp;$Q82,'Draft SK'!$AE:$AF,2,FALSE)),VLOOKUP(Y$8&amp;"PTT"&amp;$Q82,'Draft SK'!$AE:$AF,2,FALSE)),"")</f>
        <v/>
      </c>
    </row>
    <row r="83" spans="1:25" ht="15.5" x14ac:dyDescent="0.35">
      <c r="A83" s="51" t="str">
        <f t="shared" si="17"/>
        <v/>
      </c>
      <c r="B83" s="52" t="str">
        <f>IFERROR(VLOOKUP($C$3&amp;$A83,'Data Induk Pegawai'!$A:$Z,B$6,FALSE),"")</f>
        <v/>
      </c>
      <c r="C83" s="53" t="str">
        <f>IFERROR(VLOOKUP($C$3&amp;$A83,'Data Induk Pegawai'!$A:$Z,C$6,FALSE),"")</f>
        <v/>
      </c>
      <c r="D83" s="54" t="str">
        <f>IFERROR(VLOOKUP($C$3&amp;$A83,'Data Induk Pegawai'!$A:$Z,D$6,FALSE),"")</f>
        <v/>
      </c>
      <c r="E83" s="53" t="str">
        <f>IFERROR(VLOOKUP($C$3&amp;$A83,'Data Induk Pegawai'!$A:$Z,E$6,FALSE),"")</f>
        <v/>
      </c>
      <c r="F83" s="91" t="str">
        <f>IFERROR(VLOOKUP($C$3&amp;$A83,'Data Induk Pegawai'!$A:$Z,F$6,FALSE),"")</f>
        <v/>
      </c>
      <c r="G83" s="54" t="str">
        <f>IFERROR(VLOOKUP($C$3&amp;$A83,'Data Induk Pegawai'!$A:$Z,G$6,FALSE),"")</f>
        <v/>
      </c>
      <c r="H83" s="54" t="str">
        <f>IFERROR(VLOOKUP($C$3&amp;$A83,'Data Induk Pegawai'!$A:$Z,H$6,FALSE),"")</f>
        <v/>
      </c>
      <c r="I83" s="54" t="str">
        <f>IFERROR(VLOOKUP($C$3&amp;$A83,'Data Induk Pegawai'!$A:$Z,I$6,FALSE),"")</f>
        <v/>
      </c>
      <c r="J83" s="53" t="str">
        <f>IFERROR(VLOOKUP($C$3&amp;$A83,'Data Induk Pegawai'!$A:$Z,J$6,FALSE),"")</f>
        <v/>
      </c>
      <c r="K83" s="54" t="str">
        <f>IF(B83="","",VLOOKUP($C$3&amp;$A83,'Data Induk Pegawai'!$A:$Z,K$6,FALSE))</f>
        <v/>
      </c>
      <c r="L83" s="54" t="str">
        <f>IF(B83="","",VLOOKUP($C$3&amp;$A83,'Data Induk Pegawai'!$A:$Z,L$6,FALSE))</f>
        <v/>
      </c>
      <c r="M83" s="54" t="str">
        <f>IFERROR(VLOOKUP("1GPTT"&amp;Q83,'Draft SK'!AB:AG,6,FALSE),"")</f>
        <v/>
      </c>
      <c r="N83" s="54" t="str">
        <f>IFERROR(VLOOKUP("1GPTT"&amp;Q83,'Draft SK'!AB:AG,5,FALSE),"")</f>
        <v/>
      </c>
      <c r="O83" s="54" t="str">
        <f t="shared" si="9"/>
        <v/>
      </c>
      <c r="P83" s="54" t="str">
        <f t="shared" si="10"/>
        <v/>
      </c>
      <c r="Q83" s="53" t="str">
        <f>IF(C83="","",VLOOKUP($C$3&amp;$A83,'Data Induk Pegawai'!$A:$Z,Q$6,FALSE))</f>
        <v/>
      </c>
      <c r="R83" s="51" t="str">
        <f t="shared" ca="1" si="11"/>
        <v/>
      </c>
      <c r="S83" s="51" t="str">
        <f t="shared" si="12"/>
        <v/>
      </c>
      <c r="T83" s="123" t="str">
        <f t="shared" si="13"/>
        <v/>
      </c>
      <c r="U83" s="123" t="str">
        <f t="shared" si="14"/>
        <v>-</v>
      </c>
      <c r="V83" s="123" t="str">
        <f>U83&amp;COUNTIFS(U$9:U83,U83)</f>
        <v>-69</v>
      </c>
      <c r="W83" s="123" t="str">
        <f t="shared" si="15"/>
        <v>-</v>
      </c>
      <c r="X83" s="123" t="str">
        <f t="shared" si="16"/>
        <v>-</v>
      </c>
      <c r="Y83" s="9" t="str">
        <f>IFERROR(IFERROR(IFERROR(IFERROR(VLOOKUP(Y$8&amp;"GTY"&amp;$Q83,'Draft SK'!$AE:$AF,2,FALSE),VLOOKUP(Y$8&amp;"PTY"&amp;$Q83,'Draft SK'!$AE:$AF,2,FALSE)),VLOOKUP(Y$8&amp;"GTT"&amp;$Q83,'Draft SK'!$AE:$AF,2,FALSE)),VLOOKUP(Y$8&amp;"PTT"&amp;$Q83,'Draft SK'!$AE:$AF,2,FALSE)),"")</f>
        <v/>
      </c>
    </row>
    <row r="84" spans="1:25" ht="15.5" x14ac:dyDescent="0.35">
      <c r="A84" s="51" t="str">
        <f t="shared" si="17"/>
        <v/>
      </c>
      <c r="B84" s="52" t="str">
        <f>IFERROR(VLOOKUP($C$3&amp;$A84,'Data Induk Pegawai'!$A:$Z,B$6,FALSE),"")</f>
        <v/>
      </c>
      <c r="C84" s="53" t="str">
        <f>IFERROR(VLOOKUP($C$3&amp;$A84,'Data Induk Pegawai'!$A:$Z,C$6,FALSE),"")</f>
        <v/>
      </c>
      <c r="D84" s="54" t="str">
        <f>IFERROR(VLOOKUP($C$3&amp;$A84,'Data Induk Pegawai'!$A:$Z,D$6,FALSE),"")</f>
        <v/>
      </c>
      <c r="E84" s="53" t="str">
        <f>IFERROR(VLOOKUP($C$3&amp;$A84,'Data Induk Pegawai'!$A:$Z,E$6,FALSE),"")</f>
        <v/>
      </c>
      <c r="F84" s="91" t="str">
        <f>IFERROR(VLOOKUP($C$3&amp;$A84,'Data Induk Pegawai'!$A:$Z,F$6,FALSE),"")</f>
        <v/>
      </c>
      <c r="G84" s="54" t="str">
        <f>IFERROR(VLOOKUP($C$3&amp;$A84,'Data Induk Pegawai'!$A:$Z,G$6,FALSE),"")</f>
        <v/>
      </c>
      <c r="H84" s="54" t="str">
        <f>IFERROR(VLOOKUP($C$3&amp;$A84,'Data Induk Pegawai'!$A:$Z,H$6,FALSE),"")</f>
        <v/>
      </c>
      <c r="I84" s="54" t="str">
        <f>IFERROR(VLOOKUP($C$3&amp;$A84,'Data Induk Pegawai'!$A:$Z,I$6,FALSE),"")</f>
        <v/>
      </c>
      <c r="J84" s="53" t="str">
        <f>IFERROR(VLOOKUP($C$3&amp;$A84,'Data Induk Pegawai'!$A:$Z,J$6,FALSE),"")</f>
        <v/>
      </c>
      <c r="K84" s="54" t="str">
        <f>IF(B84="","",VLOOKUP($C$3&amp;$A84,'Data Induk Pegawai'!$A:$Z,K$6,FALSE))</f>
        <v/>
      </c>
      <c r="L84" s="54" t="str">
        <f>IF(B84="","",VLOOKUP($C$3&amp;$A84,'Data Induk Pegawai'!$A:$Z,L$6,FALSE))</f>
        <v/>
      </c>
      <c r="M84" s="54" t="str">
        <f>IFERROR(VLOOKUP("1GPTT"&amp;Q84,'Draft SK'!AB:AG,6,FALSE),"")</f>
        <v/>
      </c>
      <c r="N84" s="54" t="str">
        <f>IFERROR(VLOOKUP("1GPTT"&amp;Q84,'Draft SK'!AB:AG,5,FALSE),"")</f>
        <v/>
      </c>
      <c r="O84" s="54" t="str">
        <f t="shared" si="9"/>
        <v/>
      </c>
      <c r="P84" s="54" t="str">
        <f t="shared" si="10"/>
        <v/>
      </c>
      <c r="Q84" s="53" t="str">
        <f>IF(C84="","",VLOOKUP($C$3&amp;$A84,'Data Induk Pegawai'!$A:$Z,Q$6,FALSE))</f>
        <v/>
      </c>
      <c r="R84" s="51" t="str">
        <f t="shared" ca="1" si="11"/>
        <v/>
      </c>
      <c r="S84" s="51" t="str">
        <f t="shared" si="12"/>
        <v/>
      </c>
      <c r="T84" s="123" t="str">
        <f t="shared" si="13"/>
        <v/>
      </c>
      <c r="U84" s="123" t="str">
        <f t="shared" si="14"/>
        <v>-</v>
      </c>
      <c r="V84" s="123" t="str">
        <f>U84&amp;COUNTIFS(U$9:U84,U84)</f>
        <v>-70</v>
      </c>
      <c r="W84" s="123" t="str">
        <f t="shared" si="15"/>
        <v>-</v>
      </c>
      <c r="X84" s="123" t="str">
        <f t="shared" si="16"/>
        <v>-</v>
      </c>
      <c r="Y84" s="9" t="str">
        <f>IFERROR(IFERROR(IFERROR(IFERROR(VLOOKUP(Y$8&amp;"GTY"&amp;$Q84,'Draft SK'!$AE:$AF,2,FALSE),VLOOKUP(Y$8&amp;"PTY"&amp;$Q84,'Draft SK'!$AE:$AF,2,FALSE)),VLOOKUP(Y$8&amp;"GTT"&amp;$Q84,'Draft SK'!$AE:$AF,2,FALSE)),VLOOKUP(Y$8&amp;"PTT"&amp;$Q84,'Draft SK'!$AE:$AF,2,FALSE)),"")</f>
        <v/>
      </c>
    </row>
    <row r="85" spans="1:25" ht="15.5" x14ac:dyDescent="0.35">
      <c r="A85" s="51" t="str">
        <f t="shared" si="17"/>
        <v/>
      </c>
      <c r="B85" s="52" t="str">
        <f>IFERROR(VLOOKUP($C$3&amp;$A85,'Data Induk Pegawai'!$A:$Z,B$6,FALSE),"")</f>
        <v/>
      </c>
      <c r="C85" s="53" t="str">
        <f>IFERROR(VLOOKUP($C$3&amp;$A85,'Data Induk Pegawai'!$A:$Z,C$6,FALSE),"")</f>
        <v/>
      </c>
      <c r="D85" s="54" t="str">
        <f>IFERROR(VLOOKUP($C$3&amp;$A85,'Data Induk Pegawai'!$A:$Z,D$6,FALSE),"")</f>
        <v/>
      </c>
      <c r="E85" s="53" t="str">
        <f>IFERROR(VLOOKUP($C$3&amp;$A85,'Data Induk Pegawai'!$A:$Z,E$6,FALSE),"")</f>
        <v/>
      </c>
      <c r="F85" s="91" t="str">
        <f>IFERROR(VLOOKUP($C$3&amp;$A85,'Data Induk Pegawai'!$A:$Z,F$6,FALSE),"")</f>
        <v/>
      </c>
      <c r="G85" s="54" t="str">
        <f>IFERROR(VLOOKUP($C$3&amp;$A85,'Data Induk Pegawai'!$A:$Z,G$6,FALSE),"")</f>
        <v/>
      </c>
      <c r="H85" s="54" t="str">
        <f>IFERROR(VLOOKUP($C$3&amp;$A85,'Data Induk Pegawai'!$A:$Z,H$6,FALSE),"")</f>
        <v/>
      </c>
      <c r="I85" s="54" t="str">
        <f>IFERROR(VLOOKUP($C$3&amp;$A85,'Data Induk Pegawai'!$A:$Z,I$6,FALSE),"")</f>
        <v/>
      </c>
      <c r="J85" s="53" t="str">
        <f>IFERROR(VLOOKUP($C$3&amp;$A85,'Data Induk Pegawai'!$A:$Z,J$6,FALSE),"")</f>
        <v/>
      </c>
      <c r="K85" s="54" t="str">
        <f>IF(B85="","",VLOOKUP($C$3&amp;$A85,'Data Induk Pegawai'!$A:$Z,K$6,FALSE))</f>
        <v/>
      </c>
      <c r="L85" s="54" t="str">
        <f>IF(B85="","",VLOOKUP($C$3&amp;$A85,'Data Induk Pegawai'!$A:$Z,L$6,FALSE))</f>
        <v/>
      </c>
      <c r="M85" s="54" t="str">
        <f>IFERROR(VLOOKUP("1GPTT"&amp;Q85,'Draft SK'!AB:AG,6,FALSE),"")</f>
        <v/>
      </c>
      <c r="N85" s="54" t="str">
        <f>IFERROR(VLOOKUP("1GPTT"&amp;Q85,'Draft SK'!AB:AG,5,FALSE),"")</f>
        <v/>
      </c>
      <c r="O85" s="54" t="str">
        <f t="shared" si="9"/>
        <v/>
      </c>
      <c r="P85" s="54" t="str">
        <f t="shared" si="10"/>
        <v/>
      </c>
      <c r="Q85" s="53" t="str">
        <f>IF(C85="","",VLOOKUP($C$3&amp;$A85,'Data Induk Pegawai'!$A:$Z,Q$6,FALSE))</f>
        <v/>
      </c>
      <c r="R85" s="51" t="str">
        <f t="shared" ca="1" si="11"/>
        <v/>
      </c>
      <c r="S85" s="51" t="str">
        <f t="shared" si="12"/>
        <v/>
      </c>
      <c r="T85" s="123" t="str">
        <f t="shared" si="13"/>
        <v/>
      </c>
      <c r="U85" s="123" t="str">
        <f t="shared" si="14"/>
        <v>-</v>
      </c>
      <c r="V85" s="123" t="str">
        <f>U85&amp;COUNTIFS(U$9:U85,U85)</f>
        <v>-71</v>
      </c>
      <c r="W85" s="123" t="str">
        <f t="shared" si="15"/>
        <v>-</v>
      </c>
      <c r="X85" s="123" t="str">
        <f t="shared" si="16"/>
        <v>-</v>
      </c>
      <c r="Y85" s="9" t="str">
        <f>IFERROR(IFERROR(IFERROR(IFERROR(VLOOKUP(Y$8&amp;"GTY"&amp;$Q85,'Draft SK'!$AE:$AF,2,FALSE),VLOOKUP(Y$8&amp;"PTY"&amp;$Q85,'Draft SK'!$AE:$AF,2,FALSE)),VLOOKUP(Y$8&amp;"GTT"&amp;$Q85,'Draft SK'!$AE:$AF,2,FALSE)),VLOOKUP(Y$8&amp;"PTT"&amp;$Q85,'Draft SK'!$AE:$AF,2,FALSE)),"")</f>
        <v/>
      </c>
    </row>
    <row r="86" spans="1:25" ht="15.5" x14ac:dyDescent="0.35">
      <c r="A86" s="51" t="str">
        <f t="shared" si="17"/>
        <v/>
      </c>
      <c r="B86" s="52" t="str">
        <f>IFERROR(VLOOKUP($C$3&amp;$A86,'Data Induk Pegawai'!$A:$Z,B$6,FALSE),"")</f>
        <v/>
      </c>
      <c r="C86" s="53" t="str">
        <f>IFERROR(VLOOKUP($C$3&amp;$A86,'Data Induk Pegawai'!$A:$Z,C$6,FALSE),"")</f>
        <v/>
      </c>
      <c r="D86" s="54" t="str">
        <f>IFERROR(VLOOKUP($C$3&amp;$A86,'Data Induk Pegawai'!$A:$Z,D$6,FALSE),"")</f>
        <v/>
      </c>
      <c r="E86" s="53" t="str">
        <f>IFERROR(VLOOKUP($C$3&amp;$A86,'Data Induk Pegawai'!$A:$Z,E$6,FALSE),"")</f>
        <v/>
      </c>
      <c r="F86" s="91" t="str">
        <f>IFERROR(VLOOKUP($C$3&amp;$A86,'Data Induk Pegawai'!$A:$Z,F$6,FALSE),"")</f>
        <v/>
      </c>
      <c r="G86" s="54" t="str">
        <f>IFERROR(VLOOKUP($C$3&amp;$A86,'Data Induk Pegawai'!$A:$Z,G$6,FALSE),"")</f>
        <v/>
      </c>
      <c r="H86" s="54" t="str">
        <f>IFERROR(VLOOKUP($C$3&amp;$A86,'Data Induk Pegawai'!$A:$Z,H$6,FALSE),"")</f>
        <v/>
      </c>
      <c r="I86" s="54" t="str">
        <f>IFERROR(VLOOKUP($C$3&amp;$A86,'Data Induk Pegawai'!$A:$Z,I$6,FALSE),"")</f>
        <v/>
      </c>
      <c r="J86" s="53" t="str">
        <f>IFERROR(VLOOKUP($C$3&amp;$A86,'Data Induk Pegawai'!$A:$Z,J$6,FALSE),"")</f>
        <v/>
      </c>
      <c r="K86" s="54" t="str">
        <f>IF(B86="","",VLOOKUP($C$3&amp;$A86,'Data Induk Pegawai'!$A:$Z,K$6,FALSE))</f>
        <v/>
      </c>
      <c r="L86" s="54" t="str">
        <f>IF(B86="","",VLOOKUP($C$3&amp;$A86,'Data Induk Pegawai'!$A:$Z,L$6,FALSE))</f>
        <v/>
      </c>
      <c r="M86" s="54" t="str">
        <f>IFERROR(VLOOKUP("1GPTT"&amp;Q86,'Draft SK'!AB:AG,6,FALSE),"")</f>
        <v/>
      </c>
      <c r="N86" s="54" t="str">
        <f>IFERROR(VLOOKUP("1GPTT"&amp;Q86,'Draft SK'!AB:AG,5,FALSE),"")</f>
        <v/>
      </c>
      <c r="O86" s="54" t="str">
        <f t="shared" si="9"/>
        <v/>
      </c>
      <c r="P86" s="54" t="str">
        <f t="shared" si="10"/>
        <v/>
      </c>
      <c r="Q86" s="53" t="str">
        <f>IF(C86="","",VLOOKUP($C$3&amp;$A86,'Data Induk Pegawai'!$A:$Z,Q$6,FALSE))</f>
        <v/>
      </c>
      <c r="R86" s="51" t="str">
        <f t="shared" ca="1" si="11"/>
        <v/>
      </c>
      <c r="S86" s="51" t="str">
        <f t="shared" si="12"/>
        <v/>
      </c>
      <c r="T86" s="123" t="str">
        <f t="shared" si="13"/>
        <v/>
      </c>
      <c r="U86" s="123" t="str">
        <f t="shared" si="14"/>
        <v>-</v>
      </c>
      <c r="V86" s="123" t="str">
        <f>U86&amp;COUNTIFS(U$9:U86,U86)</f>
        <v>-72</v>
      </c>
      <c r="W86" s="123" t="str">
        <f t="shared" si="15"/>
        <v>-</v>
      </c>
      <c r="X86" s="123" t="str">
        <f t="shared" si="16"/>
        <v>-</v>
      </c>
      <c r="Y86" s="9" t="str">
        <f>IFERROR(IFERROR(IFERROR(IFERROR(VLOOKUP(Y$8&amp;"GTY"&amp;$Q86,'Draft SK'!$AE:$AF,2,FALSE),VLOOKUP(Y$8&amp;"PTY"&amp;$Q86,'Draft SK'!$AE:$AF,2,FALSE)),VLOOKUP(Y$8&amp;"GTT"&amp;$Q86,'Draft SK'!$AE:$AF,2,FALSE)),VLOOKUP(Y$8&amp;"PTT"&amp;$Q86,'Draft SK'!$AE:$AF,2,FALSE)),"")</f>
        <v/>
      </c>
    </row>
    <row r="87" spans="1:25" ht="15.5" x14ac:dyDescent="0.35">
      <c r="A87" s="51" t="str">
        <f t="shared" si="17"/>
        <v/>
      </c>
      <c r="B87" s="52" t="str">
        <f>IFERROR(VLOOKUP($C$3&amp;$A87,'Data Induk Pegawai'!$A:$Z,B$6,FALSE),"")</f>
        <v/>
      </c>
      <c r="C87" s="53" t="str">
        <f>IFERROR(VLOOKUP($C$3&amp;$A87,'Data Induk Pegawai'!$A:$Z,C$6,FALSE),"")</f>
        <v/>
      </c>
      <c r="D87" s="54" t="str">
        <f>IFERROR(VLOOKUP($C$3&amp;$A87,'Data Induk Pegawai'!$A:$Z,D$6,FALSE),"")</f>
        <v/>
      </c>
      <c r="E87" s="53" t="str">
        <f>IFERROR(VLOOKUP($C$3&amp;$A87,'Data Induk Pegawai'!$A:$Z,E$6,FALSE),"")</f>
        <v/>
      </c>
      <c r="F87" s="91" t="str">
        <f>IFERROR(VLOOKUP($C$3&amp;$A87,'Data Induk Pegawai'!$A:$Z,F$6,FALSE),"")</f>
        <v/>
      </c>
      <c r="G87" s="54" t="str">
        <f>IFERROR(VLOOKUP($C$3&amp;$A87,'Data Induk Pegawai'!$A:$Z,G$6,FALSE),"")</f>
        <v/>
      </c>
      <c r="H87" s="54" t="str">
        <f>IFERROR(VLOOKUP($C$3&amp;$A87,'Data Induk Pegawai'!$A:$Z,H$6,FALSE),"")</f>
        <v/>
      </c>
      <c r="I87" s="54" t="str">
        <f>IFERROR(VLOOKUP($C$3&amp;$A87,'Data Induk Pegawai'!$A:$Z,I$6,FALSE),"")</f>
        <v/>
      </c>
      <c r="J87" s="53" t="str">
        <f>IFERROR(VLOOKUP($C$3&amp;$A87,'Data Induk Pegawai'!$A:$Z,J$6,FALSE),"")</f>
        <v/>
      </c>
      <c r="K87" s="54" t="str">
        <f>IF(B87="","",VLOOKUP($C$3&amp;$A87,'Data Induk Pegawai'!$A:$Z,K$6,FALSE))</f>
        <v/>
      </c>
      <c r="L87" s="54" t="str">
        <f>IF(B87="","",VLOOKUP($C$3&amp;$A87,'Data Induk Pegawai'!$A:$Z,L$6,FALSE))</f>
        <v/>
      </c>
      <c r="M87" s="54" t="str">
        <f>IFERROR(VLOOKUP("1GPTT"&amp;Q87,'Draft SK'!AB:AG,6,FALSE),"")</f>
        <v/>
      </c>
      <c r="N87" s="54" t="str">
        <f>IFERROR(VLOOKUP("1GPTT"&amp;Q87,'Draft SK'!AB:AG,5,FALSE),"")</f>
        <v/>
      </c>
      <c r="O87" s="54" t="str">
        <f t="shared" si="9"/>
        <v/>
      </c>
      <c r="P87" s="54" t="str">
        <f t="shared" si="10"/>
        <v/>
      </c>
      <c r="Q87" s="53" t="str">
        <f>IF(C87="","",VLOOKUP($C$3&amp;$A87,'Data Induk Pegawai'!$A:$Z,Q$6,FALSE))</f>
        <v/>
      </c>
      <c r="R87" s="51" t="str">
        <f t="shared" ca="1" si="11"/>
        <v/>
      </c>
      <c r="S87" s="51" t="str">
        <f t="shared" si="12"/>
        <v/>
      </c>
      <c r="T87" s="123" t="str">
        <f t="shared" si="13"/>
        <v/>
      </c>
      <c r="U87" s="123" t="str">
        <f t="shared" si="14"/>
        <v>-</v>
      </c>
      <c r="V87" s="123" t="str">
        <f>U87&amp;COUNTIFS(U$9:U87,U87)</f>
        <v>-73</v>
      </c>
      <c r="W87" s="123" t="str">
        <f t="shared" si="15"/>
        <v>-</v>
      </c>
      <c r="X87" s="123" t="str">
        <f t="shared" si="16"/>
        <v>-</v>
      </c>
      <c r="Y87" s="9" t="str">
        <f>IFERROR(IFERROR(IFERROR(IFERROR(VLOOKUP(Y$8&amp;"GTY"&amp;$Q87,'Draft SK'!$AE:$AF,2,FALSE),VLOOKUP(Y$8&amp;"PTY"&amp;$Q87,'Draft SK'!$AE:$AF,2,FALSE)),VLOOKUP(Y$8&amp;"GTT"&amp;$Q87,'Draft SK'!$AE:$AF,2,FALSE)),VLOOKUP(Y$8&amp;"PTT"&amp;$Q87,'Draft SK'!$AE:$AF,2,FALSE)),"")</f>
        <v/>
      </c>
    </row>
    <row r="88" spans="1:25" ht="15.5" x14ac:dyDescent="0.35">
      <c r="A88" s="51" t="str">
        <f t="shared" si="17"/>
        <v/>
      </c>
      <c r="B88" s="52" t="str">
        <f>IFERROR(VLOOKUP($C$3&amp;$A88,'Data Induk Pegawai'!$A:$Z,B$6,FALSE),"")</f>
        <v/>
      </c>
      <c r="C88" s="53" t="str">
        <f>IFERROR(VLOOKUP($C$3&amp;$A88,'Data Induk Pegawai'!$A:$Z,C$6,FALSE),"")</f>
        <v/>
      </c>
      <c r="D88" s="54" t="str">
        <f>IFERROR(VLOOKUP($C$3&amp;$A88,'Data Induk Pegawai'!$A:$Z,D$6,FALSE),"")</f>
        <v/>
      </c>
      <c r="E88" s="53" t="str">
        <f>IFERROR(VLOOKUP($C$3&amp;$A88,'Data Induk Pegawai'!$A:$Z,E$6,FALSE),"")</f>
        <v/>
      </c>
      <c r="F88" s="91" t="str">
        <f>IFERROR(VLOOKUP($C$3&amp;$A88,'Data Induk Pegawai'!$A:$Z,F$6,FALSE),"")</f>
        <v/>
      </c>
      <c r="G88" s="54" t="str">
        <f>IFERROR(VLOOKUP($C$3&amp;$A88,'Data Induk Pegawai'!$A:$Z,G$6,FALSE),"")</f>
        <v/>
      </c>
      <c r="H88" s="54" t="str">
        <f>IFERROR(VLOOKUP($C$3&amp;$A88,'Data Induk Pegawai'!$A:$Z,H$6,FALSE),"")</f>
        <v/>
      </c>
      <c r="I88" s="54" t="str">
        <f>IFERROR(VLOOKUP($C$3&amp;$A88,'Data Induk Pegawai'!$A:$Z,I$6,FALSE),"")</f>
        <v/>
      </c>
      <c r="J88" s="53" t="str">
        <f>IFERROR(VLOOKUP($C$3&amp;$A88,'Data Induk Pegawai'!$A:$Z,J$6,FALSE),"")</f>
        <v/>
      </c>
      <c r="K88" s="54" t="str">
        <f>IF(B88="","",VLOOKUP($C$3&amp;$A88,'Data Induk Pegawai'!$A:$Z,K$6,FALSE))</f>
        <v/>
      </c>
      <c r="L88" s="54" t="str">
        <f>IF(B88="","",VLOOKUP($C$3&amp;$A88,'Data Induk Pegawai'!$A:$Z,L$6,FALSE))</f>
        <v/>
      </c>
      <c r="M88" s="54" t="str">
        <f>IFERROR(VLOOKUP("1GPTT"&amp;Q88,'Draft SK'!AB:AG,6,FALSE),"")</f>
        <v/>
      </c>
      <c r="N88" s="54" t="str">
        <f>IFERROR(VLOOKUP("1GPTT"&amp;Q88,'Draft SK'!AB:AG,5,FALSE),"")</f>
        <v/>
      </c>
      <c r="O88" s="54" t="str">
        <f t="shared" si="9"/>
        <v/>
      </c>
      <c r="P88" s="54" t="str">
        <f t="shared" si="10"/>
        <v/>
      </c>
      <c r="Q88" s="53" t="str">
        <f>IF(C88="","",VLOOKUP($C$3&amp;$A88,'Data Induk Pegawai'!$A:$Z,Q$6,FALSE))</f>
        <v/>
      </c>
      <c r="R88" s="51" t="str">
        <f t="shared" ca="1" si="11"/>
        <v/>
      </c>
      <c r="S88" s="51" t="str">
        <f t="shared" si="12"/>
        <v/>
      </c>
      <c r="T88" s="123" t="str">
        <f t="shared" si="13"/>
        <v/>
      </c>
      <c r="U88" s="123" t="str">
        <f t="shared" si="14"/>
        <v>-</v>
      </c>
      <c r="V88" s="123" t="str">
        <f>U88&amp;COUNTIFS(U$9:U88,U88)</f>
        <v>-74</v>
      </c>
      <c r="W88" s="123" t="str">
        <f t="shared" si="15"/>
        <v>-</v>
      </c>
      <c r="X88" s="123" t="str">
        <f t="shared" si="16"/>
        <v>-</v>
      </c>
      <c r="Y88" s="9" t="str">
        <f>IFERROR(IFERROR(IFERROR(IFERROR(VLOOKUP(Y$8&amp;"GTY"&amp;$Q88,'Draft SK'!$AE:$AF,2,FALSE),VLOOKUP(Y$8&amp;"PTY"&amp;$Q88,'Draft SK'!$AE:$AF,2,FALSE)),VLOOKUP(Y$8&amp;"GTT"&amp;$Q88,'Draft SK'!$AE:$AF,2,FALSE)),VLOOKUP(Y$8&amp;"PTT"&amp;$Q88,'Draft SK'!$AE:$AF,2,FALSE)),"")</f>
        <v/>
      </c>
    </row>
    <row r="89" spans="1:25" ht="15.5" x14ac:dyDescent="0.35">
      <c r="A89" s="51" t="str">
        <f t="shared" si="17"/>
        <v/>
      </c>
      <c r="B89" s="52" t="str">
        <f>IFERROR(VLOOKUP($C$3&amp;$A89,'Data Induk Pegawai'!$A:$Z,B$6,FALSE),"")</f>
        <v/>
      </c>
      <c r="C89" s="53" t="str">
        <f>IFERROR(VLOOKUP($C$3&amp;$A89,'Data Induk Pegawai'!$A:$Z,C$6,FALSE),"")</f>
        <v/>
      </c>
      <c r="D89" s="54" t="str">
        <f>IFERROR(VLOOKUP($C$3&amp;$A89,'Data Induk Pegawai'!$A:$Z,D$6,FALSE),"")</f>
        <v/>
      </c>
      <c r="E89" s="53" t="str">
        <f>IFERROR(VLOOKUP($C$3&amp;$A89,'Data Induk Pegawai'!$A:$Z,E$6,FALSE),"")</f>
        <v/>
      </c>
      <c r="F89" s="91" t="str">
        <f>IFERROR(VLOOKUP($C$3&amp;$A89,'Data Induk Pegawai'!$A:$Z,F$6,FALSE),"")</f>
        <v/>
      </c>
      <c r="G89" s="54" t="str">
        <f>IFERROR(VLOOKUP($C$3&amp;$A89,'Data Induk Pegawai'!$A:$Z,G$6,FALSE),"")</f>
        <v/>
      </c>
      <c r="H89" s="54" t="str">
        <f>IFERROR(VLOOKUP($C$3&amp;$A89,'Data Induk Pegawai'!$A:$Z,H$6,FALSE),"")</f>
        <v/>
      </c>
      <c r="I89" s="54" t="str">
        <f>IFERROR(VLOOKUP($C$3&amp;$A89,'Data Induk Pegawai'!$A:$Z,I$6,FALSE),"")</f>
        <v/>
      </c>
      <c r="J89" s="53" t="str">
        <f>IFERROR(VLOOKUP($C$3&amp;$A89,'Data Induk Pegawai'!$A:$Z,J$6,FALSE),"")</f>
        <v/>
      </c>
      <c r="K89" s="54" t="str">
        <f>IF(B89="","",VLOOKUP($C$3&amp;$A89,'Data Induk Pegawai'!$A:$Z,K$6,FALSE))</f>
        <v/>
      </c>
      <c r="L89" s="54" t="str">
        <f>IF(B89="","",VLOOKUP($C$3&amp;$A89,'Data Induk Pegawai'!$A:$Z,L$6,FALSE))</f>
        <v/>
      </c>
      <c r="M89" s="54" t="str">
        <f>IFERROR(VLOOKUP("1GPTT"&amp;Q89,'Draft SK'!AB:AG,6,FALSE),"")</f>
        <v/>
      </c>
      <c r="N89" s="54" t="str">
        <f>IFERROR(VLOOKUP("1GPTT"&amp;Q89,'Draft SK'!AB:AG,5,FALSE),"")</f>
        <v/>
      </c>
      <c r="O89" s="54" t="str">
        <f t="shared" si="9"/>
        <v/>
      </c>
      <c r="P89" s="54" t="str">
        <f t="shared" si="10"/>
        <v/>
      </c>
      <c r="Q89" s="53" t="str">
        <f>IF(C89="","",VLOOKUP($C$3&amp;$A89,'Data Induk Pegawai'!$A:$Z,Q$6,FALSE))</f>
        <v/>
      </c>
      <c r="R89" s="51" t="str">
        <f t="shared" ca="1" si="11"/>
        <v/>
      </c>
      <c r="S89" s="51" t="str">
        <f t="shared" si="12"/>
        <v/>
      </c>
      <c r="T89" s="123" t="str">
        <f t="shared" si="13"/>
        <v/>
      </c>
      <c r="U89" s="123" t="str">
        <f t="shared" si="14"/>
        <v>-</v>
      </c>
      <c r="V89" s="123" t="str">
        <f>U89&amp;COUNTIFS(U$9:U89,U89)</f>
        <v>-75</v>
      </c>
      <c r="W89" s="123" t="str">
        <f t="shared" si="15"/>
        <v>-</v>
      </c>
      <c r="X89" s="123" t="str">
        <f t="shared" si="16"/>
        <v>-</v>
      </c>
      <c r="Y89" s="9" t="str">
        <f>IFERROR(IFERROR(IFERROR(IFERROR(VLOOKUP(Y$8&amp;"GTY"&amp;$Q89,'Draft SK'!$AE:$AF,2,FALSE),VLOOKUP(Y$8&amp;"PTY"&amp;$Q89,'Draft SK'!$AE:$AF,2,FALSE)),VLOOKUP(Y$8&amp;"GTT"&amp;$Q89,'Draft SK'!$AE:$AF,2,FALSE)),VLOOKUP(Y$8&amp;"PTT"&amp;$Q89,'Draft SK'!$AE:$AF,2,FALSE)),"")</f>
        <v/>
      </c>
    </row>
    <row r="90" spans="1:25" ht="15.5" x14ac:dyDescent="0.35">
      <c r="A90" s="51" t="str">
        <f t="shared" si="17"/>
        <v/>
      </c>
      <c r="B90" s="52" t="str">
        <f>IFERROR(VLOOKUP($C$3&amp;$A90,'Data Induk Pegawai'!$A:$Z,B$6,FALSE),"")</f>
        <v/>
      </c>
      <c r="C90" s="53" t="str">
        <f>IFERROR(VLOOKUP($C$3&amp;$A90,'Data Induk Pegawai'!$A:$Z,C$6,FALSE),"")</f>
        <v/>
      </c>
      <c r="D90" s="54" t="str">
        <f>IFERROR(VLOOKUP($C$3&amp;$A90,'Data Induk Pegawai'!$A:$Z,D$6,FALSE),"")</f>
        <v/>
      </c>
      <c r="E90" s="53" t="str">
        <f>IFERROR(VLOOKUP($C$3&amp;$A90,'Data Induk Pegawai'!$A:$Z,E$6,FALSE),"")</f>
        <v/>
      </c>
      <c r="F90" s="91" t="str">
        <f>IFERROR(VLOOKUP($C$3&amp;$A90,'Data Induk Pegawai'!$A:$Z,F$6,FALSE),"")</f>
        <v/>
      </c>
      <c r="G90" s="54" t="str">
        <f>IFERROR(VLOOKUP($C$3&amp;$A90,'Data Induk Pegawai'!$A:$Z,G$6,FALSE),"")</f>
        <v/>
      </c>
      <c r="H90" s="54" t="str">
        <f>IFERROR(VLOOKUP($C$3&amp;$A90,'Data Induk Pegawai'!$A:$Z,H$6,FALSE),"")</f>
        <v/>
      </c>
      <c r="I90" s="54" t="str">
        <f>IFERROR(VLOOKUP($C$3&amp;$A90,'Data Induk Pegawai'!$A:$Z,I$6,FALSE),"")</f>
        <v/>
      </c>
      <c r="J90" s="53" t="str">
        <f>IFERROR(VLOOKUP($C$3&amp;$A90,'Data Induk Pegawai'!$A:$Z,J$6,FALSE),"")</f>
        <v/>
      </c>
      <c r="K90" s="54" t="str">
        <f>IF(B90="","",VLOOKUP($C$3&amp;$A90,'Data Induk Pegawai'!$A:$Z,K$6,FALSE))</f>
        <v/>
      </c>
      <c r="L90" s="54" t="str">
        <f>IF(B90="","",VLOOKUP($C$3&amp;$A90,'Data Induk Pegawai'!$A:$Z,L$6,FALSE))</f>
        <v/>
      </c>
      <c r="M90" s="54" t="str">
        <f>IFERROR(VLOOKUP("1GPTT"&amp;Q90,'Draft SK'!AB:AG,6,FALSE),"")</f>
        <v/>
      </c>
      <c r="N90" s="54" t="str">
        <f>IFERROR(VLOOKUP("1GPTT"&amp;Q90,'Draft SK'!AB:AG,5,FALSE),"")</f>
        <v/>
      </c>
      <c r="O90" s="54" t="str">
        <f t="shared" si="9"/>
        <v/>
      </c>
      <c r="P90" s="54" t="str">
        <f t="shared" si="10"/>
        <v/>
      </c>
      <c r="Q90" s="53" t="str">
        <f>IF(C90="","",VLOOKUP($C$3&amp;$A90,'Data Induk Pegawai'!$A:$Z,Q$6,FALSE))</f>
        <v/>
      </c>
      <c r="R90" s="51" t="str">
        <f t="shared" ca="1" si="11"/>
        <v/>
      </c>
      <c r="S90" s="51" t="str">
        <f t="shared" si="12"/>
        <v/>
      </c>
      <c r="T90" s="123" t="str">
        <f t="shared" si="13"/>
        <v/>
      </c>
      <c r="U90" s="123" t="str">
        <f t="shared" si="14"/>
        <v>-</v>
      </c>
      <c r="V90" s="123" t="str">
        <f>U90&amp;COUNTIFS(U$9:U90,U90)</f>
        <v>-76</v>
      </c>
      <c r="W90" s="123" t="str">
        <f t="shared" si="15"/>
        <v>-</v>
      </c>
      <c r="X90" s="123" t="str">
        <f t="shared" si="16"/>
        <v>-</v>
      </c>
      <c r="Y90" s="9" t="str">
        <f>IFERROR(IFERROR(IFERROR(IFERROR(VLOOKUP(Y$8&amp;"GTY"&amp;$Q90,'Draft SK'!$AE:$AF,2,FALSE),VLOOKUP(Y$8&amp;"PTY"&amp;$Q90,'Draft SK'!$AE:$AF,2,FALSE)),VLOOKUP(Y$8&amp;"GTT"&amp;$Q90,'Draft SK'!$AE:$AF,2,FALSE)),VLOOKUP(Y$8&amp;"PTT"&amp;$Q90,'Draft SK'!$AE:$AF,2,FALSE)),"")</f>
        <v/>
      </c>
    </row>
    <row r="91" spans="1:25" ht="15.5" x14ac:dyDescent="0.35">
      <c r="A91" s="51" t="str">
        <f t="shared" si="17"/>
        <v/>
      </c>
      <c r="B91" s="52" t="str">
        <f>IFERROR(VLOOKUP($C$3&amp;$A91,'Data Induk Pegawai'!$A:$Z,B$6,FALSE),"")</f>
        <v/>
      </c>
      <c r="C91" s="53" t="str">
        <f>IFERROR(VLOOKUP($C$3&amp;$A91,'Data Induk Pegawai'!$A:$Z,C$6,FALSE),"")</f>
        <v/>
      </c>
      <c r="D91" s="54" t="str">
        <f>IFERROR(VLOOKUP($C$3&amp;$A91,'Data Induk Pegawai'!$A:$Z,D$6,FALSE),"")</f>
        <v/>
      </c>
      <c r="E91" s="53" t="str">
        <f>IFERROR(VLOOKUP($C$3&amp;$A91,'Data Induk Pegawai'!$A:$Z,E$6,FALSE),"")</f>
        <v/>
      </c>
      <c r="F91" s="91" t="str">
        <f>IFERROR(VLOOKUP($C$3&amp;$A91,'Data Induk Pegawai'!$A:$Z,F$6,FALSE),"")</f>
        <v/>
      </c>
      <c r="G91" s="54" t="str">
        <f>IFERROR(VLOOKUP($C$3&amp;$A91,'Data Induk Pegawai'!$A:$Z,G$6,FALSE),"")</f>
        <v/>
      </c>
      <c r="H91" s="54" t="str">
        <f>IFERROR(VLOOKUP($C$3&amp;$A91,'Data Induk Pegawai'!$A:$Z,H$6,FALSE),"")</f>
        <v/>
      </c>
      <c r="I91" s="54" t="str">
        <f>IFERROR(VLOOKUP($C$3&amp;$A91,'Data Induk Pegawai'!$A:$Z,I$6,FALSE),"")</f>
        <v/>
      </c>
      <c r="J91" s="53" t="str">
        <f>IFERROR(VLOOKUP($C$3&amp;$A91,'Data Induk Pegawai'!$A:$Z,J$6,FALSE),"")</f>
        <v/>
      </c>
      <c r="K91" s="54" t="str">
        <f>IF(B91="","",VLOOKUP($C$3&amp;$A91,'Data Induk Pegawai'!$A:$Z,K$6,FALSE))</f>
        <v/>
      </c>
      <c r="L91" s="54" t="str">
        <f>IF(B91="","",VLOOKUP($C$3&amp;$A91,'Data Induk Pegawai'!$A:$Z,L$6,FALSE))</f>
        <v/>
      </c>
      <c r="M91" s="54" t="str">
        <f>IFERROR(VLOOKUP("1GPTT"&amp;Q91,'Draft SK'!AB:AG,6,FALSE),"")</f>
        <v/>
      </c>
      <c r="N91" s="54" t="str">
        <f>IFERROR(VLOOKUP("1GPTT"&amp;Q91,'Draft SK'!AB:AG,5,FALSE),"")</f>
        <v/>
      </c>
      <c r="O91" s="54" t="str">
        <f t="shared" si="9"/>
        <v/>
      </c>
      <c r="P91" s="54" t="str">
        <f t="shared" si="10"/>
        <v/>
      </c>
      <c r="Q91" s="53" t="str">
        <f>IF(C91="","",VLOOKUP($C$3&amp;$A91,'Data Induk Pegawai'!$A:$Z,Q$6,FALSE))</f>
        <v/>
      </c>
      <c r="R91" s="51" t="str">
        <f t="shared" ca="1" si="11"/>
        <v/>
      </c>
      <c r="S91" s="51" t="str">
        <f t="shared" si="12"/>
        <v/>
      </c>
      <c r="T91" s="123" t="str">
        <f t="shared" si="13"/>
        <v/>
      </c>
      <c r="U91" s="123" t="str">
        <f t="shared" si="14"/>
        <v>-</v>
      </c>
      <c r="V91" s="123" t="str">
        <f>U91&amp;COUNTIFS(U$9:U91,U91)</f>
        <v>-77</v>
      </c>
      <c r="W91" s="123" t="str">
        <f t="shared" si="15"/>
        <v>-</v>
      </c>
      <c r="X91" s="123" t="str">
        <f t="shared" si="16"/>
        <v>-</v>
      </c>
      <c r="Y91" s="9" t="str">
        <f>IFERROR(IFERROR(IFERROR(IFERROR(VLOOKUP(Y$8&amp;"GTY"&amp;$Q91,'Draft SK'!$AE:$AF,2,FALSE),VLOOKUP(Y$8&amp;"PTY"&amp;$Q91,'Draft SK'!$AE:$AF,2,FALSE)),VLOOKUP(Y$8&amp;"GTT"&amp;$Q91,'Draft SK'!$AE:$AF,2,FALSE)),VLOOKUP(Y$8&amp;"PTT"&amp;$Q91,'Draft SK'!$AE:$AF,2,FALSE)),"")</f>
        <v/>
      </c>
    </row>
    <row r="92" spans="1:25" ht="15.5" x14ac:dyDescent="0.35">
      <c r="A92" s="51" t="str">
        <f t="shared" si="17"/>
        <v/>
      </c>
      <c r="B92" s="52" t="str">
        <f>IFERROR(VLOOKUP($C$3&amp;$A92,'Data Induk Pegawai'!$A:$Z,B$6,FALSE),"")</f>
        <v/>
      </c>
      <c r="C92" s="53" t="str">
        <f>IFERROR(VLOOKUP($C$3&amp;$A92,'Data Induk Pegawai'!$A:$Z,C$6,FALSE),"")</f>
        <v/>
      </c>
      <c r="D92" s="54" t="str">
        <f>IFERROR(VLOOKUP($C$3&amp;$A92,'Data Induk Pegawai'!$A:$Z,D$6,FALSE),"")</f>
        <v/>
      </c>
      <c r="E92" s="53" t="str">
        <f>IFERROR(VLOOKUP($C$3&amp;$A92,'Data Induk Pegawai'!$A:$Z,E$6,FALSE),"")</f>
        <v/>
      </c>
      <c r="F92" s="91" t="str">
        <f>IFERROR(VLOOKUP($C$3&amp;$A92,'Data Induk Pegawai'!$A:$Z,F$6,FALSE),"")</f>
        <v/>
      </c>
      <c r="G92" s="54" t="str">
        <f>IFERROR(VLOOKUP($C$3&amp;$A92,'Data Induk Pegawai'!$A:$Z,G$6,FALSE),"")</f>
        <v/>
      </c>
      <c r="H92" s="54" t="str">
        <f>IFERROR(VLOOKUP($C$3&amp;$A92,'Data Induk Pegawai'!$A:$Z,H$6,FALSE),"")</f>
        <v/>
      </c>
      <c r="I92" s="54" t="str">
        <f>IFERROR(VLOOKUP($C$3&amp;$A92,'Data Induk Pegawai'!$A:$Z,I$6,FALSE),"")</f>
        <v/>
      </c>
      <c r="J92" s="53" t="str">
        <f>IFERROR(VLOOKUP($C$3&amp;$A92,'Data Induk Pegawai'!$A:$Z,J$6,FALSE),"")</f>
        <v/>
      </c>
      <c r="K92" s="54" t="str">
        <f>IF(B92="","",VLOOKUP($C$3&amp;$A92,'Data Induk Pegawai'!$A:$Z,K$6,FALSE))</f>
        <v/>
      </c>
      <c r="L92" s="54" t="str">
        <f>IF(B92="","",VLOOKUP($C$3&amp;$A92,'Data Induk Pegawai'!$A:$Z,L$6,FALSE))</f>
        <v/>
      </c>
      <c r="M92" s="54" t="str">
        <f>IFERROR(VLOOKUP("1GPTT"&amp;Q92,'Draft SK'!AB:AG,6,FALSE),"")</f>
        <v/>
      </c>
      <c r="N92" s="54" t="str">
        <f>IFERROR(VLOOKUP("1GPTT"&amp;Q92,'Draft SK'!AB:AG,5,FALSE),"")</f>
        <v/>
      </c>
      <c r="O92" s="54" t="str">
        <f t="shared" si="9"/>
        <v/>
      </c>
      <c r="P92" s="54" t="str">
        <f t="shared" si="10"/>
        <v/>
      </c>
      <c r="Q92" s="53" t="str">
        <f>IF(C92="","",VLOOKUP($C$3&amp;$A92,'Data Induk Pegawai'!$A:$Z,Q$6,FALSE))</f>
        <v/>
      </c>
      <c r="R92" s="51" t="str">
        <f t="shared" ca="1" si="11"/>
        <v/>
      </c>
      <c r="S92" s="51" t="str">
        <f t="shared" si="12"/>
        <v/>
      </c>
      <c r="T92" s="123" t="str">
        <f t="shared" si="13"/>
        <v/>
      </c>
      <c r="U92" s="123" t="str">
        <f t="shared" si="14"/>
        <v>-</v>
      </c>
      <c r="V92" s="123" t="str">
        <f>U92&amp;COUNTIFS(U$9:U92,U92)</f>
        <v>-78</v>
      </c>
      <c r="W92" s="123" t="str">
        <f t="shared" si="15"/>
        <v>-</v>
      </c>
      <c r="X92" s="123" t="str">
        <f t="shared" si="16"/>
        <v>-</v>
      </c>
      <c r="Y92" s="9" t="str">
        <f>IFERROR(IFERROR(IFERROR(IFERROR(VLOOKUP(Y$8&amp;"GTY"&amp;$Q92,'Draft SK'!$AE:$AF,2,FALSE),VLOOKUP(Y$8&amp;"PTY"&amp;$Q92,'Draft SK'!$AE:$AF,2,FALSE)),VLOOKUP(Y$8&amp;"GTT"&amp;$Q92,'Draft SK'!$AE:$AF,2,FALSE)),VLOOKUP(Y$8&amp;"PTT"&amp;$Q92,'Draft SK'!$AE:$AF,2,FALSE)),"")</f>
        <v/>
      </c>
    </row>
    <row r="93" spans="1:25" ht="15.5" x14ac:dyDescent="0.35">
      <c r="A93" s="51" t="str">
        <f t="shared" si="17"/>
        <v/>
      </c>
      <c r="B93" s="52" t="str">
        <f>IFERROR(VLOOKUP($C$3&amp;$A93,'Data Induk Pegawai'!$A:$Z,B$6,FALSE),"")</f>
        <v/>
      </c>
      <c r="C93" s="53" t="str">
        <f>IFERROR(VLOOKUP($C$3&amp;$A93,'Data Induk Pegawai'!$A:$Z,C$6,FALSE),"")</f>
        <v/>
      </c>
      <c r="D93" s="54" t="str">
        <f>IFERROR(VLOOKUP($C$3&amp;$A93,'Data Induk Pegawai'!$A:$Z,D$6,FALSE),"")</f>
        <v/>
      </c>
      <c r="E93" s="53" t="str">
        <f>IFERROR(VLOOKUP($C$3&amp;$A93,'Data Induk Pegawai'!$A:$Z,E$6,FALSE),"")</f>
        <v/>
      </c>
      <c r="F93" s="91" t="str">
        <f>IFERROR(VLOOKUP($C$3&amp;$A93,'Data Induk Pegawai'!$A:$Z,F$6,FALSE),"")</f>
        <v/>
      </c>
      <c r="G93" s="54" t="str">
        <f>IFERROR(VLOOKUP($C$3&amp;$A93,'Data Induk Pegawai'!$A:$Z,G$6,FALSE),"")</f>
        <v/>
      </c>
      <c r="H93" s="54" t="str">
        <f>IFERROR(VLOOKUP($C$3&amp;$A93,'Data Induk Pegawai'!$A:$Z,H$6,FALSE),"")</f>
        <v/>
      </c>
      <c r="I93" s="54" t="str">
        <f>IFERROR(VLOOKUP($C$3&amp;$A93,'Data Induk Pegawai'!$A:$Z,I$6,FALSE),"")</f>
        <v/>
      </c>
      <c r="J93" s="53" t="str">
        <f>IFERROR(VLOOKUP($C$3&amp;$A93,'Data Induk Pegawai'!$A:$Z,J$6,FALSE),"")</f>
        <v/>
      </c>
      <c r="K93" s="54" t="str">
        <f>IF(B93="","",VLOOKUP($C$3&amp;$A93,'Data Induk Pegawai'!$A:$Z,K$6,FALSE))</f>
        <v/>
      </c>
      <c r="L93" s="54" t="str">
        <f>IF(B93="","",VLOOKUP($C$3&amp;$A93,'Data Induk Pegawai'!$A:$Z,L$6,FALSE))</f>
        <v/>
      </c>
      <c r="M93" s="54" t="str">
        <f>IFERROR(VLOOKUP("1GPTT"&amp;Q93,'Draft SK'!AB:AG,6,FALSE),"")</f>
        <v/>
      </c>
      <c r="N93" s="54" t="str">
        <f>IFERROR(VLOOKUP("1GPTT"&amp;Q93,'Draft SK'!AB:AG,5,FALSE),"")</f>
        <v/>
      </c>
      <c r="O93" s="54" t="str">
        <f t="shared" si="9"/>
        <v/>
      </c>
      <c r="P93" s="54" t="str">
        <f t="shared" si="10"/>
        <v/>
      </c>
      <c r="Q93" s="53" t="str">
        <f>IF(C93="","",VLOOKUP($C$3&amp;$A93,'Data Induk Pegawai'!$A:$Z,Q$6,FALSE))</f>
        <v/>
      </c>
      <c r="R93" s="51" t="str">
        <f t="shared" ca="1" si="11"/>
        <v/>
      </c>
      <c r="S93" s="51" t="str">
        <f t="shared" si="12"/>
        <v/>
      </c>
      <c r="T93" s="123" t="str">
        <f t="shared" si="13"/>
        <v/>
      </c>
      <c r="U93" s="123" t="str">
        <f t="shared" si="14"/>
        <v>-</v>
      </c>
      <c r="V93" s="123" t="str">
        <f>U93&amp;COUNTIFS(U$9:U93,U93)</f>
        <v>-79</v>
      </c>
      <c r="W93" s="123" t="str">
        <f t="shared" si="15"/>
        <v>-</v>
      </c>
      <c r="X93" s="123" t="str">
        <f t="shared" si="16"/>
        <v>-</v>
      </c>
      <c r="Y93" s="9" t="str">
        <f>IFERROR(IFERROR(IFERROR(IFERROR(VLOOKUP(Y$8&amp;"GTY"&amp;$Q93,'Draft SK'!$AE:$AF,2,FALSE),VLOOKUP(Y$8&amp;"PTY"&amp;$Q93,'Draft SK'!$AE:$AF,2,FALSE)),VLOOKUP(Y$8&amp;"GTT"&amp;$Q93,'Draft SK'!$AE:$AF,2,FALSE)),VLOOKUP(Y$8&amp;"PTT"&amp;$Q93,'Draft SK'!$AE:$AF,2,FALSE)),"")</f>
        <v/>
      </c>
    </row>
    <row r="94" spans="1:25" ht="15.5" x14ac:dyDescent="0.35">
      <c r="A94" s="51" t="str">
        <f t="shared" si="17"/>
        <v/>
      </c>
      <c r="B94" s="52" t="str">
        <f>IFERROR(VLOOKUP($C$3&amp;$A94,'Data Induk Pegawai'!$A:$Z,B$6,FALSE),"")</f>
        <v/>
      </c>
      <c r="C94" s="53" t="str">
        <f>IFERROR(VLOOKUP($C$3&amp;$A94,'Data Induk Pegawai'!$A:$Z,C$6,FALSE),"")</f>
        <v/>
      </c>
      <c r="D94" s="54" t="str">
        <f>IFERROR(VLOOKUP($C$3&amp;$A94,'Data Induk Pegawai'!$A:$Z,D$6,FALSE),"")</f>
        <v/>
      </c>
      <c r="E94" s="53" t="str">
        <f>IFERROR(VLOOKUP($C$3&amp;$A94,'Data Induk Pegawai'!$A:$Z,E$6,FALSE),"")</f>
        <v/>
      </c>
      <c r="F94" s="91" t="str">
        <f>IFERROR(VLOOKUP($C$3&amp;$A94,'Data Induk Pegawai'!$A:$Z,F$6,FALSE),"")</f>
        <v/>
      </c>
      <c r="G94" s="54" t="str">
        <f>IFERROR(VLOOKUP($C$3&amp;$A94,'Data Induk Pegawai'!$A:$Z,G$6,FALSE),"")</f>
        <v/>
      </c>
      <c r="H94" s="54" t="str">
        <f>IFERROR(VLOOKUP($C$3&amp;$A94,'Data Induk Pegawai'!$A:$Z,H$6,FALSE),"")</f>
        <v/>
      </c>
      <c r="I94" s="54" t="str">
        <f>IFERROR(VLOOKUP($C$3&amp;$A94,'Data Induk Pegawai'!$A:$Z,I$6,FALSE),"")</f>
        <v/>
      </c>
      <c r="J94" s="53" t="str">
        <f>IFERROR(VLOOKUP($C$3&amp;$A94,'Data Induk Pegawai'!$A:$Z,J$6,FALSE),"")</f>
        <v/>
      </c>
      <c r="K94" s="54" t="str">
        <f>IF(B94="","",VLOOKUP($C$3&amp;$A94,'Data Induk Pegawai'!$A:$Z,K$6,FALSE))</f>
        <v/>
      </c>
      <c r="L94" s="54" t="str">
        <f>IF(B94="","",VLOOKUP($C$3&amp;$A94,'Data Induk Pegawai'!$A:$Z,L$6,FALSE))</f>
        <v/>
      </c>
      <c r="M94" s="54" t="str">
        <f>IFERROR(VLOOKUP("1GPTT"&amp;Q94,'Draft SK'!AB:AG,6,FALSE),"")</f>
        <v/>
      </c>
      <c r="N94" s="54" t="str">
        <f>IFERROR(VLOOKUP("1GPTT"&amp;Q94,'Draft SK'!AB:AG,5,FALSE),"")</f>
        <v/>
      </c>
      <c r="O94" s="54" t="str">
        <f t="shared" si="9"/>
        <v/>
      </c>
      <c r="P94" s="54" t="str">
        <f t="shared" si="10"/>
        <v/>
      </c>
      <c r="Q94" s="53" t="str">
        <f>IF(C94="","",VLOOKUP($C$3&amp;$A94,'Data Induk Pegawai'!$A:$Z,Q$6,FALSE))</f>
        <v/>
      </c>
      <c r="R94" s="51" t="str">
        <f t="shared" ca="1" si="11"/>
        <v/>
      </c>
      <c r="S94" s="51" t="str">
        <f t="shared" si="12"/>
        <v/>
      </c>
      <c r="T94" s="123" t="str">
        <f t="shared" si="13"/>
        <v/>
      </c>
      <c r="U94" s="123" t="str">
        <f t="shared" si="14"/>
        <v>-</v>
      </c>
      <c r="V94" s="123" t="str">
        <f>U94&amp;COUNTIFS(U$9:U94,U94)</f>
        <v>-80</v>
      </c>
      <c r="W94" s="123" t="str">
        <f t="shared" si="15"/>
        <v>-</v>
      </c>
      <c r="X94" s="123" t="str">
        <f t="shared" si="16"/>
        <v>-</v>
      </c>
      <c r="Y94" s="9" t="str">
        <f>IFERROR(IFERROR(IFERROR(IFERROR(VLOOKUP(Y$8&amp;"GTY"&amp;$Q94,'Draft SK'!$AE:$AF,2,FALSE),VLOOKUP(Y$8&amp;"PTY"&amp;$Q94,'Draft SK'!$AE:$AF,2,FALSE)),VLOOKUP(Y$8&amp;"GTT"&amp;$Q94,'Draft SK'!$AE:$AF,2,FALSE)),VLOOKUP(Y$8&amp;"PTT"&amp;$Q94,'Draft SK'!$AE:$AF,2,FALSE)),"")</f>
        <v/>
      </c>
    </row>
    <row r="95" spans="1:25" ht="15.5" x14ac:dyDescent="0.35">
      <c r="A95" s="51" t="str">
        <f t="shared" si="17"/>
        <v/>
      </c>
      <c r="B95" s="52" t="str">
        <f>IFERROR(VLOOKUP($C$3&amp;$A95,'Data Induk Pegawai'!$A:$Z,B$6,FALSE),"")</f>
        <v/>
      </c>
      <c r="C95" s="53" t="str">
        <f>IFERROR(VLOOKUP($C$3&amp;$A95,'Data Induk Pegawai'!$A:$Z,C$6,FALSE),"")</f>
        <v/>
      </c>
      <c r="D95" s="54" t="str">
        <f>IFERROR(VLOOKUP($C$3&amp;$A95,'Data Induk Pegawai'!$A:$Z,D$6,FALSE),"")</f>
        <v/>
      </c>
      <c r="E95" s="53" t="str">
        <f>IFERROR(VLOOKUP($C$3&amp;$A95,'Data Induk Pegawai'!$A:$Z,E$6,FALSE),"")</f>
        <v/>
      </c>
      <c r="F95" s="91" t="str">
        <f>IFERROR(VLOOKUP($C$3&amp;$A95,'Data Induk Pegawai'!$A:$Z,F$6,FALSE),"")</f>
        <v/>
      </c>
      <c r="G95" s="54" t="str">
        <f>IFERROR(VLOOKUP($C$3&amp;$A95,'Data Induk Pegawai'!$A:$Z,G$6,FALSE),"")</f>
        <v/>
      </c>
      <c r="H95" s="54" t="str">
        <f>IFERROR(VLOOKUP($C$3&amp;$A95,'Data Induk Pegawai'!$A:$Z,H$6,FALSE),"")</f>
        <v/>
      </c>
      <c r="I95" s="54" t="str">
        <f>IFERROR(VLOOKUP($C$3&amp;$A95,'Data Induk Pegawai'!$A:$Z,I$6,FALSE),"")</f>
        <v/>
      </c>
      <c r="J95" s="53" t="str">
        <f>IFERROR(VLOOKUP($C$3&amp;$A95,'Data Induk Pegawai'!$A:$Z,J$6,FALSE),"")</f>
        <v/>
      </c>
      <c r="K95" s="54" t="str">
        <f>IF(B95="","",VLOOKUP($C$3&amp;$A95,'Data Induk Pegawai'!$A:$Z,K$6,FALSE))</f>
        <v/>
      </c>
      <c r="L95" s="54" t="str">
        <f>IF(B95="","",VLOOKUP($C$3&amp;$A95,'Data Induk Pegawai'!$A:$Z,L$6,FALSE))</f>
        <v/>
      </c>
      <c r="M95" s="54" t="str">
        <f>IFERROR(VLOOKUP("1GPTT"&amp;Q95,'Draft SK'!AB:AG,6,FALSE),"")</f>
        <v/>
      </c>
      <c r="N95" s="54" t="str">
        <f>IFERROR(VLOOKUP("1GPTT"&amp;Q95,'Draft SK'!AB:AG,5,FALSE),"")</f>
        <v/>
      </c>
      <c r="O95" s="54" t="str">
        <f t="shared" si="9"/>
        <v/>
      </c>
      <c r="P95" s="54" t="str">
        <f t="shared" si="10"/>
        <v/>
      </c>
      <c r="Q95" s="53" t="str">
        <f>IF(C95="","",VLOOKUP($C$3&amp;$A95,'Data Induk Pegawai'!$A:$Z,Q$6,FALSE))</f>
        <v/>
      </c>
      <c r="R95" s="51" t="str">
        <f t="shared" ca="1" si="11"/>
        <v/>
      </c>
      <c r="S95" s="51" t="str">
        <f t="shared" si="12"/>
        <v/>
      </c>
      <c r="T95" s="123" t="str">
        <f t="shared" si="13"/>
        <v/>
      </c>
      <c r="U95" s="123" t="str">
        <f t="shared" si="14"/>
        <v>-</v>
      </c>
      <c r="V95" s="123" t="str">
        <f>U95&amp;COUNTIFS(U$9:U95,U95)</f>
        <v>-81</v>
      </c>
      <c r="W95" s="123" t="str">
        <f t="shared" si="15"/>
        <v>-</v>
      </c>
      <c r="X95" s="123" t="str">
        <f t="shared" si="16"/>
        <v>-</v>
      </c>
      <c r="Y95" s="9" t="str">
        <f>IFERROR(IFERROR(IFERROR(IFERROR(VLOOKUP(Y$8&amp;"GTY"&amp;$Q95,'Draft SK'!$AE:$AF,2,FALSE),VLOOKUP(Y$8&amp;"PTY"&amp;$Q95,'Draft SK'!$AE:$AF,2,FALSE)),VLOOKUP(Y$8&amp;"GTT"&amp;$Q95,'Draft SK'!$AE:$AF,2,FALSE)),VLOOKUP(Y$8&amp;"PTT"&amp;$Q95,'Draft SK'!$AE:$AF,2,FALSE)),"")</f>
        <v/>
      </c>
    </row>
    <row r="96" spans="1:25" ht="15.5" x14ac:dyDescent="0.35">
      <c r="A96" s="51" t="str">
        <f t="shared" si="17"/>
        <v/>
      </c>
      <c r="B96" s="52" t="str">
        <f>IFERROR(VLOOKUP($C$3&amp;$A96,'Data Induk Pegawai'!$A:$Z,B$6,FALSE),"")</f>
        <v/>
      </c>
      <c r="C96" s="53" t="str">
        <f>IFERROR(VLOOKUP($C$3&amp;$A96,'Data Induk Pegawai'!$A:$Z,C$6,FALSE),"")</f>
        <v/>
      </c>
      <c r="D96" s="54" t="str">
        <f>IFERROR(VLOOKUP($C$3&amp;$A96,'Data Induk Pegawai'!$A:$Z,D$6,FALSE),"")</f>
        <v/>
      </c>
      <c r="E96" s="53" t="str">
        <f>IFERROR(VLOOKUP($C$3&amp;$A96,'Data Induk Pegawai'!$A:$Z,E$6,FALSE),"")</f>
        <v/>
      </c>
      <c r="F96" s="91" t="str">
        <f>IFERROR(VLOOKUP($C$3&amp;$A96,'Data Induk Pegawai'!$A:$Z,F$6,FALSE),"")</f>
        <v/>
      </c>
      <c r="G96" s="54" t="str">
        <f>IFERROR(VLOOKUP($C$3&amp;$A96,'Data Induk Pegawai'!$A:$Z,G$6,FALSE),"")</f>
        <v/>
      </c>
      <c r="H96" s="54" t="str">
        <f>IFERROR(VLOOKUP($C$3&amp;$A96,'Data Induk Pegawai'!$A:$Z,H$6,FALSE),"")</f>
        <v/>
      </c>
      <c r="I96" s="54" t="str">
        <f>IFERROR(VLOOKUP($C$3&amp;$A96,'Data Induk Pegawai'!$A:$Z,I$6,FALSE),"")</f>
        <v/>
      </c>
      <c r="J96" s="53" t="str">
        <f>IFERROR(VLOOKUP($C$3&amp;$A96,'Data Induk Pegawai'!$A:$Z,J$6,FALSE),"")</f>
        <v/>
      </c>
      <c r="K96" s="54" t="str">
        <f>IF(B96="","",VLOOKUP($C$3&amp;$A96,'Data Induk Pegawai'!$A:$Z,K$6,FALSE))</f>
        <v/>
      </c>
      <c r="L96" s="54" t="str">
        <f>IF(B96="","",VLOOKUP($C$3&amp;$A96,'Data Induk Pegawai'!$A:$Z,L$6,FALSE))</f>
        <v/>
      </c>
      <c r="M96" s="54" t="str">
        <f>IFERROR(VLOOKUP("1GPTT"&amp;Q96,'Draft SK'!AB:AG,6,FALSE),"")</f>
        <v/>
      </c>
      <c r="N96" s="54" t="str">
        <f>IFERROR(VLOOKUP("1GPTT"&amp;Q96,'Draft SK'!AB:AG,5,FALSE),"")</f>
        <v/>
      </c>
      <c r="O96" s="54" t="str">
        <f t="shared" si="9"/>
        <v/>
      </c>
      <c r="P96" s="54" t="str">
        <f t="shared" si="10"/>
        <v/>
      </c>
      <c r="Q96" s="53" t="str">
        <f>IF(C96="","",VLOOKUP($C$3&amp;$A96,'Data Induk Pegawai'!$A:$Z,Q$6,FALSE))</f>
        <v/>
      </c>
      <c r="R96" s="51" t="str">
        <f t="shared" ca="1" si="11"/>
        <v/>
      </c>
      <c r="S96" s="51" t="str">
        <f t="shared" si="12"/>
        <v/>
      </c>
      <c r="T96" s="123" t="str">
        <f t="shared" si="13"/>
        <v/>
      </c>
      <c r="U96" s="123" t="str">
        <f t="shared" si="14"/>
        <v>-</v>
      </c>
      <c r="V96" s="123" t="str">
        <f>U96&amp;COUNTIFS(U$9:U96,U96)</f>
        <v>-82</v>
      </c>
      <c r="W96" s="123" t="str">
        <f t="shared" si="15"/>
        <v>-</v>
      </c>
      <c r="X96" s="123" t="str">
        <f t="shared" si="16"/>
        <v>-</v>
      </c>
      <c r="Y96" s="9" t="str">
        <f>IFERROR(IFERROR(IFERROR(IFERROR(VLOOKUP(Y$8&amp;"GTY"&amp;$Q96,'Draft SK'!$AE:$AF,2,FALSE),VLOOKUP(Y$8&amp;"PTY"&amp;$Q96,'Draft SK'!$AE:$AF,2,FALSE)),VLOOKUP(Y$8&amp;"GTT"&amp;$Q96,'Draft SK'!$AE:$AF,2,FALSE)),VLOOKUP(Y$8&amp;"PTT"&amp;$Q96,'Draft SK'!$AE:$AF,2,FALSE)),"")</f>
        <v/>
      </c>
    </row>
    <row r="97" spans="1:25" ht="15.5" x14ac:dyDescent="0.35">
      <c r="A97" s="51" t="str">
        <f t="shared" si="17"/>
        <v/>
      </c>
      <c r="B97" s="52" t="str">
        <f>IFERROR(VLOOKUP($C$3&amp;$A97,'Data Induk Pegawai'!$A:$Z,B$6,FALSE),"")</f>
        <v/>
      </c>
      <c r="C97" s="53" t="str">
        <f>IFERROR(VLOOKUP($C$3&amp;$A97,'Data Induk Pegawai'!$A:$Z,C$6,FALSE),"")</f>
        <v/>
      </c>
      <c r="D97" s="54" t="str">
        <f>IFERROR(VLOOKUP($C$3&amp;$A97,'Data Induk Pegawai'!$A:$Z,D$6,FALSE),"")</f>
        <v/>
      </c>
      <c r="E97" s="53" t="str">
        <f>IFERROR(VLOOKUP($C$3&amp;$A97,'Data Induk Pegawai'!$A:$Z,E$6,FALSE),"")</f>
        <v/>
      </c>
      <c r="F97" s="91" t="str">
        <f>IFERROR(VLOOKUP($C$3&amp;$A97,'Data Induk Pegawai'!$A:$Z,F$6,FALSE),"")</f>
        <v/>
      </c>
      <c r="G97" s="54" t="str">
        <f>IFERROR(VLOOKUP($C$3&amp;$A97,'Data Induk Pegawai'!$A:$Z,G$6,FALSE),"")</f>
        <v/>
      </c>
      <c r="H97" s="54" t="str">
        <f>IFERROR(VLOOKUP($C$3&amp;$A97,'Data Induk Pegawai'!$A:$Z,H$6,FALSE),"")</f>
        <v/>
      </c>
      <c r="I97" s="54" t="str">
        <f>IFERROR(VLOOKUP($C$3&amp;$A97,'Data Induk Pegawai'!$A:$Z,I$6,FALSE),"")</f>
        <v/>
      </c>
      <c r="J97" s="53" t="str">
        <f>IFERROR(VLOOKUP($C$3&amp;$A97,'Data Induk Pegawai'!$A:$Z,J$6,FALSE),"")</f>
        <v/>
      </c>
      <c r="K97" s="54" t="str">
        <f>IF(B97="","",VLOOKUP($C$3&amp;$A97,'Data Induk Pegawai'!$A:$Z,K$6,FALSE))</f>
        <v/>
      </c>
      <c r="L97" s="54" t="str">
        <f>IF(B97="","",VLOOKUP($C$3&amp;$A97,'Data Induk Pegawai'!$A:$Z,L$6,FALSE))</f>
        <v/>
      </c>
      <c r="M97" s="54" t="str">
        <f>IFERROR(VLOOKUP("1GPTT"&amp;Q97,'Draft SK'!AB:AG,6,FALSE),"")</f>
        <v/>
      </c>
      <c r="N97" s="54" t="str">
        <f>IFERROR(VLOOKUP("1GPTT"&amp;Q97,'Draft SK'!AB:AG,5,FALSE),"")</f>
        <v/>
      </c>
      <c r="O97" s="54" t="str">
        <f t="shared" si="9"/>
        <v/>
      </c>
      <c r="P97" s="54" t="str">
        <f t="shared" si="10"/>
        <v/>
      </c>
      <c r="Q97" s="53" t="str">
        <f>IF(C97="","",VLOOKUP($C$3&amp;$A97,'Data Induk Pegawai'!$A:$Z,Q$6,FALSE))</f>
        <v/>
      </c>
      <c r="R97" s="51" t="str">
        <f t="shared" ca="1" si="11"/>
        <v/>
      </c>
      <c r="S97" s="51" t="str">
        <f t="shared" si="12"/>
        <v/>
      </c>
      <c r="T97" s="123" t="str">
        <f t="shared" si="13"/>
        <v/>
      </c>
      <c r="U97" s="123" t="str">
        <f t="shared" si="14"/>
        <v>-</v>
      </c>
      <c r="V97" s="123" t="str">
        <f>U97&amp;COUNTIFS(U$9:U97,U97)</f>
        <v>-83</v>
      </c>
      <c r="W97" s="123" t="str">
        <f t="shared" si="15"/>
        <v>-</v>
      </c>
      <c r="X97" s="123" t="str">
        <f t="shared" si="16"/>
        <v>-</v>
      </c>
      <c r="Y97" s="9" t="str">
        <f>IFERROR(IFERROR(IFERROR(IFERROR(VLOOKUP(Y$8&amp;"GTY"&amp;$Q97,'Draft SK'!$AE:$AF,2,FALSE),VLOOKUP(Y$8&amp;"PTY"&amp;$Q97,'Draft SK'!$AE:$AF,2,FALSE)),VLOOKUP(Y$8&amp;"GTT"&amp;$Q97,'Draft SK'!$AE:$AF,2,FALSE)),VLOOKUP(Y$8&amp;"PTT"&amp;$Q97,'Draft SK'!$AE:$AF,2,FALSE)),"")</f>
        <v/>
      </c>
    </row>
    <row r="98" spans="1:25" ht="15.5" x14ac:dyDescent="0.35">
      <c r="A98" s="51" t="str">
        <f t="shared" si="17"/>
        <v/>
      </c>
      <c r="B98" s="52" t="str">
        <f>IFERROR(VLOOKUP($C$3&amp;$A98,'Data Induk Pegawai'!$A:$Z,B$6,FALSE),"")</f>
        <v/>
      </c>
      <c r="C98" s="53" t="str">
        <f>IFERROR(VLOOKUP($C$3&amp;$A98,'Data Induk Pegawai'!$A:$Z,C$6,FALSE),"")</f>
        <v/>
      </c>
      <c r="D98" s="54" t="str">
        <f>IFERROR(VLOOKUP($C$3&amp;$A98,'Data Induk Pegawai'!$A:$Z,D$6,FALSE),"")</f>
        <v/>
      </c>
      <c r="E98" s="53" t="str">
        <f>IFERROR(VLOOKUP($C$3&amp;$A98,'Data Induk Pegawai'!$A:$Z,E$6,FALSE),"")</f>
        <v/>
      </c>
      <c r="F98" s="91" t="str">
        <f>IFERROR(VLOOKUP($C$3&amp;$A98,'Data Induk Pegawai'!$A:$Z,F$6,FALSE),"")</f>
        <v/>
      </c>
      <c r="G98" s="54" t="str">
        <f>IFERROR(VLOOKUP($C$3&amp;$A98,'Data Induk Pegawai'!$A:$Z,G$6,FALSE),"")</f>
        <v/>
      </c>
      <c r="H98" s="54" t="str">
        <f>IFERROR(VLOOKUP($C$3&amp;$A98,'Data Induk Pegawai'!$A:$Z,H$6,FALSE),"")</f>
        <v/>
      </c>
      <c r="I98" s="54" t="str">
        <f>IFERROR(VLOOKUP($C$3&amp;$A98,'Data Induk Pegawai'!$A:$Z,I$6,FALSE),"")</f>
        <v/>
      </c>
      <c r="J98" s="53" t="str">
        <f>IFERROR(VLOOKUP($C$3&amp;$A98,'Data Induk Pegawai'!$A:$Z,J$6,FALSE),"")</f>
        <v/>
      </c>
      <c r="K98" s="54" t="str">
        <f>IF(B98="","",VLOOKUP($C$3&amp;$A98,'Data Induk Pegawai'!$A:$Z,K$6,FALSE))</f>
        <v/>
      </c>
      <c r="L98" s="54" t="str">
        <f>IF(B98="","",VLOOKUP($C$3&amp;$A98,'Data Induk Pegawai'!$A:$Z,L$6,FALSE))</f>
        <v/>
      </c>
      <c r="M98" s="54" t="str">
        <f>IFERROR(VLOOKUP("1GPTT"&amp;Q98,'Draft SK'!AB:AG,6,FALSE),"")</f>
        <v/>
      </c>
      <c r="N98" s="54" t="str">
        <f>IFERROR(VLOOKUP("1GPTT"&amp;Q98,'Draft SK'!AB:AG,5,FALSE),"")</f>
        <v/>
      </c>
      <c r="O98" s="54" t="str">
        <f t="shared" si="9"/>
        <v/>
      </c>
      <c r="P98" s="54" t="str">
        <f t="shared" si="10"/>
        <v/>
      </c>
      <c r="Q98" s="53" t="str">
        <f>IF(C98="","",VLOOKUP($C$3&amp;$A98,'Data Induk Pegawai'!$A:$Z,Q$6,FALSE))</f>
        <v/>
      </c>
      <c r="R98" s="51" t="str">
        <f t="shared" ca="1" si="11"/>
        <v/>
      </c>
      <c r="S98" s="51" t="str">
        <f t="shared" si="12"/>
        <v/>
      </c>
      <c r="T98" s="123" t="str">
        <f t="shared" si="13"/>
        <v/>
      </c>
      <c r="U98" s="123" t="str">
        <f t="shared" si="14"/>
        <v>-</v>
      </c>
      <c r="V98" s="123" t="str">
        <f>U98&amp;COUNTIFS(U$9:U98,U98)</f>
        <v>-84</v>
      </c>
      <c r="W98" s="123" t="str">
        <f t="shared" si="15"/>
        <v>-</v>
      </c>
      <c r="X98" s="123" t="str">
        <f t="shared" si="16"/>
        <v>-</v>
      </c>
      <c r="Y98" s="9" t="str">
        <f>IFERROR(IFERROR(IFERROR(IFERROR(VLOOKUP(Y$8&amp;"GTY"&amp;$Q98,'Draft SK'!$AE:$AF,2,FALSE),VLOOKUP(Y$8&amp;"PTY"&amp;$Q98,'Draft SK'!$AE:$AF,2,FALSE)),VLOOKUP(Y$8&amp;"GTT"&amp;$Q98,'Draft SK'!$AE:$AF,2,FALSE)),VLOOKUP(Y$8&amp;"PTT"&amp;$Q98,'Draft SK'!$AE:$AF,2,FALSE)),"")</f>
        <v/>
      </c>
    </row>
    <row r="99" spans="1:25" ht="15.5" x14ac:dyDescent="0.35">
      <c r="A99" s="51" t="str">
        <f t="shared" si="17"/>
        <v/>
      </c>
      <c r="B99" s="52" t="str">
        <f>IFERROR(VLOOKUP($C$3&amp;$A99,'Data Induk Pegawai'!$A:$Z,B$6,FALSE),"")</f>
        <v/>
      </c>
      <c r="C99" s="53" t="str">
        <f>IFERROR(VLOOKUP($C$3&amp;$A99,'Data Induk Pegawai'!$A:$Z,C$6,FALSE),"")</f>
        <v/>
      </c>
      <c r="D99" s="54" t="str">
        <f>IFERROR(VLOOKUP($C$3&amp;$A99,'Data Induk Pegawai'!$A:$Z,D$6,FALSE),"")</f>
        <v/>
      </c>
      <c r="E99" s="53" t="str">
        <f>IFERROR(VLOOKUP($C$3&amp;$A99,'Data Induk Pegawai'!$A:$Z,E$6,FALSE),"")</f>
        <v/>
      </c>
      <c r="F99" s="91" t="str">
        <f>IFERROR(VLOOKUP($C$3&amp;$A99,'Data Induk Pegawai'!$A:$Z,F$6,FALSE),"")</f>
        <v/>
      </c>
      <c r="G99" s="54" t="str">
        <f>IFERROR(VLOOKUP($C$3&amp;$A99,'Data Induk Pegawai'!$A:$Z,G$6,FALSE),"")</f>
        <v/>
      </c>
      <c r="H99" s="54" t="str">
        <f>IFERROR(VLOOKUP($C$3&amp;$A99,'Data Induk Pegawai'!$A:$Z,H$6,FALSE),"")</f>
        <v/>
      </c>
      <c r="I99" s="54" t="str">
        <f>IFERROR(VLOOKUP($C$3&amp;$A99,'Data Induk Pegawai'!$A:$Z,I$6,FALSE),"")</f>
        <v/>
      </c>
      <c r="J99" s="53" t="str">
        <f>IFERROR(VLOOKUP($C$3&amp;$A99,'Data Induk Pegawai'!$A:$Z,J$6,FALSE),"")</f>
        <v/>
      </c>
      <c r="K99" s="54" t="str">
        <f>IF(B99="","",VLOOKUP($C$3&amp;$A99,'Data Induk Pegawai'!$A:$Z,K$6,FALSE))</f>
        <v/>
      </c>
      <c r="L99" s="54" t="str">
        <f>IF(B99="","",VLOOKUP($C$3&amp;$A99,'Data Induk Pegawai'!$A:$Z,L$6,FALSE))</f>
        <v/>
      </c>
      <c r="M99" s="54" t="str">
        <f>IFERROR(VLOOKUP("1GPTT"&amp;Q99,'Draft SK'!AB:AG,6,FALSE),"")</f>
        <v/>
      </c>
      <c r="N99" s="54" t="str">
        <f>IFERROR(VLOOKUP("1GPTT"&amp;Q99,'Draft SK'!AB:AG,5,FALSE),"")</f>
        <v/>
      </c>
      <c r="O99" s="54" t="str">
        <f t="shared" si="9"/>
        <v/>
      </c>
      <c r="P99" s="54" t="str">
        <f t="shared" si="10"/>
        <v/>
      </c>
      <c r="Q99" s="53" t="str">
        <f>IF(C99="","",VLOOKUP($C$3&amp;$A99,'Data Induk Pegawai'!$A:$Z,Q$6,FALSE))</f>
        <v/>
      </c>
      <c r="R99" s="51" t="str">
        <f t="shared" ca="1" si="11"/>
        <v/>
      </c>
      <c r="S99" s="51" t="str">
        <f t="shared" si="12"/>
        <v/>
      </c>
      <c r="T99" s="123" t="str">
        <f t="shared" si="13"/>
        <v/>
      </c>
      <c r="U99" s="123" t="str">
        <f t="shared" si="14"/>
        <v>-</v>
      </c>
      <c r="V99" s="123" t="str">
        <f>U99&amp;COUNTIFS(U$9:U99,U99)</f>
        <v>-85</v>
      </c>
      <c r="W99" s="123" t="str">
        <f t="shared" si="15"/>
        <v>-</v>
      </c>
      <c r="X99" s="123" t="str">
        <f t="shared" si="16"/>
        <v>-</v>
      </c>
      <c r="Y99" s="9" t="str">
        <f>IFERROR(IFERROR(IFERROR(IFERROR(VLOOKUP(Y$8&amp;"GTY"&amp;$Q99,'Draft SK'!$AE:$AF,2,FALSE),VLOOKUP(Y$8&amp;"PTY"&amp;$Q99,'Draft SK'!$AE:$AF,2,FALSE)),VLOOKUP(Y$8&amp;"GTT"&amp;$Q99,'Draft SK'!$AE:$AF,2,FALSE)),VLOOKUP(Y$8&amp;"PTT"&amp;$Q99,'Draft SK'!$AE:$AF,2,FALSE)),"")</f>
        <v/>
      </c>
    </row>
    <row r="100" spans="1:25" ht="15.5" x14ac:dyDescent="0.35">
      <c r="A100" s="51" t="str">
        <f t="shared" si="17"/>
        <v/>
      </c>
      <c r="B100" s="52" t="str">
        <f>IFERROR(VLOOKUP($C$3&amp;$A100,'Data Induk Pegawai'!$A:$Z,B$6,FALSE),"")</f>
        <v/>
      </c>
      <c r="C100" s="53" t="str">
        <f>IFERROR(VLOOKUP($C$3&amp;$A100,'Data Induk Pegawai'!$A:$Z,C$6,FALSE),"")</f>
        <v/>
      </c>
      <c r="D100" s="54" t="str">
        <f>IFERROR(VLOOKUP($C$3&amp;$A100,'Data Induk Pegawai'!$A:$Z,D$6,FALSE),"")</f>
        <v/>
      </c>
      <c r="E100" s="53" t="str">
        <f>IFERROR(VLOOKUP($C$3&amp;$A100,'Data Induk Pegawai'!$A:$Z,E$6,FALSE),"")</f>
        <v/>
      </c>
      <c r="F100" s="91" t="str">
        <f>IFERROR(VLOOKUP($C$3&amp;$A100,'Data Induk Pegawai'!$A:$Z,F$6,FALSE),"")</f>
        <v/>
      </c>
      <c r="G100" s="54" t="str">
        <f>IFERROR(VLOOKUP($C$3&amp;$A100,'Data Induk Pegawai'!$A:$Z,G$6,FALSE),"")</f>
        <v/>
      </c>
      <c r="H100" s="54" t="str">
        <f>IFERROR(VLOOKUP($C$3&amp;$A100,'Data Induk Pegawai'!$A:$Z,H$6,FALSE),"")</f>
        <v/>
      </c>
      <c r="I100" s="54" t="str">
        <f>IFERROR(VLOOKUP($C$3&amp;$A100,'Data Induk Pegawai'!$A:$Z,I$6,FALSE),"")</f>
        <v/>
      </c>
      <c r="J100" s="53" t="str">
        <f>IFERROR(VLOOKUP($C$3&amp;$A100,'Data Induk Pegawai'!$A:$Z,J$6,FALSE),"")</f>
        <v/>
      </c>
      <c r="K100" s="54" t="str">
        <f>IF(B100="","",VLOOKUP($C$3&amp;$A100,'Data Induk Pegawai'!$A:$Z,K$6,FALSE))</f>
        <v/>
      </c>
      <c r="L100" s="54" t="str">
        <f>IF(B100="","",VLOOKUP($C$3&amp;$A100,'Data Induk Pegawai'!$A:$Z,L$6,FALSE))</f>
        <v/>
      </c>
      <c r="M100" s="54" t="str">
        <f>IFERROR(VLOOKUP("1GPTT"&amp;Q100,'Draft SK'!AB:AG,6,FALSE),"")</f>
        <v/>
      </c>
      <c r="N100" s="54" t="str">
        <f>IFERROR(VLOOKUP("1GPTT"&amp;Q100,'Draft SK'!AB:AG,5,FALSE),"")</f>
        <v/>
      </c>
      <c r="O100" s="54" t="str">
        <f t="shared" si="9"/>
        <v/>
      </c>
      <c r="P100" s="54" t="str">
        <f t="shared" si="10"/>
        <v/>
      </c>
      <c r="Q100" s="53" t="str">
        <f>IF(C100="","",VLOOKUP($C$3&amp;$A100,'Data Induk Pegawai'!$A:$Z,Q$6,FALSE))</f>
        <v/>
      </c>
      <c r="R100" s="51" t="str">
        <f t="shared" ca="1" si="11"/>
        <v/>
      </c>
      <c r="S100" s="51" t="str">
        <f t="shared" si="12"/>
        <v/>
      </c>
      <c r="T100" s="123" t="str">
        <f t="shared" si="13"/>
        <v/>
      </c>
      <c r="U100" s="123" t="str">
        <f t="shared" si="14"/>
        <v>-</v>
      </c>
      <c r="V100" s="123" t="str">
        <f>U100&amp;COUNTIFS(U$9:U100,U100)</f>
        <v>-86</v>
      </c>
      <c r="W100" s="123" t="str">
        <f t="shared" si="15"/>
        <v>-</v>
      </c>
      <c r="X100" s="123" t="str">
        <f t="shared" si="16"/>
        <v>-</v>
      </c>
      <c r="Y100" s="9" t="str">
        <f>IFERROR(IFERROR(IFERROR(IFERROR(VLOOKUP(Y$8&amp;"GTY"&amp;$Q100,'Draft SK'!$AE:$AF,2,FALSE),VLOOKUP(Y$8&amp;"PTY"&amp;$Q100,'Draft SK'!$AE:$AF,2,FALSE)),VLOOKUP(Y$8&amp;"GTT"&amp;$Q100,'Draft SK'!$AE:$AF,2,FALSE)),VLOOKUP(Y$8&amp;"PTT"&amp;$Q100,'Draft SK'!$AE:$AF,2,FALSE)),"")</f>
        <v/>
      </c>
    </row>
    <row r="101" spans="1:25" ht="15.5" x14ac:dyDescent="0.35">
      <c r="A101" s="51" t="str">
        <f t="shared" si="17"/>
        <v/>
      </c>
      <c r="B101" s="52" t="str">
        <f>IFERROR(VLOOKUP($C$3&amp;$A101,'Data Induk Pegawai'!$A:$Z,B$6,FALSE),"")</f>
        <v/>
      </c>
      <c r="C101" s="53" t="str">
        <f>IFERROR(VLOOKUP($C$3&amp;$A101,'Data Induk Pegawai'!$A:$Z,C$6,FALSE),"")</f>
        <v/>
      </c>
      <c r="D101" s="54" t="str">
        <f>IFERROR(VLOOKUP($C$3&amp;$A101,'Data Induk Pegawai'!$A:$Z,D$6,FALSE),"")</f>
        <v/>
      </c>
      <c r="E101" s="53" t="str">
        <f>IFERROR(VLOOKUP($C$3&amp;$A101,'Data Induk Pegawai'!$A:$Z,E$6,FALSE),"")</f>
        <v/>
      </c>
      <c r="F101" s="91" t="str">
        <f>IFERROR(VLOOKUP($C$3&amp;$A101,'Data Induk Pegawai'!$A:$Z,F$6,FALSE),"")</f>
        <v/>
      </c>
      <c r="G101" s="54" t="str">
        <f>IFERROR(VLOOKUP($C$3&amp;$A101,'Data Induk Pegawai'!$A:$Z,G$6,FALSE),"")</f>
        <v/>
      </c>
      <c r="H101" s="54" t="str">
        <f>IFERROR(VLOOKUP($C$3&amp;$A101,'Data Induk Pegawai'!$A:$Z,H$6,FALSE),"")</f>
        <v/>
      </c>
      <c r="I101" s="54" t="str">
        <f>IFERROR(VLOOKUP($C$3&amp;$A101,'Data Induk Pegawai'!$A:$Z,I$6,FALSE),"")</f>
        <v/>
      </c>
      <c r="J101" s="53" t="str">
        <f>IFERROR(VLOOKUP($C$3&amp;$A101,'Data Induk Pegawai'!$A:$Z,J$6,FALSE),"")</f>
        <v/>
      </c>
      <c r="K101" s="54" t="str">
        <f>IF(B101="","",VLOOKUP($C$3&amp;$A101,'Data Induk Pegawai'!$A:$Z,K$6,FALSE))</f>
        <v/>
      </c>
      <c r="L101" s="54" t="str">
        <f>IF(B101="","",VLOOKUP($C$3&amp;$A101,'Data Induk Pegawai'!$A:$Z,L$6,FALSE))</f>
        <v/>
      </c>
      <c r="M101" s="54" t="str">
        <f>IFERROR(VLOOKUP("1GPTT"&amp;Q101,'Draft SK'!AB:AG,6,FALSE),"")</f>
        <v/>
      </c>
      <c r="N101" s="54" t="str">
        <f>IFERROR(VLOOKUP("1GPTT"&amp;Q101,'Draft SK'!AB:AG,5,FALSE),"")</f>
        <v/>
      </c>
      <c r="O101" s="54" t="str">
        <f t="shared" si="9"/>
        <v/>
      </c>
      <c r="P101" s="54" t="str">
        <f t="shared" si="10"/>
        <v/>
      </c>
      <c r="Q101" s="53" t="str">
        <f>IF(C101="","",VLOOKUP($C$3&amp;$A101,'Data Induk Pegawai'!$A:$Z,Q$6,FALSE))</f>
        <v/>
      </c>
      <c r="R101" s="51" t="str">
        <f t="shared" ca="1" si="11"/>
        <v/>
      </c>
      <c r="S101" s="51" t="str">
        <f t="shared" si="12"/>
        <v/>
      </c>
      <c r="T101" s="123" t="str">
        <f t="shared" si="13"/>
        <v/>
      </c>
      <c r="U101" s="123" t="str">
        <f t="shared" si="14"/>
        <v>-</v>
      </c>
      <c r="V101" s="123" t="str">
        <f>U101&amp;COUNTIFS(U$9:U101,U101)</f>
        <v>-87</v>
      </c>
      <c r="W101" s="123" t="str">
        <f t="shared" si="15"/>
        <v>-</v>
      </c>
      <c r="X101" s="123" t="str">
        <f t="shared" si="16"/>
        <v>-</v>
      </c>
      <c r="Y101" s="9" t="str">
        <f>IFERROR(IFERROR(IFERROR(IFERROR(VLOOKUP(Y$8&amp;"GTY"&amp;$Q101,'Draft SK'!$AE:$AF,2,FALSE),VLOOKUP(Y$8&amp;"PTY"&amp;$Q101,'Draft SK'!$AE:$AF,2,FALSE)),VLOOKUP(Y$8&amp;"GTT"&amp;$Q101,'Draft SK'!$AE:$AF,2,FALSE)),VLOOKUP(Y$8&amp;"PTT"&amp;$Q101,'Draft SK'!$AE:$AF,2,FALSE)),"")</f>
        <v/>
      </c>
    </row>
    <row r="102" spans="1:25" ht="15.5" x14ac:dyDescent="0.35">
      <c r="A102" s="51" t="str">
        <f t="shared" si="17"/>
        <v/>
      </c>
      <c r="B102" s="52" t="str">
        <f>IFERROR(VLOOKUP($C$3&amp;$A102,'Data Induk Pegawai'!$A:$Z,B$6,FALSE),"")</f>
        <v/>
      </c>
      <c r="C102" s="53" t="str">
        <f>IFERROR(VLOOKUP($C$3&amp;$A102,'Data Induk Pegawai'!$A:$Z,C$6,FALSE),"")</f>
        <v/>
      </c>
      <c r="D102" s="54" t="str">
        <f>IFERROR(VLOOKUP($C$3&amp;$A102,'Data Induk Pegawai'!$A:$Z,D$6,FALSE),"")</f>
        <v/>
      </c>
      <c r="E102" s="53" t="str">
        <f>IFERROR(VLOOKUP($C$3&amp;$A102,'Data Induk Pegawai'!$A:$Z,E$6,FALSE),"")</f>
        <v/>
      </c>
      <c r="F102" s="91" t="str">
        <f>IFERROR(VLOOKUP($C$3&amp;$A102,'Data Induk Pegawai'!$A:$Z,F$6,FALSE),"")</f>
        <v/>
      </c>
      <c r="G102" s="54" t="str">
        <f>IFERROR(VLOOKUP($C$3&amp;$A102,'Data Induk Pegawai'!$A:$Z,G$6,FALSE),"")</f>
        <v/>
      </c>
      <c r="H102" s="54" t="str">
        <f>IFERROR(VLOOKUP($C$3&amp;$A102,'Data Induk Pegawai'!$A:$Z,H$6,FALSE),"")</f>
        <v/>
      </c>
      <c r="I102" s="54" t="str">
        <f>IFERROR(VLOOKUP($C$3&amp;$A102,'Data Induk Pegawai'!$A:$Z,I$6,FALSE),"")</f>
        <v/>
      </c>
      <c r="J102" s="53" t="str">
        <f>IFERROR(VLOOKUP($C$3&amp;$A102,'Data Induk Pegawai'!$A:$Z,J$6,FALSE),"")</f>
        <v/>
      </c>
      <c r="K102" s="54" t="str">
        <f>IF(B102="","",VLOOKUP($C$3&amp;$A102,'Data Induk Pegawai'!$A:$Z,K$6,FALSE))</f>
        <v/>
      </c>
      <c r="L102" s="54" t="str">
        <f>IF(B102="","",VLOOKUP($C$3&amp;$A102,'Data Induk Pegawai'!$A:$Z,L$6,FALSE))</f>
        <v/>
      </c>
      <c r="M102" s="54" t="str">
        <f>IFERROR(VLOOKUP("1GPTT"&amp;Q102,'Draft SK'!AB:AG,6,FALSE),"")</f>
        <v/>
      </c>
      <c r="N102" s="54" t="str">
        <f>IFERROR(VLOOKUP("1GPTT"&amp;Q102,'Draft SK'!AB:AG,5,FALSE),"")</f>
        <v/>
      </c>
      <c r="O102" s="54" t="str">
        <f t="shared" si="9"/>
        <v/>
      </c>
      <c r="P102" s="54" t="str">
        <f t="shared" si="10"/>
        <v/>
      </c>
      <c r="Q102" s="53" t="str">
        <f>IF(C102="","",VLOOKUP($C$3&amp;$A102,'Data Induk Pegawai'!$A:$Z,Q$6,FALSE))</f>
        <v/>
      </c>
      <c r="R102" s="51" t="str">
        <f t="shared" ca="1" si="11"/>
        <v/>
      </c>
      <c r="S102" s="51" t="str">
        <f t="shared" si="12"/>
        <v/>
      </c>
      <c r="T102" s="123" t="str">
        <f t="shared" si="13"/>
        <v/>
      </c>
      <c r="U102" s="123" t="str">
        <f t="shared" si="14"/>
        <v>-</v>
      </c>
      <c r="V102" s="123" t="str">
        <f>U102&amp;COUNTIFS(U$9:U102,U102)</f>
        <v>-88</v>
      </c>
      <c r="W102" s="123" t="str">
        <f t="shared" si="15"/>
        <v>-</v>
      </c>
      <c r="X102" s="123" t="str">
        <f t="shared" si="16"/>
        <v>-</v>
      </c>
      <c r="Y102" s="9" t="str">
        <f>IFERROR(IFERROR(IFERROR(IFERROR(VLOOKUP(Y$8&amp;"GTY"&amp;$Q102,'Draft SK'!$AE:$AF,2,FALSE),VLOOKUP(Y$8&amp;"PTY"&amp;$Q102,'Draft SK'!$AE:$AF,2,FALSE)),VLOOKUP(Y$8&amp;"GTT"&amp;$Q102,'Draft SK'!$AE:$AF,2,FALSE)),VLOOKUP(Y$8&amp;"PTT"&amp;$Q102,'Draft SK'!$AE:$AF,2,FALSE)),"")</f>
        <v/>
      </c>
    </row>
    <row r="103" spans="1:25" ht="15.5" x14ac:dyDescent="0.35">
      <c r="A103" s="51" t="str">
        <f t="shared" si="17"/>
        <v/>
      </c>
      <c r="B103" s="52" t="str">
        <f>IFERROR(VLOOKUP($C$3&amp;$A103,'Data Induk Pegawai'!$A:$Z,B$6,FALSE),"")</f>
        <v/>
      </c>
      <c r="C103" s="53" t="str">
        <f>IFERROR(VLOOKUP($C$3&amp;$A103,'Data Induk Pegawai'!$A:$Z,C$6,FALSE),"")</f>
        <v/>
      </c>
      <c r="D103" s="54" t="str">
        <f>IFERROR(VLOOKUP($C$3&amp;$A103,'Data Induk Pegawai'!$A:$Z,D$6,FALSE),"")</f>
        <v/>
      </c>
      <c r="E103" s="53" t="str">
        <f>IFERROR(VLOOKUP($C$3&amp;$A103,'Data Induk Pegawai'!$A:$Z,E$6,FALSE),"")</f>
        <v/>
      </c>
      <c r="F103" s="91" t="str">
        <f>IFERROR(VLOOKUP($C$3&amp;$A103,'Data Induk Pegawai'!$A:$Z,F$6,FALSE),"")</f>
        <v/>
      </c>
      <c r="G103" s="54" t="str">
        <f>IFERROR(VLOOKUP($C$3&amp;$A103,'Data Induk Pegawai'!$A:$Z,G$6,FALSE),"")</f>
        <v/>
      </c>
      <c r="H103" s="54" t="str">
        <f>IFERROR(VLOOKUP($C$3&amp;$A103,'Data Induk Pegawai'!$A:$Z,H$6,FALSE),"")</f>
        <v/>
      </c>
      <c r="I103" s="54" t="str">
        <f>IFERROR(VLOOKUP($C$3&amp;$A103,'Data Induk Pegawai'!$A:$Z,I$6,FALSE),"")</f>
        <v/>
      </c>
      <c r="J103" s="53" t="str">
        <f>IFERROR(VLOOKUP($C$3&amp;$A103,'Data Induk Pegawai'!$A:$Z,J$6,FALSE),"")</f>
        <v/>
      </c>
      <c r="K103" s="54" t="str">
        <f>IF(B103="","",VLOOKUP($C$3&amp;$A103,'Data Induk Pegawai'!$A:$Z,K$6,FALSE))</f>
        <v/>
      </c>
      <c r="L103" s="54" t="str">
        <f>IF(B103="","",VLOOKUP($C$3&amp;$A103,'Data Induk Pegawai'!$A:$Z,L$6,FALSE))</f>
        <v/>
      </c>
      <c r="M103" s="54" t="str">
        <f>IFERROR(VLOOKUP("1GPTT"&amp;Q103,'Draft SK'!AB:AG,6,FALSE),"")</f>
        <v/>
      </c>
      <c r="N103" s="54" t="str">
        <f>IFERROR(VLOOKUP("1GPTT"&amp;Q103,'Draft SK'!AB:AG,5,FALSE),"")</f>
        <v/>
      </c>
      <c r="O103" s="54" t="str">
        <f t="shared" si="9"/>
        <v/>
      </c>
      <c r="P103" s="54" t="str">
        <f t="shared" si="10"/>
        <v/>
      </c>
      <c r="Q103" s="53" t="str">
        <f>IF(C103="","",VLOOKUP($C$3&amp;$A103,'Data Induk Pegawai'!$A:$Z,Q$6,FALSE))</f>
        <v/>
      </c>
      <c r="R103" s="51" t="str">
        <f t="shared" ca="1" si="11"/>
        <v/>
      </c>
      <c r="S103" s="51" t="str">
        <f t="shared" si="12"/>
        <v/>
      </c>
      <c r="T103" s="123" t="str">
        <f t="shared" si="13"/>
        <v/>
      </c>
      <c r="U103" s="123" t="str">
        <f t="shared" si="14"/>
        <v>-</v>
      </c>
      <c r="V103" s="123" t="str">
        <f>U103&amp;COUNTIFS(U$9:U103,U103)</f>
        <v>-89</v>
      </c>
      <c r="W103" s="123" t="str">
        <f t="shared" si="15"/>
        <v>-</v>
      </c>
      <c r="X103" s="123" t="str">
        <f t="shared" si="16"/>
        <v>-</v>
      </c>
      <c r="Y103" s="9" t="str">
        <f>IFERROR(IFERROR(IFERROR(IFERROR(VLOOKUP(Y$8&amp;"GTY"&amp;$Q103,'Draft SK'!$AE:$AF,2,FALSE),VLOOKUP(Y$8&amp;"PTY"&amp;$Q103,'Draft SK'!$AE:$AF,2,FALSE)),VLOOKUP(Y$8&amp;"GTT"&amp;$Q103,'Draft SK'!$AE:$AF,2,FALSE)),VLOOKUP(Y$8&amp;"PTT"&amp;$Q103,'Draft SK'!$AE:$AF,2,FALSE)),"")</f>
        <v/>
      </c>
    </row>
    <row r="104" spans="1:25" ht="15.5" x14ac:dyDescent="0.35">
      <c r="A104" s="51" t="str">
        <f t="shared" si="17"/>
        <v/>
      </c>
      <c r="B104" s="52" t="str">
        <f>IFERROR(VLOOKUP($C$3&amp;$A104,'Data Induk Pegawai'!$A:$Z,B$6,FALSE),"")</f>
        <v/>
      </c>
      <c r="C104" s="53" t="str">
        <f>IFERROR(VLOOKUP($C$3&amp;$A104,'Data Induk Pegawai'!$A:$Z,C$6,FALSE),"")</f>
        <v/>
      </c>
      <c r="D104" s="54" t="str">
        <f>IFERROR(VLOOKUP($C$3&amp;$A104,'Data Induk Pegawai'!$A:$Z,D$6,FALSE),"")</f>
        <v/>
      </c>
      <c r="E104" s="53" t="str">
        <f>IFERROR(VLOOKUP($C$3&amp;$A104,'Data Induk Pegawai'!$A:$Z,E$6,FALSE),"")</f>
        <v/>
      </c>
      <c r="F104" s="91" t="str">
        <f>IFERROR(VLOOKUP($C$3&amp;$A104,'Data Induk Pegawai'!$A:$Z,F$6,FALSE),"")</f>
        <v/>
      </c>
      <c r="G104" s="54" t="str">
        <f>IFERROR(VLOOKUP($C$3&amp;$A104,'Data Induk Pegawai'!$A:$Z,G$6,FALSE),"")</f>
        <v/>
      </c>
      <c r="H104" s="54" t="str">
        <f>IFERROR(VLOOKUP($C$3&amp;$A104,'Data Induk Pegawai'!$A:$Z,H$6,FALSE),"")</f>
        <v/>
      </c>
      <c r="I104" s="54" t="str">
        <f>IFERROR(VLOOKUP($C$3&amp;$A104,'Data Induk Pegawai'!$A:$Z,I$6,FALSE),"")</f>
        <v/>
      </c>
      <c r="J104" s="53" t="str">
        <f>IFERROR(VLOOKUP($C$3&amp;$A104,'Data Induk Pegawai'!$A:$Z,J$6,FALSE),"")</f>
        <v/>
      </c>
      <c r="K104" s="54" t="str">
        <f>IF(B104="","",VLOOKUP($C$3&amp;$A104,'Data Induk Pegawai'!$A:$Z,K$6,FALSE))</f>
        <v/>
      </c>
      <c r="L104" s="54" t="str">
        <f>IF(B104="","",VLOOKUP($C$3&amp;$A104,'Data Induk Pegawai'!$A:$Z,L$6,FALSE))</f>
        <v/>
      </c>
      <c r="M104" s="54" t="str">
        <f>IFERROR(VLOOKUP("1GPTT"&amp;Q104,'Draft SK'!AB:AG,6,FALSE),"")</f>
        <v/>
      </c>
      <c r="N104" s="54" t="str">
        <f>IFERROR(VLOOKUP("1GPTT"&amp;Q104,'Draft SK'!AB:AG,5,FALSE),"")</f>
        <v/>
      </c>
      <c r="O104" s="54" t="str">
        <f t="shared" si="9"/>
        <v/>
      </c>
      <c r="P104" s="54" t="str">
        <f t="shared" si="10"/>
        <v/>
      </c>
      <c r="Q104" s="53" t="str">
        <f>IF(C104="","",VLOOKUP($C$3&amp;$A104,'Data Induk Pegawai'!$A:$Z,Q$6,FALSE))</f>
        <v/>
      </c>
      <c r="R104" s="51" t="str">
        <f t="shared" ca="1" si="11"/>
        <v/>
      </c>
      <c r="S104" s="51" t="str">
        <f t="shared" si="12"/>
        <v/>
      </c>
      <c r="T104" s="123" t="str">
        <f t="shared" si="13"/>
        <v/>
      </c>
      <c r="U104" s="123" t="str">
        <f t="shared" si="14"/>
        <v>-</v>
      </c>
      <c r="V104" s="123" t="str">
        <f>U104&amp;COUNTIFS(U$9:U104,U104)</f>
        <v>-90</v>
      </c>
      <c r="W104" s="123" t="str">
        <f t="shared" si="15"/>
        <v>-</v>
      </c>
      <c r="X104" s="123" t="str">
        <f t="shared" si="16"/>
        <v>-</v>
      </c>
      <c r="Y104" s="9" t="str">
        <f>IFERROR(IFERROR(IFERROR(IFERROR(VLOOKUP(Y$8&amp;"GTY"&amp;$Q104,'Draft SK'!$AE:$AF,2,FALSE),VLOOKUP(Y$8&amp;"PTY"&amp;$Q104,'Draft SK'!$AE:$AF,2,FALSE)),VLOOKUP(Y$8&amp;"GTT"&amp;$Q104,'Draft SK'!$AE:$AF,2,FALSE)),VLOOKUP(Y$8&amp;"PTT"&amp;$Q104,'Draft SK'!$AE:$AF,2,FALSE)),"")</f>
        <v/>
      </c>
    </row>
    <row r="105" spans="1:25" ht="15.5" x14ac:dyDescent="0.35">
      <c r="A105" s="51" t="str">
        <f t="shared" si="17"/>
        <v/>
      </c>
      <c r="B105" s="52" t="str">
        <f>IFERROR(VLOOKUP($C$3&amp;$A105,'Data Induk Pegawai'!$A:$Z,B$6,FALSE),"")</f>
        <v/>
      </c>
      <c r="C105" s="53" t="str">
        <f>IFERROR(VLOOKUP($C$3&amp;$A105,'Data Induk Pegawai'!$A:$Z,C$6,FALSE),"")</f>
        <v/>
      </c>
      <c r="D105" s="54" t="str">
        <f>IFERROR(VLOOKUP($C$3&amp;$A105,'Data Induk Pegawai'!$A:$Z,D$6,FALSE),"")</f>
        <v/>
      </c>
      <c r="E105" s="53" t="str">
        <f>IFERROR(VLOOKUP($C$3&amp;$A105,'Data Induk Pegawai'!$A:$Z,E$6,FALSE),"")</f>
        <v/>
      </c>
      <c r="F105" s="91" t="str">
        <f>IFERROR(VLOOKUP($C$3&amp;$A105,'Data Induk Pegawai'!$A:$Z,F$6,FALSE),"")</f>
        <v/>
      </c>
      <c r="G105" s="54" t="str">
        <f>IFERROR(VLOOKUP($C$3&amp;$A105,'Data Induk Pegawai'!$A:$Z,G$6,FALSE),"")</f>
        <v/>
      </c>
      <c r="H105" s="54" t="str">
        <f>IFERROR(VLOOKUP($C$3&amp;$A105,'Data Induk Pegawai'!$A:$Z,H$6,FALSE),"")</f>
        <v/>
      </c>
      <c r="I105" s="54" t="str">
        <f>IFERROR(VLOOKUP($C$3&amp;$A105,'Data Induk Pegawai'!$A:$Z,I$6,FALSE),"")</f>
        <v/>
      </c>
      <c r="J105" s="53" t="str">
        <f>IFERROR(VLOOKUP($C$3&amp;$A105,'Data Induk Pegawai'!$A:$Z,J$6,FALSE),"")</f>
        <v/>
      </c>
      <c r="K105" s="54" t="str">
        <f>IF(B105="","",VLOOKUP($C$3&amp;$A105,'Data Induk Pegawai'!$A:$Z,K$6,FALSE))</f>
        <v/>
      </c>
      <c r="L105" s="54" t="str">
        <f>IF(B105="","",VLOOKUP($C$3&amp;$A105,'Data Induk Pegawai'!$A:$Z,L$6,FALSE))</f>
        <v/>
      </c>
      <c r="M105" s="54" t="str">
        <f>IFERROR(VLOOKUP("1GPTT"&amp;Q105,'Draft SK'!AB:AG,6,FALSE),"")</f>
        <v/>
      </c>
      <c r="N105" s="54" t="str">
        <f>IFERROR(VLOOKUP("1GPTT"&amp;Q105,'Draft SK'!AB:AG,5,FALSE),"")</f>
        <v/>
      </c>
      <c r="O105" s="54" t="str">
        <f t="shared" si="9"/>
        <v/>
      </c>
      <c r="P105" s="54" t="str">
        <f t="shared" si="10"/>
        <v/>
      </c>
      <c r="Q105" s="53" t="str">
        <f>IF(C105="","",VLOOKUP($C$3&amp;$A105,'Data Induk Pegawai'!$A:$Z,Q$6,FALSE))</f>
        <v/>
      </c>
      <c r="R105" s="51" t="str">
        <f t="shared" ca="1" si="11"/>
        <v/>
      </c>
      <c r="S105" s="51" t="str">
        <f t="shared" si="12"/>
        <v/>
      </c>
      <c r="T105" s="123" t="str">
        <f t="shared" si="13"/>
        <v/>
      </c>
      <c r="U105" s="123" t="str">
        <f t="shared" si="14"/>
        <v>-</v>
      </c>
      <c r="V105" s="123" t="str">
        <f>U105&amp;COUNTIFS(U$9:U105,U105)</f>
        <v>-91</v>
      </c>
      <c r="W105" s="123" t="str">
        <f t="shared" si="15"/>
        <v>-</v>
      </c>
      <c r="X105" s="123" t="str">
        <f t="shared" si="16"/>
        <v>-</v>
      </c>
      <c r="Y105" s="9" t="str">
        <f>IFERROR(IFERROR(IFERROR(IFERROR(VLOOKUP(Y$8&amp;"GTY"&amp;$Q105,'Draft SK'!$AE:$AF,2,FALSE),VLOOKUP(Y$8&amp;"PTY"&amp;$Q105,'Draft SK'!$AE:$AF,2,FALSE)),VLOOKUP(Y$8&amp;"GTT"&amp;$Q105,'Draft SK'!$AE:$AF,2,FALSE)),VLOOKUP(Y$8&amp;"PTT"&amp;$Q105,'Draft SK'!$AE:$AF,2,FALSE)),"")</f>
        <v/>
      </c>
    </row>
    <row r="106" spans="1:25" ht="15.5" x14ac:dyDescent="0.35">
      <c r="A106" s="51" t="str">
        <f t="shared" si="17"/>
        <v/>
      </c>
      <c r="B106" s="52" t="str">
        <f>IFERROR(VLOOKUP($C$3&amp;$A106,'Data Induk Pegawai'!$A:$Z,B$6,FALSE),"")</f>
        <v/>
      </c>
      <c r="C106" s="53" t="str">
        <f>IFERROR(VLOOKUP($C$3&amp;$A106,'Data Induk Pegawai'!$A:$Z,C$6,FALSE),"")</f>
        <v/>
      </c>
      <c r="D106" s="54" t="str">
        <f>IFERROR(VLOOKUP($C$3&amp;$A106,'Data Induk Pegawai'!$A:$Z,D$6,FALSE),"")</f>
        <v/>
      </c>
      <c r="E106" s="53" t="str">
        <f>IFERROR(VLOOKUP($C$3&amp;$A106,'Data Induk Pegawai'!$A:$Z,E$6,FALSE),"")</f>
        <v/>
      </c>
      <c r="F106" s="91" t="str">
        <f>IFERROR(VLOOKUP($C$3&amp;$A106,'Data Induk Pegawai'!$A:$Z,F$6,FALSE),"")</f>
        <v/>
      </c>
      <c r="G106" s="54" t="str">
        <f>IFERROR(VLOOKUP($C$3&amp;$A106,'Data Induk Pegawai'!$A:$Z,G$6,FALSE),"")</f>
        <v/>
      </c>
      <c r="H106" s="54" t="str">
        <f>IFERROR(VLOOKUP($C$3&amp;$A106,'Data Induk Pegawai'!$A:$Z,H$6,FALSE),"")</f>
        <v/>
      </c>
      <c r="I106" s="54" t="str">
        <f>IFERROR(VLOOKUP($C$3&amp;$A106,'Data Induk Pegawai'!$A:$Z,I$6,FALSE),"")</f>
        <v/>
      </c>
      <c r="J106" s="53" t="str">
        <f>IFERROR(VLOOKUP($C$3&amp;$A106,'Data Induk Pegawai'!$A:$Z,J$6,FALSE),"")</f>
        <v/>
      </c>
      <c r="K106" s="54" t="str">
        <f>IF(B106="","",VLOOKUP($C$3&amp;$A106,'Data Induk Pegawai'!$A:$Z,K$6,FALSE))</f>
        <v/>
      </c>
      <c r="L106" s="54" t="str">
        <f>IF(B106="","",VLOOKUP($C$3&amp;$A106,'Data Induk Pegawai'!$A:$Z,L$6,FALSE))</f>
        <v/>
      </c>
      <c r="M106" s="54" t="str">
        <f>IFERROR(VLOOKUP("1GPTT"&amp;Q106,'Draft SK'!AB:AG,6,FALSE),"")</f>
        <v/>
      </c>
      <c r="N106" s="54" t="str">
        <f>IFERROR(VLOOKUP("1GPTT"&amp;Q106,'Draft SK'!AB:AG,5,FALSE),"")</f>
        <v/>
      </c>
      <c r="O106" s="54" t="str">
        <f t="shared" si="9"/>
        <v/>
      </c>
      <c r="P106" s="54" t="str">
        <f t="shared" si="10"/>
        <v/>
      </c>
      <c r="Q106" s="53" t="str">
        <f>IF(C106="","",VLOOKUP($C$3&amp;$A106,'Data Induk Pegawai'!$A:$Z,Q$6,FALSE))</f>
        <v/>
      </c>
      <c r="R106" s="51" t="str">
        <f t="shared" ca="1" si="11"/>
        <v/>
      </c>
      <c r="S106" s="51" t="str">
        <f t="shared" si="12"/>
        <v/>
      </c>
      <c r="T106" s="123" t="str">
        <f t="shared" si="13"/>
        <v/>
      </c>
      <c r="U106" s="123" t="str">
        <f t="shared" si="14"/>
        <v>-</v>
      </c>
      <c r="V106" s="123" t="str">
        <f>U106&amp;COUNTIFS(U$9:U106,U106)</f>
        <v>-92</v>
      </c>
      <c r="W106" s="123" t="str">
        <f t="shared" si="15"/>
        <v>-</v>
      </c>
      <c r="X106" s="123" t="str">
        <f t="shared" si="16"/>
        <v>-</v>
      </c>
      <c r="Y106" s="9" t="str">
        <f>IFERROR(IFERROR(IFERROR(IFERROR(VLOOKUP(Y$8&amp;"GTY"&amp;$Q106,'Draft SK'!$AE:$AF,2,FALSE),VLOOKUP(Y$8&amp;"PTY"&amp;$Q106,'Draft SK'!$AE:$AF,2,FALSE)),VLOOKUP(Y$8&amp;"GTT"&amp;$Q106,'Draft SK'!$AE:$AF,2,FALSE)),VLOOKUP(Y$8&amp;"PTT"&amp;$Q106,'Draft SK'!$AE:$AF,2,FALSE)),"")</f>
        <v/>
      </c>
    </row>
    <row r="107" spans="1:25" ht="15.5" x14ac:dyDescent="0.35">
      <c r="A107" s="51" t="str">
        <f t="shared" si="17"/>
        <v/>
      </c>
      <c r="B107" s="52" t="str">
        <f>IFERROR(VLOOKUP($C$3&amp;$A107,'Data Induk Pegawai'!$A:$Z,B$6,FALSE),"")</f>
        <v/>
      </c>
      <c r="C107" s="53" t="str">
        <f>IFERROR(VLOOKUP($C$3&amp;$A107,'Data Induk Pegawai'!$A:$Z,C$6,FALSE),"")</f>
        <v/>
      </c>
      <c r="D107" s="54" t="str">
        <f>IFERROR(VLOOKUP($C$3&amp;$A107,'Data Induk Pegawai'!$A:$Z,D$6,FALSE),"")</f>
        <v/>
      </c>
      <c r="E107" s="53" t="str">
        <f>IFERROR(VLOOKUP($C$3&amp;$A107,'Data Induk Pegawai'!$A:$Z,E$6,FALSE),"")</f>
        <v/>
      </c>
      <c r="F107" s="91" t="str">
        <f>IFERROR(VLOOKUP($C$3&amp;$A107,'Data Induk Pegawai'!$A:$Z,F$6,FALSE),"")</f>
        <v/>
      </c>
      <c r="G107" s="54" t="str">
        <f>IFERROR(VLOOKUP($C$3&amp;$A107,'Data Induk Pegawai'!$A:$Z,G$6,FALSE),"")</f>
        <v/>
      </c>
      <c r="H107" s="54" t="str">
        <f>IFERROR(VLOOKUP($C$3&amp;$A107,'Data Induk Pegawai'!$A:$Z,H$6,FALSE),"")</f>
        <v/>
      </c>
      <c r="I107" s="54" t="str">
        <f>IFERROR(VLOOKUP($C$3&amp;$A107,'Data Induk Pegawai'!$A:$Z,I$6,FALSE),"")</f>
        <v/>
      </c>
      <c r="J107" s="53" t="str">
        <f>IFERROR(VLOOKUP($C$3&amp;$A107,'Data Induk Pegawai'!$A:$Z,J$6,FALSE),"")</f>
        <v/>
      </c>
      <c r="K107" s="54" t="str">
        <f>IF(B107="","",VLOOKUP($C$3&amp;$A107,'Data Induk Pegawai'!$A:$Z,K$6,FALSE))</f>
        <v/>
      </c>
      <c r="L107" s="54" t="str">
        <f>IF(B107="","",VLOOKUP($C$3&amp;$A107,'Data Induk Pegawai'!$A:$Z,L$6,FALSE))</f>
        <v/>
      </c>
      <c r="M107" s="54" t="str">
        <f>IFERROR(VLOOKUP("1GPTT"&amp;Q107,'Draft SK'!AB:AG,6,FALSE),"")</f>
        <v/>
      </c>
      <c r="N107" s="54" t="str">
        <f>IFERROR(VLOOKUP("1GPTT"&amp;Q107,'Draft SK'!AB:AG,5,FALSE),"")</f>
        <v/>
      </c>
      <c r="O107" s="54" t="str">
        <f t="shared" si="9"/>
        <v/>
      </c>
      <c r="P107" s="54" t="str">
        <f t="shared" si="10"/>
        <v/>
      </c>
      <c r="Q107" s="53" t="str">
        <f>IF(C107="","",VLOOKUP($C$3&amp;$A107,'Data Induk Pegawai'!$A:$Z,Q$6,FALSE))</f>
        <v/>
      </c>
      <c r="R107" s="51" t="str">
        <f t="shared" ca="1" si="11"/>
        <v/>
      </c>
      <c r="S107" s="51" t="str">
        <f t="shared" si="12"/>
        <v/>
      </c>
      <c r="T107" s="123" t="str">
        <f t="shared" si="13"/>
        <v/>
      </c>
      <c r="U107" s="123" t="str">
        <f t="shared" si="14"/>
        <v>-</v>
      </c>
      <c r="V107" s="123" t="str">
        <f>U107&amp;COUNTIFS(U$9:U107,U107)</f>
        <v>-93</v>
      </c>
      <c r="W107" s="123" t="str">
        <f t="shared" si="15"/>
        <v>-</v>
      </c>
      <c r="X107" s="123" t="str">
        <f t="shared" si="16"/>
        <v>-</v>
      </c>
      <c r="Y107" s="9" t="str">
        <f>IFERROR(IFERROR(IFERROR(IFERROR(VLOOKUP(Y$8&amp;"GTY"&amp;$Q107,'Draft SK'!$AE:$AF,2,FALSE),VLOOKUP(Y$8&amp;"PTY"&amp;$Q107,'Draft SK'!$AE:$AF,2,FALSE)),VLOOKUP(Y$8&amp;"GTT"&amp;$Q107,'Draft SK'!$AE:$AF,2,FALSE)),VLOOKUP(Y$8&amp;"PTT"&amp;$Q107,'Draft SK'!$AE:$AF,2,FALSE)),"")</f>
        <v/>
      </c>
    </row>
    <row r="108" spans="1:25" ht="15.5" x14ac:dyDescent="0.35">
      <c r="A108" s="51" t="str">
        <f t="shared" si="17"/>
        <v/>
      </c>
      <c r="B108" s="52" t="str">
        <f>IFERROR(VLOOKUP($C$3&amp;$A108,'Data Induk Pegawai'!$A:$Z,B$6,FALSE),"")</f>
        <v/>
      </c>
      <c r="C108" s="53" t="str">
        <f>IFERROR(VLOOKUP($C$3&amp;$A108,'Data Induk Pegawai'!$A:$Z,C$6,FALSE),"")</f>
        <v/>
      </c>
      <c r="D108" s="54" t="str">
        <f>IFERROR(VLOOKUP($C$3&amp;$A108,'Data Induk Pegawai'!$A:$Z,D$6,FALSE),"")</f>
        <v/>
      </c>
      <c r="E108" s="53" t="str">
        <f>IFERROR(VLOOKUP($C$3&amp;$A108,'Data Induk Pegawai'!$A:$Z,E$6,FALSE),"")</f>
        <v/>
      </c>
      <c r="F108" s="91" t="str">
        <f>IFERROR(VLOOKUP($C$3&amp;$A108,'Data Induk Pegawai'!$A:$Z,F$6,FALSE),"")</f>
        <v/>
      </c>
      <c r="G108" s="54" t="str">
        <f>IFERROR(VLOOKUP($C$3&amp;$A108,'Data Induk Pegawai'!$A:$Z,G$6,FALSE),"")</f>
        <v/>
      </c>
      <c r="H108" s="54" t="str">
        <f>IFERROR(VLOOKUP($C$3&amp;$A108,'Data Induk Pegawai'!$A:$Z,H$6,FALSE),"")</f>
        <v/>
      </c>
      <c r="I108" s="54" t="str">
        <f>IFERROR(VLOOKUP($C$3&amp;$A108,'Data Induk Pegawai'!$A:$Z,I$6,FALSE),"")</f>
        <v/>
      </c>
      <c r="J108" s="53" t="str">
        <f>IFERROR(VLOOKUP($C$3&amp;$A108,'Data Induk Pegawai'!$A:$Z,J$6,FALSE),"")</f>
        <v/>
      </c>
      <c r="K108" s="54" t="str">
        <f>IF(B108="","",VLOOKUP($C$3&amp;$A108,'Data Induk Pegawai'!$A:$Z,K$6,FALSE))</f>
        <v/>
      </c>
      <c r="L108" s="54" t="str">
        <f>IF(B108="","",VLOOKUP($C$3&amp;$A108,'Data Induk Pegawai'!$A:$Z,L$6,FALSE))</f>
        <v/>
      </c>
      <c r="M108" s="54" t="str">
        <f>IFERROR(VLOOKUP("1GPTT"&amp;Q108,'Draft SK'!AB:AG,6,FALSE),"")</f>
        <v/>
      </c>
      <c r="N108" s="54" t="str">
        <f>IFERROR(VLOOKUP("1GPTT"&amp;Q108,'Draft SK'!AB:AG,5,FALSE),"")</f>
        <v/>
      </c>
      <c r="O108" s="54" t="str">
        <f t="shared" si="9"/>
        <v/>
      </c>
      <c r="P108" s="54" t="str">
        <f t="shared" si="10"/>
        <v/>
      </c>
      <c r="Q108" s="53" t="str">
        <f>IF(C108="","",VLOOKUP($C$3&amp;$A108,'Data Induk Pegawai'!$A:$Z,Q$6,FALSE))</f>
        <v/>
      </c>
      <c r="R108" s="51" t="str">
        <f t="shared" ca="1" si="11"/>
        <v/>
      </c>
      <c r="S108" s="51" t="str">
        <f t="shared" si="12"/>
        <v/>
      </c>
      <c r="T108" s="123" t="str">
        <f t="shared" si="13"/>
        <v/>
      </c>
      <c r="U108" s="123" t="str">
        <f t="shared" si="14"/>
        <v>-</v>
      </c>
      <c r="V108" s="123" t="str">
        <f>U108&amp;COUNTIFS(U$9:U108,U108)</f>
        <v>-94</v>
      </c>
      <c r="W108" s="123" t="str">
        <f t="shared" si="15"/>
        <v>-</v>
      </c>
      <c r="X108" s="123" t="str">
        <f t="shared" si="16"/>
        <v>-</v>
      </c>
      <c r="Y108" s="9" t="str">
        <f>IFERROR(IFERROR(IFERROR(IFERROR(VLOOKUP(Y$8&amp;"GTY"&amp;$Q108,'Draft SK'!$AE:$AF,2,FALSE),VLOOKUP(Y$8&amp;"PTY"&amp;$Q108,'Draft SK'!$AE:$AF,2,FALSE)),VLOOKUP(Y$8&amp;"GTT"&amp;$Q108,'Draft SK'!$AE:$AF,2,FALSE)),VLOOKUP(Y$8&amp;"PTT"&amp;$Q108,'Draft SK'!$AE:$AF,2,FALSE)),"")</f>
        <v/>
      </c>
    </row>
    <row r="109" spans="1:25" ht="15.5" x14ac:dyDescent="0.35">
      <c r="A109" s="51" t="str">
        <f t="shared" si="17"/>
        <v/>
      </c>
      <c r="B109" s="52" t="str">
        <f>IFERROR(VLOOKUP($C$3&amp;$A109,'Data Induk Pegawai'!$A:$Z,B$6,FALSE),"")</f>
        <v/>
      </c>
      <c r="C109" s="53" t="str">
        <f>IFERROR(VLOOKUP($C$3&amp;$A109,'Data Induk Pegawai'!$A:$Z,C$6,FALSE),"")</f>
        <v/>
      </c>
      <c r="D109" s="54" t="str">
        <f>IFERROR(VLOOKUP($C$3&amp;$A109,'Data Induk Pegawai'!$A:$Z,D$6,FALSE),"")</f>
        <v/>
      </c>
      <c r="E109" s="53" t="str">
        <f>IFERROR(VLOOKUP($C$3&amp;$A109,'Data Induk Pegawai'!$A:$Z,E$6,FALSE),"")</f>
        <v/>
      </c>
      <c r="F109" s="91" t="str">
        <f>IFERROR(VLOOKUP($C$3&amp;$A109,'Data Induk Pegawai'!$A:$Z,F$6,FALSE),"")</f>
        <v/>
      </c>
      <c r="G109" s="54" t="str">
        <f>IFERROR(VLOOKUP($C$3&amp;$A109,'Data Induk Pegawai'!$A:$Z,G$6,FALSE),"")</f>
        <v/>
      </c>
      <c r="H109" s="54" t="str">
        <f>IFERROR(VLOOKUP($C$3&amp;$A109,'Data Induk Pegawai'!$A:$Z,H$6,FALSE),"")</f>
        <v/>
      </c>
      <c r="I109" s="54" t="str">
        <f>IFERROR(VLOOKUP($C$3&amp;$A109,'Data Induk Pegawai'!$A:$Z,I$6,FALSE),"")</f>
        <v/>
      </c>
      <c r="J109" s="53" t="str">
        <f>IFERROR(VLOOKUP($C$3&amp;$A109,'Data Induk Pegawai'!$A:$Z,J$6,FALSE),"")</f>
        <v/>
      </c>
      <c r="K109" s="54" t="str">
        <f>IF(B109="","",VLOOKUP($C$3&amp;$A109,'Data Induk Pegawai'!$A:$Z,K$6,FALSE))</f>
        <v/>
      </c>
      <c r="L109" s="54" t="str">
        <f>IF(B109="","",VLOOKUP($C$3&amp;$A109,'Data Induk Pegawai'!$A:$Z,L$6,FALSE))</f>
        <v/>
      </c>
      <c r="M109" s="54" t="str">
        <f>IFERROR(VLOOKUP("1GPTT"&amp;Q109,'Draft SK'!AB:AG,6,FALSE),"")</f>
        <v/>
      </c>
      <c r="N109" s="54" t="str">
        <f>IFERROR(VLOOKUP("1GPTT"&amp;Q109,'Draft SK'!AB:AG,5,FALSE),"")</f>
        <v/>
      </c>
      <c r="O109" s="54" t="str">
        <f t="shared" si="9"/>
        <v/>
      </c>
      <c r="P109" s="54" t="str">
        <f t="shared" si="10"/>
        <v/>
      </c>
      <c r="Q109" s="53" t="str">
        <f>IF(C109="","",VLOOKUP($C$3&amp;$A109,'Data Induk Pegawai'!$A:$Z,Q$6,FALSE))</f>
        <v/>
      </c>
      <c r="R109" s="51" t="str">
        <f t="shared" ca="1" si="11"/>
        <v/>
      </c>
      <c r="S109" s="51" t="str">
        <f t="shared" si="12"/>
        <v/>
      </c>
      <c r="T109" s="123" t="str">
        <f t="shared" si="13"/>
        <v/>
      </c>
      <c r="U109" s="123" t="str">
        <f t="shared" si="14"/>
        <v>-</v>
      </c>
      <c r="V109" s="123" t="str">
        <f>U109&amp;COUNTIFS(U$9:U109,U109)</f>
        <v>-95</v>
      </c>
      <c r="W109" s="123" t="str">
        <f t="shared" si="15"/>
        <v>-</v>
      </c>
      <c r="X109" s="123" t="str">
        <f t="shared" si="16"/>
        <v>-</v>
      </c>
      <c r="Y109" s="9" t="str">
        <f>IFERROR(IFERROR(IFERROR(IFERROR(VLOOKUP(Y$8&amp;"GTY"&amp;$Q109,'Draft SK'!$AE:$AF,2,FALSE),VLOOKUP(Y$8&amp;"PTY"&amp;$Q109,'Draft SK'!$AE:$AF,2,FALSE)),VLOOKUP(Y$8&amp;"GTT"&amp;$Q109,'Draft SK'!$AE:$AF,2,FALSE)),VLOOKUP(Y$8&amp;"PTT"&amp;$Q109,'Draft SK'!$AE:$AF,2,FALSE)),"")</f>
        <v/>
      </c>
    </row>
    <row r="110" spans="1:25" ht="15.5" x14ac:dyDescent="0.35">
      <c r="A110" s="51" t="str">
        <f t="shared" si="17"/>
        <v/>
      </c>
      <c r="B110" s="52" t="str">
        <f>IFERROR(VLOOKUP($C$3&amp;$A110,'Data Induk Pegawai'!$A:$Z,B$6,FALSE),"")</f>
        <v/>
      </c>
      <c r="C110" s="53" t="str">
        <f>IFERROR(VLOOKUP($C$3&amp;$A110,'Data Induk Pegawai'!$A:$Z,C$6,FALSE),"")</f>
        <v/>
      </c>
      <c r="D110" s="54" t="str">
        <f>IFERROR(VLOOKUP($C$3&amp;$A110,'Data Induk Pegawai'!$A:$Z,D$6,FALSE),"")</f>
        <v/>
      </c>
      <c r="E110" s="53" t="str">
        <f>IFERROR(VLOOKUP($C$3&amp;$A110,'Data Induk Pegawai'!$A:$Z,E$6,FALSE),"")</f>
        <v/>
      </c>
      <c r="F110" s="91" t="str">
        <f>IFERROR(VLOOKUP($C$3&amp;$A110,'Data Induk Pegawai'!$A:$Z,F$6,FALSE),"")</f>
        <v/>
      </c>
      <c r="G110" s="54" t="str">
        <f>IFERROR(VLOOKUP($C$3&amp;$A110,'Data Induk Pegawai'!$A:$Z,G$6,FALSE),"")</f>
        <v/>
      </c>
      <c r="H110" s="54" t="str">
        <f>IFERROR(VLOOKUP($C$3&amp;$A110,'Data Induk Pegawai'!$A:$Z,H$6,FALSE),"")</f>
        <v/>
      </c>
      <c r="I110" s="54" t="str">
        <f>IFERROR(VLOOKUP($C$3&amp;$A110,'Data Induk Pegawai'!$A:$Z,I$6,FALSE),"")</f>
        <v/>
      </c>
      <c r="J110" s="53" t="str">
        <f>IFERROR(VLOOKUP($C$3&amp;$A110,'Data Induk Pegawai'!$A:$Z,J$6,FALSE),"")</f>
        <v/>
      </c>
      <c r="K110" s="54" t="str">
        <f>IF(B110="","",VLOOKUP($C$3&amp;$A110,'Data Induk Pegawai'!$A:$Z,K$6,FALSE))</f>
        <v/>
      </c>
      <c r="L110" s="54" t="str">
        <f>IF(B110="","",VLOOKUP($C$3&amp;$A110,'Data Induk Pegawai'!$A:$Z,L$6,FALSE))</f>
        <v/>
      </c>
      <c r="M110" s="54" t="str">
        <f>IFERROR(VLOOKUP("1GPTT"&amp;Q110,'Draft SK'!AB:AG,6,FALSE),"")</f>
        <v/>
      </c>
      <c r="N110" s="54" t="str">
        <f>IFERROR(VLOOKUP("1GPTT"&amp;Q110,'Draft SK'!AB:AG,5,FALSE),"")</f>
        <v/>
      </c>
      <c r="O110" s="54" t="str">
        <f t="shared" si="9"/>
        <v/>
      </c>
      <c r="P110" s="54" t="str">
        <f t="shared" si="10"/>
        <v/>
      </c>
      <c r="Q110" s="53" t="str">
        <f>IF(C110="","",VLOOKUP($C$3&amp;$A110,'Data Induk Pegawai'!$A:$Z,Q$6,FALSE))</f>
        <v/>
      </c>
      <c r="R110" s="51" t="str">
        <f t="shared" ca="1" si="11"/>
        <v/>
      </c>
      <c r="S110" s="51" t="str">
        <f t="shared" si="12"/>
        <v/>
      </c>
      <c r="T110" s="123" t="str">
        <f t="shared" si="13"/>
        <v/>
      </c>
      <c r="U110" s="123" t="str">
        <f t="shared" si="14"/>
        <v>-</v>
      </c>
      <c r="V110" s="123" t="str">
        <f>U110&amp;COUNTIFS(U$9:U110,U110)</f>
        <v>-96</v>
      </c>
      <c r="W110" s="123" t="str">
        <f t="shared" si="15"/>
        <v>-</v>
      </c>
      <c r="X110" s="123" t="str">
        <f t="shared" si="16"/>
        <v>-</v>
      </c>
      <c r="Y110" s="9" t="str">
        <f>IFERROR(IFERROR(IFERROR(IFERROR(VLOOKUP(Y$8&amp;"GTY"&amp;$Q110,'Draft SK'!$AE:$AF,2,FALSE),VLOOKUP(Y$8&amp;"PTY"&amp;$Q110,'Draft SK'!$AE:$AF,2,FALSE)),VLOOKUP(Y$8&amp;"GTT"&amp;$Q110,'Draft SK'!$AE:$AF,2,FALSE)),VLOOKUP(Y$8&amp;"PTT"&amp;$Q110,'Draft SK'!$AE:$AF,2,FALSE)),"")</f>
        <v/>
      </c>
    </row>
    <row r="111" spans="1:25" ht="15.5" x14ac:dyDescent="0.35">
      <c r="A111" s="51" t="str">
        <f t="shared" si="17"/>
        <v/>
      </c>
      <c r="B111" s="52" t="str">
        <f>IFERROR(VLOOKUP($C$3&amp;$A111,'Data Induk Pegawai'!$A:$Z,B$6,FALSE),"")</f>
        <v/>
      </c>
      <c r="C111" s="53" t="str">
        <f>IFERROR(VLOOKUP($C$3&amp;$A111,'Data Induk Pegawai'!$A:$Z,C$6,FALSE),"")</f>
        <v/>
      </c>
      <c r="D111" s="54" t="str">
        <f>IFERROR(VLOOKUP($C$3&amp;$A111,'Data Induk Pegawai'!$A:$Z,D$6,FALSE),"")</f>
        <v/>
      </c>
      <c r="E111" s="53" t="str">
        <f>IFERROR(VLOOKUP($C$3&amp;$A111,'Data Induk Pegawai'!$A:$Z,E$6,FALSE),"")</f>
        <v/>
      </c>
      <c r="F111" s="91" t="str">
        <f>IFERROR(VLOOKUP($C$3&amp;$A111,'Data Induk Pegawai'!$A:$Z,F$6,FALSE),"")</f>
        <v/>
      </c>
      <c r="G111" s="54" t="str">
        <f>IFERROR(VLOOKUP($C$3&amp;$A111,'Data Induk Pegawai'!$A:$Z,G$6,FALSE),"")</f>
        <v/>
      </c>
      <c r="H111" s="54" t="str">
        <f>IFERROR(VLOOKUP($C$3&amp;$A111,'Data Induk Pegawai'!$A:$Z,H$6,FALSE),"")</f>
        <v/>
      </c>
      <c r="I111" s="54" t="str">
        <f>IFERROR(VLOOKUP($C$3&amp;$A111,'Data Induk Pegawai'!$A:$Z,I$6,FALSE),"")</f>
        <v/>
      </c>
      <c r="J111" s="53" t="str">
        <f>IFERROR(VLOOKUP($C$3&amp;$A111,'Data Induk Pegawai'!$A:$Z,J$6,FALSE),"")</f>
        <v/>
      </c>
      <c r="K111" s="54" t="str">
        <f>IF(B111="","",VLOOKUP($C$3&amp;$A111,'Data Induk Pegawai'!$A:$Z,K$6,FALSE))</f>
        <v/>
      </c>
      <c r="L111" s="54" t="str">
        <f>IF(B111="","",VLOOKUP($C$3&amp;$A111,'Data Induk Pegawai'!$A:$Z,L$6,FALSE))</f>
        <v/>
      </c>
      <c r="M111" s="54" t="str">
        <f>IFERROR(VLOOKUP("1GPTT"&amp;Q111,'Draft SK'!AB:AG,6,FALSE),"")</f>
        <v/>
      </c>
      <c r="N111" s="54" t="str">
        <f>IFERROR(VLOOKUP("1GPTT"&amp;Q111,'Draft SK'!AB:AG,5,FALSE),"")</f>
        <v/>
      </c>
      <c r="O111" s="54" t="str">
        <f t="shared" si="9"/>
        <v/>
      </c>
      <c r="P111" s="54" t="str">
        <f t="shared" si="10"/>
        <v/>
      </c>
      <c r="Q111" s="53" t="str">
        <f>IF(C111="","",VLOOKUP($C$3&amp;$A111,'Data Induk Pegawai'!$A:$Z,Q$6,FALSE))</f>
        <v/>
      </c>
      <c r="R111" s="51" t="str">
        <f t="shared" ca="1" si="11"/>
        <v/>
      </c>
      <c r="S111" s="51" t="str">
        <f t="shared" si="12"/>
        <v/>
      </c>
      <c r="T111" s="123" t="str">
        <f t="shared" si="13"/>
        <v/>
      </c>
      <c r="U111" s="123" t="str">
        <f t="shared" si="14"/>
        <v>-</v>
      </c>
      <c r="V111" s="123" t="str">
        <f>U111&amp;COUNTIFS(U$9:U111,U111)</f>
        <v>-97</v>
      </c>
      <c r="W111" s="123" t="str">
        <f t="shared" si="15"/>
        <v>-</v>
      </c>
      <c r="X111" s="123" t="str">
        <f t="shared" si="16"/>
        <v>-</v>
      </c>
      <c r="Y111" s="9" t="str">
        <f>IFERROR(IFERROR(IFERROR(IFERROR(VLOOKUP(Y$8&amp;"GTY"&amp;$Q111,'Draft SK'!$AE:$AF,2,FALSE),VLOOKUP(Y$8&amp;"PTY"&amp;$Q111,'Draft SK'!$AE:$AF,2,FALSE)),VLOOKUP(Y$8&amp;"GTT"&amp;$Q111,'Draft SK'!$AE:$AF,2,FALSE)),VLOOKUP(Y$8&amp;"PTT"&amp;$Q111,'Draft SK'!$AE:$AF,2,FALSE)),"")</f>
        <v/>
      </c>
    </row>
    <row r="112" spans="1:25" ht="15.5" x14ac:dyDescent="0.35">
      <c r="A112" s="51" t="str">
        <f t="shared" si="17"/>
        <v/>
      </c>
      <c r="B112" s="52" t="str">
        <f>IFERROR(VLOOKUP($C$3&amp;$A112,'Data Induk Pegawai'!$A:$Z,B$6,FALSE),"")</f>
        <v/>
      </c>
      <c r="C112" s="53" t="str">
        <f>IFERROR(VLOOKUP($C$3&amp;$A112,'Data Induk Pegawai'!$A:$Z,C$6,FALSE),"")</f>
        <v/>
      </c>
      <c r="D112" s="54" t="str">
        <f>IFERROR(VLOOKUP($C$3&amp;$A112,'Data Induk Pegawai'!$A:$Z,D$6,FALSE),"")</f>
        <v/>
      </c>
      <c r="E112" s="53" t="str">
        <f>IFERROR(VLOOKUP($C$3&amp;$A112,'Data Induk Pegawai'!$A:$Z,E$6,FALSE),"")</f>
        <v/>
      </c>
      <c r="F112" s="91" t="str">
        <f>IFERROR(VLOOKUP($C$3&amp;$A112,'Data Induk Pegawai'!$A:$Z,F$6,FALSE),"")</f>
        <v/>
      </c>
      <c r="G112" s="54" t="str">
        <f>IFERROR(VLOOKUP($C$3&amp;$A112,'Data Induk Pegawai'!$A:$Z,G$6,FALSE),"")</f>
        <v/>
      </c>
      <c r="H112" s="54" t="str">
        <f>IFERROR(VLOOKUP($C$3&amp;$A112,'Data Induk Pegawai'!$A:$Z,H$6,FALSE),"")</f>
        <v/>
      </c>
      <c r="I112" s="54" t="str">
        <f>IFERROR(VLOOKUP($C$3&amp;$A112,'Data Induk Pegawai'!$A:$Z,I$6,FALSE),"")</f>
        <v/>
      </c>
      <c r="J112" s="53" t="str">
        <f>IFERROR(VLOOKUP($C$3&amp;$A112,'Data Induk Pegawai'!$A:$Z,J$6,FALSE),"")</f>
        <v/>
      </c>
      <c r="K112" s="54" t="str">
        <f>IF(B112="","",VLOOKUP($C$3&amp;$A112,'Data Induk Pegawai'!$A:$Z,K$6,FALSE))</f>
        <v/>
      </c>
      <c r="L112" s="54" t="str">
        <f>IF(B112="","",VLOOKUP($C$3&amp;$A112,'Data Induk Pegawai'!$A:$Z,L$6,FALSE))</f>
        <v/>
      </c>
      <c r="M112" s="54" t="str">
        <f>IFERROR(VLOOKUP("1GPTT"&amp;Q112,'Draft SK'!AB:AG,6,FALSE),"")</f>
        <v/>
      </c>
      <c r="N112" s="54" t="str">
        <f>IFERROR(VLOOKUP("1GPTT"&amp;Q112,'Draft SK'!AB:AG,5,FALSE),"")</f>
        <v/>
      </c>
      <c r="O112" s="54" t="str">
        <f t="shared" si="9"/>
        <v/>
      </c>
      <c r="P112" s="54" t="str">
        <f t="shared" si="10"/>
        <v/>
      </c>
      <c r="Q112" s="53" t="str">
        <f>IF(C112="","",VLOOKUP($C$3&amp;$A112,'Data Induk Pegawai'!$A:$Z,Q$6,FALSE))</f>
        <v/>
      </c>
      <c r="R112" s="51" t="str">
        <f t="shared" ca="1" si="11"/>
        <v/>
      </c>
      <c r="S112" s="51" t="str">
        <f t="shared" si="12"/>
        <v/>
      </c>
      <c r="T112" s="123" t="str">
        <f t="shared" si="13"/>
        <v/>
      </c>
      <c r="U112" s="123" t="str">
        <f t="shared" si="14"/>
        <v>-</v>
      </c>
      <c r="V112" s="123" t="str">
        <f>U112&amp;COUNTIFS(U$9:U112,U112)</f>
        <v>-98</v>
      </c>
      <c r="W112" s="123" t="str">
        <f t="shared" si="15"/>
        <v>-</v>
      </c>
      <c r="X112" s="123" t="str">
        <f t="shared" si="16"/>
        <v>-</v>
      </c>
      <c r="Y112" s="9" t="str">
        <f>IFERROR(IFERROR(IFERROR(IFERROR(VLOOKUP(Y$8&amp;"GTY"&amp;$Q112,'Draft SK'!$AE:$AF,2,FALSE),VLOOKUP(Y$8&amp;"PTY"&amp;$Q112,'Draft SK'!$AE:$AF,2,FALSE)),VLOOKUP(Y$8&amp;"GTT"&amp;$Q112,'Draft SK'!$AE:$AF,2,FALSE)),VLOOKUP(Y$8&amp;"PTT"&amp;$Q112,'Draft SK'!$AE:$AF,2,FALSE)),"")</f>
        <v/>
      </c>
    </row>
    <row r="113" spans="1:25" ht="15.5" x14ac:dyDescent="0.35">
      <c r="A113" s="51" t="str">
        <f t="shared" si="17"/>
        <v/>
      </c>
      <c r="B113" s="52" t="str">
        <f>IFERROR(VLOOKUP($C$3&amp;$A113,'Data Induk Pegawai'!$A:$Z,B$6,FALSE),"")</f>
        <v/>
      </c>
      <c r="C113" s="53" t="str">
        <f>IFERROR(VLOOKUP($C$3&amp;$A113,'Data Induk Pegawai'!$A:$Z,C$6,FALSE),"")</f>
        <v/>
      </c>
      <c r="D113" s="54" t="str">
        <f>IFERROR(VLOOKUP($C$3&amp;$A113,'Data Induk Pegawai'!$A:$Z,D$6,FALSE),"")</f>
        <v/>
      </c>
      <c r="E113" s="53" t="str">
        <f>IFERROR(VLOOKUP($C$3&amp;$A113,'Data Induk Pegawai'!$A:$Z,E$6,FALSE),"")</f>
        <v/>
      </c>
      <c r="F113" s="91" t="str">
        <f>IFERROR(VLOOKUP($C$3&amp;$A113,'Data Induk Pegawai'!$A:$Z,F$6,FALSE),"")</f>
        <v/>
      </c>
      <c r="G113" s="54" t="str">
        <f>IFERROR(VLOOKUP($C$3&amp;$A113,'Data Induk Pegawai'!$A:$Z,G$6,FALSE),"")</f>
        <v/>
      </c>
      <c r="H113" s="54" t="str">
        <f>IFERROR(VLOOKUP($C$3&amp;$A113,'Data Induk Pegawai'!$A:$Z,H$6,FALSE),"")</f>
        <v/>
      </c>
      <c r="I113" s="54" t="str">
        <f>IFERROR(VLOOKUP($C$3&amp;$A113,'Data Induk Pegawai'!$A:$Z,I$6,FALSE),"")</f>
        <v/>
      </c>
      <c r="J113" s="53" t="str">
        <f>IFERROR(VLOOKUP($C$3&amp;$A113,'Data Induk Pegawai'!$A:$Z,J$6,FALSE),"")</f>
        <v/>
      </c>
      <c r="K113" s="54" t="str">
        <f>IF(B113="","",VLOOKUP($C$3&amp;$A113,'Data Induk Pegawai'!$A:$Z,K$6,FALSE))</f>
        <v/>
      </c>
      <c r="L113" s="54" t="str">
        <f>IF(B113="","",VLOOKUP($C$3&amp;$A113,'Data Induk Pegawai'!$A:$Z,L$6,FALSE))</f>
        <v/>
      </c>
      <c r="M113" s="54" t="str">
        <f>IFERROR(VLOOKUP("1GPTT"&amp;Q113,'Draft SK'!AB:AG,6,FALSE),"")</f>
        <v/>
      </c>
      <c r="N113" s="54" t="str">
        <f>IFERROR(VLOOKUP("1GPTT"&amp;Q113,'Draft SK'!AB:AG,5,FALSE),"")</f>
        <v/>
      </c>
      <c r="O113" s="54" t="str">
        <f t="shared" si="9"/>
        <v/>
      </c>
      <c r="P113" s="54" t="str">
        <f t="shared" si="10"/>
        <v/>
      </c>
      <c r="Q113" s="53" t="str">
        <f>IF(C113="","",VLOOKUP($C$3&amp;$A113,'Data Induk Pegawai'!$A:$Z,Q$6,FALSE))</f>
        <v/>
      </c>
      <c r="R113" s="51" t="str">
        <f t="shared" ca="1" si="11"/>
        <v/>
      </c>
      <c r="S113" s="51" t="str">
        <f t="shared" si="12"/>
        <v/>
      </c>
      <c r="T113" s="123" t="str">
        <f t="shared" si="13"/>
        <v/>
      </c>
      <c r="U113" s="123" t="str">
        <f t="shared" si="14"/>
        <v>-</v>
      </c>
      <c r="V113" s="123" t="str">
        <f>U113&amp;COUNTIFS(U$9:U113,U113)</f>
        <v>-99</v>
      </c>
      <c r="W113" s="123" t="str">
        <f t="shared" si="15"/>
        <v>-</v>
      </c>
      <c r="X113" s="123" t="str">
        <f t="shared" si="16"/>
        <v>-</v>
      </c>
      <c r="Y113" s="9" t="str">
        <f>IFERROR(IFERROR(IFERROR(IFERROR(VLOOKUP(Y$8&amp;"GTY"&amp;$Q113,'Draft SK'!$AE:$AF,2,FALSE),VLOOKUP(Y$8&amp;"PTY"&amp;$Q113,'Draft SK'!$AE:$AF,2,FALSE)),VLOOKUP(Y$8&amp;"GTT"&amp;$Q113,'Draft SK'!$AE:$AF,2,FALSE)),VLOOKUP(Y$8&amp;"PTT"&amp;$Q113,'Draft SK'!$AE:$AF,2,FALSE)),"")</f>
        <v/>
      </c>
    </row>
    <row r="114" spans="1:25" ht="15.5" x14ac:dyDescent="0.35">
      <c r="A114" s="51" t="str">
        <f t="shared" si="17"/>
        <v/>
      </c>
      <c r="B114" s="52" t="str">
        <f>IFERROR(VLOOKUP($C$3&amp;$A114,'Data Induk Pegawai'!$A:$Z,B$6,FALSE),"")</f>
        <v/>
      </c>
      <c r="C114" s="53" t="str">
        <f>IFERROR(VLOOKUP($C$3&amp;$A114,'Data Induk Pegawai'!$A:$Z,C$6,FALSE),"")</f>
        <v/>
      </c>
      <c r="D114" s="54" t="str">
        <f>IFERROR(VLOOKUP($C$3&amp;$A114,'Data Induk Pegawai'!$A:$Z,D$6,FALSE),"")</f>
        <v/>
      </c>
      <c r="E114" s="53" t="str">
        <f>IFERROR(VLOOKUP($C$3&amp;$A114,'Data Induk Pegawai'!$A:$Z,E$6,FALSE),"")</f>
        <v/>
      </c>
      <c r="F114" s="91" t="str">
        <f>IFERROR(VLOOKUP($C$3&amp;$A114,'Data Induk Pegawai'!$A:$Z,F$6,FALSE),"")</f>
        <v/>
      </c>
      <c r="G114" s="54" t="str">
        <f>IFERROR(VLOOKUP($C$3&amp;$A114,'Data Induk Pegawai'!$A:$Z,G$6,FALSE),"")</f>
        <v/>
      </c>
      <c r="H114" s="54" t="str">
        <f>IFERROR(VLOOKUP($C$3&amp;$A114,'Data Induk Pegawai'!$A:$Z,H$6,FALSE),"")</f>
        <v/>
      </c>
      <c r="I114" s="54" t="str">
        <f>IFERROR(VLOOKUP($C$3&amp;$A114,'Data Induk Pegawai'!$A:$Z,I$6,FALSE),"")</f>
        <v/>
      </c>
      <c r="J114" s="53" t="str">
        <f>IFERROR(VLOOKUP($C$3&amp;$A114,'Data Induk Pegawai'!$A:$Z,J$6,FALSE),"")</f>
        <v/>
      </c>
      <c r="K114" s="54" t="str">
        <f>IF(B114="","",VLOOKUP($C$3&amp;$A114,'Data Induk Pegawai'!$A:$Z,K$6,FALSE))</f>
        <v/>
      </c>
      <c r="L114" s="54" t="str">
        <f>IF(B114="","",VLOOKUP($C$3&amp;$A114,'Data Induk Pegawai'!$A:$Z,L$6,FALSE))</f>
        <v/>
      </c>
      <c r="M114" s="54" t="str">
        <f>IFERROR(VLOOKUP("1GPTT"&amp;Q114,'Draft SK'!AB:AG,6,FALSE),"")</f>
        <v/>
      </c>
      <c r="N114" s="54" t="str">
        <f>IFERROR(VLOOKUP("1GPTT"&amp;Q114,'Draft SK'!AB:AG,5,FALSE),"")</f>
        <v/>
      </c>
      <c r="O114" s="54" t="str">
        <f t="shared" si="9"/>
        <v/>
      </c>
      <c r="P114" s="54" t="str">
        <f t="shared" si="10"/>
        <v/>
      </c>
      <c r="Q114" s="53" t="str">
        <f>IF(C114="","",VLOOKUP($C$3&amp;$A114,'Data Induk Pegawai'!$A:$Z,Q$6,FALSE))</f>
        <v/>
      </c>
      <c r="R114" s="51" t="str">
        <f t="shared" ca="1" si="11"/>
        <v/>
      </c>
      <c r="S114" s="51" t="str">
        <f t="shared" si="12"/>
        <v/>
      </c>
      <c r="T114" s="123" t="str">
        <f t="shared" si="13"/>
        <v/>
      </c>
      <c r="U114" s="123" t="str">
        <f t="shared" si="14"/>
        <v>-</v>
      </c>
      <c r="V114" s="123" t="str">
        <f>U114&amp;COUNTIFS(U$9:U114,U114)</f>
        <v>-100</v>
      </c>
      <c r="W114" s="123" t="str">
        <f t="shared" si="15"/>
        <v>-</v>
      </c>
      <c r="X114" s="123" t="str">
        <f t="shared" si="16"/>
        <v>-</v>
      </c>
      <c r="Y114" s="9" t="str">
        <f>IFERROR(IFERROR(IFERROR(IFERROR(VLOOKUP(Y$8&amp;"GTY"&amp;$Q114,'Draft SK'!$AE:$AF,2,FALSE),VLOOKUP(Y$8&amp;"PTY"&amp;$Q114,'Draft SK'!$AE:$AF,2,FALSE)),VLOOKUP(Y$8&amp;"GTT"&amp;$Q114,'Draft SK'!$AE:$AF,2,FALSE)),VLOOKUP(Y$8&amp;"PTT"&amp;$Q114,'Draft SK'!$AE:$AF,2,FALSE)),"")</f>
        <v/>
      </c>
    </row>
    <row r="115" spans="1:25" ht="15.5" x14ac:dyDescent="0.35">
      <c r="A115" s="51" t="str">
        <f t="shared" si="17"/>
        <v/>
      </c>
      <c r="B115" s="52" t="str">
        <f>IFERROR(VLOOKUP($C$3&amp;$A115,'Data Induk Pegawai'!$A:$Z,B$6,FALSE),"")</f>
        <v/>
      </c>
      <c r="C115" s="53" t="str">
        <f>IFERROR(VLOOKUP($C$3&amp;$A115,'Data Induk Pegawai'!$A:$Z,C$6,FALSE),"")</f>
        <v/>
      </c>
      <c r="D115" s="54" t="str">
        <f>IFERROR(VLOOKUP($C$3&amp;$A115,'Data Induk Pegawai'!$A:$Z,D$6,FALSE),"")</f>
        <v/>
      </c>
      <c r="E115" s="53" t="str">
        <f>IFERROR(VLOOKUP($C$3&amp;$A115,'Data Induk Pegawai'!$A:$Z,E$6,FALSE),"")</f>
        <v/>
      </c>
      <c r="F115" s="91" t="str">
        <f>IFERROR(VLOOKUP($C$3&amp;$A115,'Data Induk Pegawai'!$A:$Z,F$6,FALSE),"")</f>
        <v/>
      </c>
      <c r="G115" s="54" t="str">
        <f>IFERROR(VLOOKUP($C$3&amp;$A115,'Data Induk Pegawai'!$A:$Z,G$6,FALSE),"")</f>
        <v/>
      </c>
      <c r="H115" s="54" t="str">
        <f>IFERROR(VLOOKUP($C$3&amp;$A115,'Data Induk Pegawai'!$A:$Z,H$6,FALSE),"")</f>
        <v/>
      </c>
      <c r="I115" s="54" t="str">
        <f>IFERROR(VLOOKUP($C$3&amp;$A115,'Data Induk Pegawai'!$A:$Z,I$6,FALSE),"")</f>
        <v/>
      </c>
      <c r="J115" s="53" t="str">
        <f>IFERROR(VLOOKUP($C$3&amp;$A115,'Data Induk Pegawai'!$A:$Z,J$6,FALSE),"")</f>
        <v/>
      </c>
      <c r="K115" s="54" t="str">
        <f>IF(B115="","",VLOOKUP($C$3&amp;$A115,'Data Induk Pegawai'!$A:$Z,K$6,FALSE))</f>
        <v/>
      </c>
      <c r="L115" s="54" t="str">
        <f>IF(B115="","",VLOOKUP($C$3&amp;$A115,'Data Induk Pegawai'!$A:$Z,L$6,FALSE))</f>
        <v/>
      </c>
      <c r="M115" s="54" t="str">
        <f>IFERROR(VLOOKUP("1GPTT"&amp;Q115,'Draft SK'!AB:AG,6,FALSE),"")</f>
        <v/>
      </c>
      <c r="N115" s="54" t="str">
        <f>IFERROR(VLOOKUP("1GPTT"&amp;Q115,'Draft SK'!AB:AG,5,FALSE),"")</f>
        <v/>
      </c>
      <c r="O115" s="54" t="str">
        <f t="shared" si="9"/>
        <v/>
      </c>
      <c r="P115" s="54" t="str">
        <f t="shared" si="10"/>
        <v/>
      </c>
      <c r="Q115" s="53" t="str">
        <f>IF(C115="","",VLOOKUP($C$3&amp;$A115,'Data Induk Pegawai'!$A:$Z,Q$6,FALSE))</f>
        <v/>
      </c>
      <c r="R115" s="51" t="str">
        <f t="shared" ca="1" si="11"/>
        <v/>
      </c>
      <c r="S115" s="51" t="str">
        <f t="shared" si="12"/>
        <v/>
      </c>
      <c r="T115" s="123" t="str">
        <f t="shared" si="13"/>
        <v/>
      </c>
      <c r="U115" s="123" t="str">
        <f t="shared" si="14"/>
        <v>-</v>
      </c>
      <c r="V115" s="123" t="str">
        <f>U115&amp;COUNTIFS(U$9:U115,U115)</f>
        <v>-101</v>
      </c>
      <c r="W115" s="123" t="str">
        <f t="shared" si="15"/>
        <v>-</v>
      </c>
      <c r="X115" s="123" t="str">
        <f t="shared" si="16"/>
        <v>-</v>
      </c>
      <c r="Y115" s="9" t="str">
        <f>IFERROR(IFERROR(IFERROR(IFERROR(VLOOKUP(Y$8&amp;"GTY"&amp;$Q115,'Draft SK'!$AE:$AF,2,FALSE),VLOOKUP(Y$8&amp;"PTY"&amp;$Q115,'Draft SK'!$AE:$AF,2,FALSE)),VLOOKUP(Y$8&amp;"GTT"&amp;$Q115,'Draft SK'!$AE:$AF,2,FALSE)),VLOOKUP(Y$8&amp;"PTT"&amp;$Q115,'Draft SK'!$AE:$AF,2,FALSE)),"")</f>
        <v/>
      </c>
    </row>
    <row r="116" spans="1:25" ht="15.5" x14ac:dyDescent="0.35">
      <c r="A116" s="51" t="str">
        <f t="shared" si="17"/>
        <v/>
      </c>
      <c r="B116" s="52" t="str">
        <f>IFERROR(VLOOKUP($C$3&amp;$A116,'Data Induk Pegawai'!$A:$Z,B$6,FALSE),"")</f>
        <v/>
      </c>
      <c r="C116" s="53" t="str">
        <f>IFERROR(VLOOKUP($C$3&amp;$A116,'Data Induk Pegawai'!$A:$Z,C$6,FALSE),"")</f>
        <v/>
      </c>
      <c r="D116" s="54" t="str">
        <f>IFERROR(VLOOKUP($C$3&amp;$A116,'Data Induk Pegawai'!$A:$Z,D$6,FALSE),"")</f>
        <v/>
      </c>
      <c r="E116" s="53" t="str">
        <f>IFERROR(VLOOKUP($C$3&amp;$A116,'Data Induk Pegawai'!$A:$Z,E$6,FALSE),"")</f>
        <v/>
      </c>
      <c r="F116" s="91" t="str">
        <f>IFERROR(VLOOKUP($C$3&amp;$A116,'Data Induk Pegawai'!$A:$Z,F$6,FALSE),"")</f>
        <v/>
      </c>
      <c r="G116" s="54" t="str">
        <f>IFERROR(VLOOKUP($C$3&amp;$A116,'Data Induk Pegawai'!$A:$Z,G$6,FALSE),"")</f>
        <v/>
      </c>
      <c r="H116" s="54" t="str">
        <f>IFERROR(VLOOKUP($C$3&amp;$A116,'Data Induk Pegawai'!$A:$Z,H$6,FALSE),"")</f>
        <v/>
      </c>
      <c r="I116" s="54" t="str">
        <f>IFERROR(VLOOKUP($C$3&amp;$A116,'Data Induk Pegawai'!$A:$Z,I$6,FALSE),"")</f>
        <v/>
      </c>
      <c r="J116" s="53" t="str">
        <f>IFERROR(VLOOKUP($C$3&amp;$A116,'Data Induk Pegawai'!$A:$Z,J$6,FALSE),"")</f>
        <v/>
      </c>
      <c r="K116" s="54" t="str">
        <f>IF(B116="","",VLOOKUP($C$3&amp;$A116,'Data Induk Pegawai'!$A:$Z,K$6,FALSE))</f>
        <v/>
      </c>
      <c r="L116" s="54" t="str">
        <f>IF(B116="","",VLOOKUP($C$3&amp;$A116,'Data Induk Pegawai'!$A:$Z,L$6,FALSE))</f>
        <v/>
      </c>
      <c r="M116" s="54" t="str">
        <f>IFERROR(VLOOKUP("1GPTT"&amp;Q116,'Draft SK'!AB:AG,6,FALSE),"")</f>
        <v/>
      </c>
      <c r="N116" s="54" t="str">
        <f>IFERROR(VLOOKUP("1GPTT"&amp;Q116,'Draft SK'!AB:AG,5,FALSE),"")</f>
        <v/>
      </c>
      <c r="O116" s="54" t="str">
        <f t="shared" si="9"/>
        <v/>
      </c>
      <c r="P116" s="54" t="str">
        <f t="shared" si="10"/>
        <v/>
      </c>
      <c r="Q116" s="53" t="str">
        <f>IF(C116="","",VLOOKUP($C$3&amp;$A116,'Data Induk Pegawai'!$A:$Z,Q$6,FALSE))</f>
        <v/>
      </c>
      <c r="R116" s="51" t="str">
        <f t="shared" ca="1" si="11"/>
        <v/>
      </c>
      <c r="S116" s="51" t="str">
        <f t="shared" si="12"/>
        <v/>
      </c>
      <c r="T116" s="123" t="str">
        <f t="shared" si="13"/>
        <v/>
      </c>
      <c r="U116" s="123" t="str">
        <f t="shared" si="14"/>
        <v>-</v>
      </c>
      <c r="V116" s="123" t="str">
        <f>U116&amp;COUNTIFS(U$9:U116,U116)</f>
        <v>-102</v>
      </c>
      <c r="W116" s="123" t="str">
        <f t="shared" si="15"/>
        <v>-</v>
      </c>
      <c r="X116" s="123" t="str">
        <f t="shared" si="16"/>
        <v>-</v>
      </c>
      <c r="Y116" s="9" t="str">
        <f>IFERROR(IFERROR(IFERROR(IFERROR(VLOOKUP(Y$8&amp;"GTY"&amp;$Q116,'Draft SK'!$AE:$AF,2,FALSE),VLOOKUP(Y$8&amp;"PTY"&amp;$Q116,'Draft SK'!$AE:$AF,2,FALSE)),VLOOKUP(Y$8&amp;"GTT"&amp;$Q116,'Draft SK'!$AE:$AF,2,FALSE)),VLOOKUP(Y$8&amp;"PTT"&amp;$Q116,'Draft SK'!$AE:$AF,2,FALSE)),"")</f>
        <v/>
      </c>
    </row>
    <row r="117" spans="1:25" ht="15.5" x14ac:dyDescent="0.35">
      <c r="A117" s="51" t="str">
        <f t="shared" si="17"/>
        <v/>
      </c>
      <c r="B117" s="52" t="str">
        <f>IFERROR(VLOOKUP($C$3&amp;$A117,'Data Induk Pegawai'!$A:$Z,B$6,FALSE),"")</f>
        <v/>
      </c>
      <c r="C117" s="53" t="str">
        <f>IFERROR(VLOOKUP($C$3&amp;$A117,'Data Induk Pegawai'!$A:$Z,C$6,FALSE),"")</f>
        <v/>
      </c>
      <c r="D117" s="54" t="str">
        <f>IFERROR(VLOOKUP($C$3&amp;$A117,'Data Induk Pegawai'!$A:$Z,D$6,FALSE),"")</f>
        <v/>
      </c>
      <c r="E117" s="53" t="str">
        <f>IFERROR(VLOOKUP($C$3&amp;$A117,'Data Induk Pegawai'!$A:$Z,E$6,FALSE),"")</f>
        <v/>
      </c>
      <c r="F117" s="91" t="str">
        <f>IFERROR(VLOOKUP($C$3&amp;$A117,'Data Induk Pegawai'!$A:$Z,F$6,FALSE),"")</f>
        <v/>
      </c>
      <c r="G117" s="54" t="str">
        <f>IFERROR(VLOOKUP($C$3&amp;$A117,'Data Induk Pegawai'!$A:$Z,G$6,FALSE),"")</f>
        <v/>
      </c>
      <c r="H117" s="54" t="str">
        <f>IFERROR(VLOOKUP($C$3&amp;$A117,'Data Induk Pegawai'!$A:$Z,H$6,FALSE),"")</f>
        <v/>
      </c>
      <c r="I117" s="54" t="str">
        <f>IFERROR(VLOOKUP($C$3&amp;$A117,'Data Induk Pegawai'!$A:$Z,I$6,FALSE),"")</f>
        <v/>
      </c>
      <c r="J117" s="53" t="str">
        <f>IFERROR(VLOOKUP($C$3&amp;$A117,'Data Induk Pegawai'!$A:$Z,J$6,FALSE),"")</f>
        <v/>
      </c>
      <c r="K117" s="54" t="str">
        <f>IF(B117="","",VLOOKUP($C$3&amp;$A117,'Data Induk Pegawai'!$A:$Z,K$6,FALSE))</f>
        <v/>
      </c>
      <c r="L117" s="54" t="str">
        <f>IF(B117="","",VLOOKUP($C$3&amp;$A117,'Data Induk Pegawai'!$A:$Z,L$6,FALSE))</f>
        <v/>
      </c>
      <c r="M117" s="54" t="str">
        <f>IFERROR(VLOOKUP("1GPTT"&amp;Q117,'Draft SK'!AB:AG,6,FALSE),"")</f>
        <v/>
      </c>
      <c r="N117" s="54" t="str">
        <f>IFERROR(VLOOKUP("1GPTT"&amp;Q117,'Draft SK'!AB:AG,5,FALSE),"")</f>
        <v/>
      </c>
      <c r="O117" s="54" t="str">
        <f t="shared" si="9"/>
        <v/>
      </c>
      <c r="P117" s="54" t="str">
        <f t="shared" si="10"/>
        <v/>
      </c>
      <c r="Q117" s="53" t="str">
        <f>IF(C117="","",VLOOKUP($C$3&amp;$A117,'Data Induk Pegawai'!$A:$Z,Q$6,FALSE))</f>
        <v/>
      </c>
      <c r="R117" s="51" t="str">
        <f t="shared" ca="1" si="11"/>
        <v/>
      </c>
      <c r="S117" s="51" t="str">
        <f t="shared" si="12"/>
        <v/>
      </c>
      <c r="T117" s="123" t="str">
        <f t="shared" si="13"/>
        <v/>
      </c>
      <c r="U117" s="123" t="str">
        <f t="shared" si="14"/>
        <v>-</v>
      </c>
      <c r="V117" s="123" t="str">
        <f>U117&amp;COUNTIFS(U$9:U117,U117)</f>
        <v>-103</v>
      </c>
      <c r="W117" s="123" t="str">
        <f t="shared" si="15"/>
        <v>-</v>
      </c>
      <c r="X117" s="123" t="str">
        <f t="shared" si="16"/>
        <v>-</v>
      </c>
      <c r="Y117" s="9" t="str">
        <f>IFERROR(IFERROR(IFERROR(IFERROR(VLOOKUP(Y$8&amp;"GTY"&amp;$Q117,'Draft SK'!$AE:$AF,2,FALSE),VLOOKUP(Y$8&amp;"PTY"&amp;$Q117,'Draft SK'!$AE:$AF,2,FALSE)),VLOOKUP(Y$8&amp;"GTT"&amp;$Q117,'Draft SK'!$AE:$AF,2,FALSE)),VLOOKUP(Y$8&amp;"PTT"&amp;$Q117,'Draft SK'!$AE:$AF,2,FALSE)),"")</f>
        <v/>
      </c>
    </row>
    <row r="118" spans="1:25" ht="15.5" x14ac:dyDescent="0.35">
      <c r="A118" s="51" t="str">
        <f t="shared" si="17"/>
        <v/>
      </c>
      <c r="B118" s="52" t="str">
        <f>IFERROR(VLOOKUP($C$3&amp;$A118,'Data Induk Pegawai'!$A:$Z,B$6,FALSE),"")</f>
        <v/>
      </c>
      <c r="C118" s="53" t="str">
        <f>IFERROR(VLOOKUP($C$3&amp;$A118,'Data Induk Pegawai'!$A:$Z,C$6,FALSE),"")</f>
        <v/>
      </c>
      <c r="D118" s="54" t="str">
        <f>IFERROR(VLOOKUP($C$3&amp;$A118,'Data Induk Pegawai'!$A:$Z,D$6,FALSE),"")</f>
        <v/>
      </c>
      <c r="E118" s="53" t="str">
        <f>IFERROR(VLOOKUP($C$3&amp;$A118,'Data Induk Pegawai'!$A:$Z,E$6,FALSE),"")</f>
        <v/>
      </c>
      <c r="F118" s="91" t="str">
        <f>IFERROR(VLOOKUP($C$3&amp;$A118,'Data Induk Pegawai'!$A:$Z,F$6,FALSE),"")</f>
        <v/>
      </c>
      <c r="G118" s="54" t="str">
        <f>IFERROR(VLOOKUP($C$3&amp;$A118,'Data Induk Pegawai'!$A:$Z,G$6,FALSE),"")</f>
        <v/>
      </c>
      <c r="H118" s="54" t="str">
        <f>IFERROR(VLOOKUP($C$3&amp;$A118,'Data Induk Pegawai'!$A:$Z,H$6,FALSE),"")</f>
        <v/>
      </c>
      <c r="I118" s="54" t="str">
        <f>IFERROR(VLOOKUP($C$3&amp;$A118,'Data Induk Pegawai'!$A:$Z,I$6,FALSE),"")</f>
        <v/>
      </c>
      <c r="J118" s="53" t="str">
        <f>IFERROR(VLOOKUP($C$3&amp;$A118,'Data Induk Pegawai'!$A:$Z,J$6,FALSE),"")</f>
        <v/>
      </c>
      <c r="K118" s="54" t="str">
        <f>IF(B118="","",VLOOKUP($C$3&amp;$A118,'Data Induk Pegawai'!$A:$Z,K$6,FALSE))</f>
        <v/>
      </c>
      <c r="L118" s="54" t="str">
        <f>IF(B118="","",VLOOKUP($C$3&amp;$A118,'Data Induk Pegawai'!$A:$Z,L$6,FALSE))</f>
        <v/>
      </c>
      <c r="M118" s="54" t="str">
        <f>IFERROR(VLOOKUP("1GPTT"&amp;Q118,'Draft SK'!AB:AG,6,FALSE),"")</f>
        <v/>
      </c>
      <c r="N118" s="54" t="str">
        <f>IFERROR(VLOOKUP("1GPTT"&amp;Q118,'Draft SK'!AB:AG,5,FALSE),"")</f>
        <v/>
      </c>
      <c r="O118" s="54" t="str">
        <f t="shared" si="9"/>
        <v/>
      </c>
      <c r="P118" s="54" t="str">
        <f t="shared" si="10"/>
        <v/>
      </c>
      <c r="Q118" s="53" t="str">
        <f>IF(C118="","",VLOOKUP($C$3&amp;$A118,'Data Induk Pegawai'!$A:$Z,Q$6,FALSE))</f>
        <v/>
      </c>
      <c r="R118" s="51" t="str">
        <f t="shared" ca="1" si="11"/>
        <v/>
      </c>
      <c r="S118" s="51" t="str">
        <f t="shared" si="12"/>
        <v/>
      </c>
      <c r="T118" s="123" t="str">
        <f t="shared" si="13"/>
        <v/>
      </c>
      <c r="U118" s="123" t="str">
        <f t="shared" si="14"/>
        <v>-</v>
      </c>
      <c r="V118" s="123" t="str">
        <f>U118&amp;COUNTIFS(U$9:U118,U118)</f>
        <v>-104</v>
      </c>
      <c r="W118" s="123" t="str">
        <f t="shared" si="15"/>
        <v>-</v>
      </c>
      <c r="X118" s="123" t="str">
        <f t="shared" si="16"/>
        <v>-</v>
      </c>
      <c r="Y118" s="9" t="str">
        <f>IFERROR(IFERROR(IFERROR(IFERROR(VLOOKUP(Y$8&amp;"GTY"&amp;$Q118,'Draft SK'!$AE:$AF,2,FALSE),VLOOKUP(Y$8&amp;"PTY"&amp;$Q118,'Draft SK'!$AE:$AF,2,FALSE)),VLOOKUP(Y$8&amp;"GTT"&amp;$Q118,'Draft SK'!$AE:$AF,2,FALSE)),VLOOKUP(Y$8&amp;"PTT"&amp;$Q118,'Draft SK'!$AE:$AF,2,FALSE)),"")</f>
        <v/>
      </c>
    </row>
    <row r="119" spans="1:25" ht="15.5" x14ac:dyDescent="0.35">
      <c r="A119" s="51" t="str">
        <f t="shared" si="17"/>
        <v/>
      </c>
      <c r="B119" s="52" t="str">
        <f>IFERROR(VLOOKUP($C$3&amp;$A119,'Data Induk Pegawai'!$A:$Z,B$6,FALSE),"")</f>
        <v/>
      </c>
      <c r="C119" s="53" t="str">
        <f>IFERROR(VLOOKUP($C$3&amp;$A119,'Data Induk Pegawai'!$A:$Z,C$6,FALSE),"")</f>
        <v/>
      </c>
      <c r="D119" s="54" t="str">
        <f>IFERROR(VLOOKUP($C$3&amp;$A119,'Data Induk Pegawai'!$A:$Z,D$6,FALSE),"")</f>
        <v/>
      </c>
      <c r="E119" s="53" t="str">
        <f>IFERROR(VLOOKUP($C$3&amp;$A119,'Data Induk Pegawai'!$A:$Z,E$6,FALSE),"")</f>
        <v/>
      </c>
      <c r="F119" s="91" t="str">
        <f>IFERROR(VLOOKUP($C$3&amp;$A119,'Data Induk Pegawai'!$A:$Z,F$6,FALSE),"")</f>
        <v/>
      </c>
      <c r="G119" s="54" t="str">
        <f>IFERROR(VLOOKUP($C$3&amp;$A119,'Data Induk Pegawai'!$A:$Z,G$6,FALSE),"")</f>
        <v/>
      </c>
      <c r="H119" s="54" t="str">
        <f>IFERROR(VLOOKUP($C$3&amp;$A119,'Data Induk Pegawai'!$A:$Z,H$6,FALSE),"")</f>
        <v/>
      </c>
      <c r="I119" s="54" t="str">
        <f>IFERROR(VLOOKUP($C$3&amp;$A119,'Data Induk Pegawai'!$A:$Z,I$6,FALSE),"")</f>
        <v/>
      </c>
      <c r="J119" s="53" t="str">
        <f>IFERROR(VLOOKUP($C$3&amp;$A119,'Data Induk Pegawai'!$A:$Z,J$6,FALSE),"")</f>
        <v/>
      </c>
      <c r="K119" s="54" t="str">
        <f>IF(B119="","",VLOOKUP($C$3&amp;$A119,'Data Induk Pegawai'!$A:$Z,K$6,FALSE))</f>
        <v/>
      </c>
      <c r="L119" s="54" t="str">
        <f>IF(B119="","",VLOOKUP($C$3&amp;$A119,'Data Induk Pegawai'!$A:$Z,L$6,FALSE))</f>
        <v/>
      </c>
      <c r="M119" s="54" t="str">
        <f>IFERROR(VLOOKUP("1GPTT"&amp;Q119,'Draft SK'!AB:AG,6,FALSE),"")</f>
        <v/>
      </c>
      <c r="N119" s="54" t="str">
        <f>IFERROR(VLOOKUP("1GPTT"&amp;Q119,'Draft SK'!AB:AG,5,FALSE),"")</f>
        <v/>
      </c>
      <c r="O119" s="54" t="str">
        <f t="shared" si="9"/>
        <v/>
      </c>
      <c r="P119" s="54" t="str">
        <f t="shared" si="10"/>
        <v/>
      </c>
      <c r="Q119" s="53" t="str">
        <f>IF(C119="","",VLOOKUP($C$3&amp;$A119,'Data Induk Pegawai'!$A:$Z,Q$6,FALSE))</f>
        <v/>
      </c>
      <c r="R119" s="51" t="str">
        <f t="shared" ca="1" si="11"/>
        <v/>
      </c>
      <c r="S119" s="51" t="str">
        <f t="shared" si="12"/>
        <v/>
      </c>
      <c r="T119" s="123" t="str">
        <f t="shared" si="13"/>
        <v/>
      </c>
      <c r="U119" s="123" t="str">
        <f t="shared" si="14"/>
        <v>-</v>
      </c>
      <c r="V119" s="123" t="str">
        <f>U119&amp;COUNTIFS(U$9:U119,U119)</f>
        <v>-105</v>
      </c>
      <c r="W119" s="123" t="str">
        <f t="shared" si="15"/>
        <v>-</v>
      </c>
      <c r="X119" s="123" t="str">
        <f t="shared" si="16"/>
        <v>-</v>
      </c>
      <c r="Y119" s="9" t="str">
        <f>IFERROR(IFERROR(IFERROR(IFERROR(VLOOKUP(Y$8&amp;"GTY"&amp;$Q119,'Draft SK'!$AE:$AF,2,FALSE),VLOOKUP(Y$8&amp;"PTY"&amp;$Q119,'Draft SK'!$AE:$AF,2,FALSE)),VLOOKUP(Y$8&amp;"GTT"&amp;$Q119,'Draft SK'!$AE:$AF,2,FALSE)),VLOOKUP(Y$8&amp;"PTT"&amp;$Q119,'Draft SK'!$AE:$AF,2,FALSE)),"")</f>
        <v/>
      </c>
    </row>
    <row r="120" spans="1:25" ht="15.5" x14ac:dyDescent="0.35">
      <c r="A120" s="51" t="str">
        <f t="shared" si="17"/>
        <v/>
      </c>
      <c r="B120" s="52" t="str">
        <f>IFERROR(VLOOKUP($C$3&amp;$A120,'Data Induk Pegawai'!$A:$Z,B$6,FALSE),"")</f>
        <v/>
      </c>
      <c r="C120" s="53" t="str">
        <f>IFERROR(VLOOKUP($C$3&amp;$A120,'Data Induk Pegawai'!$A:$Z,C$6,FALSE),"")</f>
        <v/>
      </c>
      <c r="D120" s="54" t="str">
        <f>IFERROR(VLOOKUP($C$3&amp;$A120,'Data Induk Pegawai'!$A:$Z,D$6,FALSE),"")</f>
        <v/>
      </c>
      <c r="E120" s="53" t="str">
        <f>IFERROR(VLOOKUP($C$3&amp;$A120,'Data Induk Pegawai'!$A:$Z,E$6,FALSE),"")</f>
        <v/>
      </c>
      <c r="F120" s="91" t="str">
        <f>IFERROR(VLOOKUP($C$3&amp;$A120,'Data Induk Pegawai'!$A:$Z,F$6,FALSE),"")</f>
        <v/>
      </c>
      <c r="G120" s="54" t="str">
        <f>IFERROR(VLOOKUP($C$3&amp;$A120,'Data Induk Pegawai'!$A:$Z,G$6,FALSE),"")</f>
        <v/>
      </c>
      <c r="H120" s="54" t="str">
        <f>IFERROR(VLOOKUP($C$3&amp;$A120,'Data Induk Pegawai'!$A:$Z,H$6,FALSE),"")</f>
        <v/>
      </c>
      <c r="I120" s="54" t="str">
        <f>IFERROR(VLOOKUP($C$3&amp;$A120,'Data Induk Pegawai'!$A:$Z,I$6,FALSE),"")</f>
        <v/>
      </c>
      <c r="J120" s="53" t="str">
        <f>IFERROR(VLOOKUP($C$3&amp;$A120,'Data Induk Pegawai'!$A:$Z,J$6,FALSE),"")</f>
        <v/>
      </c>
      <c r="K120" s="54" t="str">
        <f>IF(B120="","",VLOOKUP($C$3&amp;$A120,'Data Induk Pegawai'!$A:$Z,K$6,FALSE))</f>
        <v/>
      </c>
      <c r="L120" s="54" t="str">
        <f>IF(B120="","",VLOOKUP($C$3&amp;$A120,'Data Induk Pegawai'!$A:$Z,L$6,FALSE))</f>
        <v/>
      </c>
      <c r="M120" s="54" t="str">
        <f>IFERROR(VLOOKUP("1GPTT"&amp;Q120,'Draft SK'!AB:AG,6,FALSE),"")</f>
        <v/>
      </c>
      <c r="N120" s="54" t="str">
        <f>IFERROR(VLOOKUP("1GPTT"&amp;Q120,'Draft SK'!AB:AG,5,FALSE),"")</f>
        <v/>
      </c>
      <c r="O120" s="54" t="str">
        <f t="shared" si="9"/>
        <v/>
      </c>
      <c r="P120" s="54" t="str">
        <f t="shared" si="10"/>
        <v/>
      </c>
      <c r="Q120" s="53" t="str">
        <f>IF(C120="","",VLOOKUP($C$3&amp;$A120,'Data Induk Pegawai'!$A:$Z,Q$6,FALSE))</f>
        <v/>
      </c>
      <c r="R120" s="51" t="str">
        <f t="shared" ca="1" si="11"/>
        <v/>
      </c>
      <c r="S120" s="51" t="str">
        <f t="shared" si="12"/>
        <v/>
      </c>
      <c r="T120" s="123" t="str">
        <f t="shared" si="13"/>
        <v/>
      </c>
      <c r="U120" s="123" t="str">
        <f t="shared" si="14"/>
        <v>-</v>
      </c>
      <c r="V120" s="123" t="str">
        <f>U120&amp;COUNTIFS(U$9:U120,U120)</f>
        <v>-106</v>
      </c>
      <c r="W120" s="123" t="str">
        <f t="shared" si="15"/>
        <v>-</v>
      </c>
      <c r="X120" s="123" t="str">
        <f t="shared" si="16"/>
        <v>-</v>
      </c>
      <c r="Y120" s="9" t="str">
        <f>IFERROR(IFERROR(IFERROR(IFERROR(VLOOKUP(Y$8&amp;"GTY"&amp;$Q120,'Draft SK'!$AE:$AF,2,FALSE),VLOOKUP(Y$8&amp;"PTY"&amp;$Q120,'Draft SK'!$AE:$AF,2,FALSE)),VLOOKUP(Y$8&amp;"GTT"&amp;$Q120,'Draft SK'!$AE:$AF,2,FALSE)),VLOOKUP(Y$8&amp;"PTT"&amp;$Q120,'Draft SK'!$AE:$AF,2,FALSE)),"")</f>
        <v/>
      </c>
    </row>
  </sheetData>
  <mergeCells count="15">
    <mergeCell ref="A7:A8"/>
    <mergeCell ref="B7:B8"/>
    <mergeCell ref="C7:C8"/>
    <mergeCell ref="AB7:AB8"/>
    <mergeCell ref="D7:D8"/>
    <mergeCell ref="E7:E8"/>
    <mergeCell ref="F7:F8"/>
    <mergeCell ref="M7:N7"/>
    <mergeCell ref="Q7:S7"/>
    <mergeCell ref="O7:P7"/>
    <mergeCell ref="T7:T8"/>
    <mergeCell ref="V7:X7"/>
    <mergeCell ref="G7:H7"/>
    <mergeCell ref="I7:J7"/>
    <mergeCell ref="K7:L7"/>
  </mergeCells>
  <phoneticPr fontId="8" type="noConversion"/>
  <conditionalFormatting sqref="A1:A2">
    <cfRule type="cellIs" dxfId="13" priority="1" operator="equal">
      <formula>0</formula>
    </cfRule>
  </conditionalFormatting>
  <conditionalFormatting sqref="A9:Q120">
    <cfRule type="expression" dxfId="12" priority="17">
      <formula>$E9="Non Aktif"</formula>
    </cfRule>
  </conditionalFormatting>
  <conditionalFormatting sqref="B1:T2 A3:T6 T7 R9:T1048576 A7:G7 Q7:Q1048576 G8:N8 R8:S8 O8:P1048576 A9:N1048576">
    <cfRule type="cellIs" dxfId="11" priority="16" operator="equal">
      <formula>0</formula>
    </cfRule>
  </conditionalFormatting>
  <conditionalFormatting sqref="I7">
    <cfRule type="cellIs" dxfId="10" priority="14" operator="equal">
      <formula>0</formula>
    </cfRule>
  </conditionalFormatting>
  <conditionalFormatting sqref="K7">
    <cfRule type="cellIs" dxfId="9" priority="2" operator="equal">
      <formula>0</formula>
    </cfRule>
  </conditionalFormatting>
  <conditionalFormatting sqref="M7">
    <cfRule type="cellIs" dxfId="8" priority="10" operator="equal">
      <formula>0</formula>
    </cfRule>
  </conditionalFormatting>
  <conditionalFormatting sqref="O7">
    <cfRule type="cellIs" dxfId="7" priority="9" operator="equal">
      <formula>0</formula>
    </cfRule>
  </conditionalFormatting>
  <conditionalFormatting sqref="T1:T1048576">
    <cfRule type="containsText" dxfId="6" priority="3" operator="containsText" text="Done">
      <formula>NOT(ISERROR(SEARCH("Done",T1)))</formula>
    </cfRule>
  </conditionalFormatting>
  <conditionalFormatting sqref="U9:X120">
    <cfRule type="cellIs" dxfId="5" priority="6" operator="equal">
      <formula>0</formula>
    </cfRule>
  </conditionalFormatting>
  <conditionalFormatting sqref="Y7:Y8">
    <cfRule type="cellIs" dxfId="4" priority="5" operator="equal">
      <formula>0</formula>
    </cfRule>
  </conditionalFormatting>
  <conditionalFormatting sqref="Y9:Y120">
    <cfRule type="expression" dxfId="3" priority="4">
      <formula>$E9="Non Aktif"</formula>
    </cfRule>
  </conditionalFormatting>
  <dataValidations count="3">
    <dataValidation type="list" allowBlank="1" showInputMessage="1" showErrorMessage="1" promptTitle="Pilih Status Keaktifan" prompt="Silahkan Pilih status Aktif atau Non Aktif_x000a__x000a_" sqref="C4" xr:uid="{079DE6C4-CEB3-47F4-A0E2-9866793B86D8}">
      <formula1>"Aktif, Non Aktif"</formula1>
    </dataValidation>
    <dataValidation allowBlank="1" showInputMessage="1" showErrorMessage="1" promptTitle="Pilih Status Keaktifan" prompt="Silahkan Pilih status Aktif atau Non Aktif_x000a__x000a_" sqref="C3" xr:uid="{81DCAF7D-CCE5-4CA1-855E-274220F0E062}"/>
    <dataValidation type="list" allowBlank="1" showInputMessage="1" showErrorMessage="1" sqref="Y8" xr:uid="{1BF96AF0-A04E-466D-98DF-2D240176CCF5}">
      <formula1>$AB$9:$AB$19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"/>
  <sheetViews>
    <sheetView showGridLines="0" topLeftCell="B1" zoomScale="61" workbookViewId="0">
      <selection activeCell="B1" sqref="B1:K3"/>
    </sheetView>
  </sheetViews>
  <sheetFormatPr defaultRowHeight="14.5" outlineLevelCol="1" x14ac:dyDescent="0.35"/>
  <cols>
    <col min="1" max="1" width="6.453125" hidden="1" customWidth="1" outlineLevel="1"/>
    <col min="2" max="2" width="6.7265625" customWidth="1" collapsed="1"/>
    <col min="3" max="3" width="28.453125" bestFit="1" customWidth="1"/>
    <col min="4" max="4" width="6.1796875" style="25" bestFit="1" customWidth="1"/>
    <col min="5" max="5" width="11.7265625" bestFit="1" customWidth="1"/>
    <col min="6" max="6" width="28.54296875" bestFit="1" customWidth="1"/>
    <col min="7" max="7" width="32.81640625" bestFit="1" customWidth="1"/>
    <col min="8" max="8" width="26.81640625" bestFit="1" customWidth="1"/>
    <col min="9" max="9" width="6.453125" bestFit="1" customWidth="1"/>
    <col min="10" max="10" width="9.54296875" bestFit="1" customWidth="1"/>
    <col min="12" max="12" width="11.453125" bestFit="1" customWidth="1"/>
    <col min="15" max="15" width="4" style="47" bestFit="1" customWidth="1"/>
    <col min="16" max="16" width="23.81640625" style="22" bestFit="1" customWidth="1"/>
    <col min="17" max="17" width="11.26953125" style="22" bestFit="1" customWidth="1"/>
    <col min="19" max="19" width="3.81640625" style="47" customWidth="1"/>
    <col min="20" max="20" width="24.453125" style="67" customWidth="1"/>
    <col min="21" max="21" width="9.81640625" style="67" bestFit="1" customWidth="1"/>
    <col min="22" max="22" width="8.7265625" style="68"/>
    <col min="23" max="23" width="3.81640625" style="69" customWidth="1"/>
    <col min="24" max="24" width="24.453125" style="67" customWidth="1"/>
    <col min="25" max="25" width="9.81640625" style="67" bestFit="1" customWidth="1"/>
    <col min="26" max="26" width="3.81640625" customWidth="1"/>
  </cols>
  <sheetData>
    <row r="1" spans="1:26" ht="18.5" x14ac:dyDescent="0.45">
      <c r="B1" s="193" t="s">
        <v>634</v>
      </c>
      <c r="C1" s="193"/>
      <c r="D1" s="193"/>
      <c r="E1" s="193"/>
      <c r="F1" s="193"/>
      <c r="G1" s="193"/>
      <c r="H1" s="193"/>
      <c r="I1" s="193"/>
      <c r="J1" s="193"/>
      <c r="K1" s="193"/>
      <c r="L1" s="128"/>
    </row>
    <row r="2" spans="1:26" ht="18.5" x14ac:dyDescent="0.45">
      <c r="B2" s="193" t="s">
        <v>563</v>
      </c>
      <c r="C2" s="193"/>
      <c r="D2" s="193"/>
      <c r="E2" s="193"/>
      <c r="F2" s="193"/>
      <c r="G2" s="193"/>
      <c r="H2" s="193"/>
      <c r="I2" s="193"/>
      <c r="J2" s="193"/>
      <c r="K2" s="193"/>
      <c r="L2" s="128"/>
    </row>
    <row r="3" spans="1:26" ht="18.5" x14ac:dyDescent="0.45">
      <c r="B3" s="192" t="s">
        <v>637</v>
      </c>
      <c r="C3" s="193"/>
      <c r="D3" s="193"/>
      <c r="E3" s="193"/>
      <c r="F3" s="193"/>
      <c r="G3" s="193"/>
      <c r="H3" s="193"/>
      <c r="I3" s="193"/>
      <c r="J3" s="193"/>
      <c r="K3" s="193"/>
      <c r="L3" s="128"/>
      <c r="P3" s="65" t="s">
        <v>495</v>
      </c>
      <c r="Q3" s="66" t="s">
        <v>493</v>
      </c>
      <c r="T3" s="75" t="s">
        <v>495</v>
      </c>
      <c r="U3" s="127" t="s">
        <v>487</v>
      </c>
      <c r="V3" s="76"/>
      <c r="W3" s="77"/>
      <c r="X3" s="75" t="s">
        <v>495</v>
      </c>
      <c r="Y3" s="127" t="s">
        <v>488</v>
      </c>
    </row>
    <row r="4" spans="1:26" x14ac:dyDescent="0.35">
      <c r="O4" s="62" t="s">
        <v>0</v>
      </c>
      <c r="P4" s="64" t="s">
        <v>248</v>
      </c>
      <c r="Q4" s="64" t="s">
        <v>9</v>
      </c>
      <c r="S4" s="62"/>
      <c r="T4" s="70" t="s">
        <v>248</v>
      </c>
      <c r="U4" s="70" t="s">
        <v>9</v>
      </c>
      <c r="W4" s="71"/>
      <c r="X4" s="70" t="s">
        <v>248</v>
      </c>
      <c r="Y4" s="70" t="s">
        <v>9</v>
      </c>
    </row>
    <row r="5" spans="1:26" ht="20.149999999999999" customHeight="1" x14ac:dyDescent="0.35">
      <c r="B5" s="20" t="s">
        <v>0</v>
      </c>
      <c r="C5" s="20" t="s">
        <v>1</v>
      </c>
      <c r="D5" s="20" t="s">
        <v>130</v>
      </c>
      <c r="E5" s="23" t="s">
        <v>9</v>
      </c>
      <c r="F5" s="23" t="s">
        <v>251</v>
      </c>
      <c r="G5" s="24" t="s">
        <v>258</v>
      </c>
      <c r="H5" s="20" t="s">
        <v>94</v>
      </c>
      <c r="I5" s="21" t="s">
        <v>95</v>
      </c>
      <c r="J5" s="20" t="s">
        <v>96</v>
      </c>
      <c r="K5" s="21" t="s">
        <v>482</v>
      </c>
      <c r="L5" s="21" t="s">
        <v>564</v>
      </c>
      <c r="O5" s="63">
        <v>1</v>
      </c>
      <c r="P5" s="61" t="str">
        <f t="shared" ref="P5:P35" si="0">IFERROR(VLOOKUP($O5&amp;$Q$3,$A:$K,3,FALSE),"")</f>
        <v>Fara Dela Fatmawati Mustofa</v>
      </c>
      <c r="Q5" s="61" t="str">
        <f t="shared" ref="Q5:Q35" si="1">IFERROR(VLOOKUP($O5&amp;$Q$3,$A:$K,5,FALSE),"")</f>
        <v>--</v>
      </c>
      <c r="S5" s="63"/>
      <c r="T5" s="72" t="s">
        <v>424</v>
      </c>
      <c r="U5" s="72" t="s">
        <v>11</v>
      </c>
      <c r="W5" s="73"/>
      <c r="X5" s="72" t="s">
        <v>2</v>
      </c>
      <c r="Y5" s="72" t="s">
        <v>66</v>
      </c>
    </row>
    <row r="6" spans="1:26" ht="20.149999999999999" customHeight="1" x14ac:dyDescent="0.35">
      <c r="A6" t="str">
        <f>COUNTIFS($K$6:K6,K6)&amp;K6</f>
        <v>1I</v>
      </c>
      <c r="B6" s="9">
        <v>1</v>
      </c>
      <c r="C6" s="8" t="s">
        <v>424</v>
      </c>
      <c r="D6" s="10" t="s">
        <v>163</v>
      </c>
      <c r="E6" s="8" t="s">
        <v>11</v>
      </c>
      <c r="F6" s="8" t="s">
        <v>257</v>
      </c>
      <c r="G6" s="8" t="s">
        <v>261</v>
      </c>
      <c r="H6" s="8" t="s">
        <v>105</v>
      </c>
      <c r="I6" s="10" t="s">
        <v>3</v>
      </c>
      <c r="J6" s="10" t="s">
        <v>70</v>
      </c>
      <c r="K6" s="10" t="s">
        <v>487</v>
      </c>
      <c r="L6" s="10"/>
      <c r="O6" s="63">
        <f>IF(P5="","",O5+1)</f>
        <v>2</v>
      </c>
      <c r="P6" s="61" t="str">
        <f t="shared" si="0"/>
        <v>Hikmah Fajriah Khoirun Nisa</v>
      </c>
      <c r="Q6" s="61" t="str">
        <f t="shared" si="1"/>
        <v>--</v>
      </c>
      <c r="S6" s="63"/>
      <c r="T6" s="72" t="s">
        <v>380</v>
      </c>
      <c r="U6" s="72" t="s">
        <v>10</v>
      </c>
      <c r="W6" s="73"/>
      <c r="X6" s="72" t="s">
        <v>27</v>
      </c>
      <c r="Y6" s="72" t="s">
        <v>13</v>
      </c>
    </row>
    <row r="7" spans="1:26" ht="20.149999999999999" customHeight="1" x14ac:dyDescent="0.35">
      <c r="A7" t="str">
        <f>COUNTIFS($K$6:K7,K7)&amp;K7</f>
        <v>1II</v>
      </c>
      <c r="B7" s="9">
        <v>2</v>
      </c>
      <c r="C7" s="8" t="s">
        <v>2</v>
      </c>
      <c r="D7" s="10" t="s">
        <v>166</v>
      </c>
      <c r="E7" s="8" t="s">
        <v>66</v>
      </c>
      <c r="F7" s="8" t="s">
        <v>264</v>
      </c>
      <c r="G7" s="8" t="s">
        <v>263</v>
      </c>
      <c r="H7" s="8" t="s">
        <v>226</v>
      </c>
      <c r="I7" s="10" t="s">
        <v>3</v>
      </c>
      <c r="J7" s="10" t="s">
        <v>70</v>
      </c>
      <c r="K7" s="10" t="s">
        <v>488</v>
      </c>
      <c r="L7" s="10"/>
      <c r="O7" s="63">
        <f t="shared" ref="O7:O16" si="2">IF(P6="","",O6+1)</f>
        <v>3</v>
      </c>
      <c r="P7" s="61" t="str">
        <f t="shared" si="0"/>
        <v>Alfiah Nur Hasanah</v>
      </c>
      <c r="Q7" s="61" t="str">
        <f t="shared" si="1"/>
        <v>--</v>
      </c>
      <c r="S7" s="63"/>
      <c r="T7" s="72" t="s">
        <v>25</v>
      </c>
      <c r="U7" s="72" t="s">
        <v>32</v>
      </c>
      <c r="W7" s="73"/>
      <c r="X7" s="72" t="s">
        <v>26</v>
      </c>
      <c r="Y7" s="72" t="s">
        <v>31</v>
      </c>
    </row>
    <row r="8" spans="1:26" ht="20.149999999999999" customHeight="1" x14ac:dyDescent="0.35">
      <c r="A8" t="str">
        <f>COUNTIFS($K$6:K8,K8)&amp;K8</f>
        <v>2I</v>
      </c>
      <c r="B8" s="9">
        <v>3</v>
      </c>
      <c r="C8" s="8" t="s">
        <v>380</v>
      </c>
      <c r="D8" s="10" t="s">
        <v>169</v>
      </c>
      <c r="E8" s="8" t="s">
        <v>10</v>
      </c>
      <c r="F8" s="8" t="s">
        <v>267</v>
      </c>
      <c r="G8" s="8" t="s">
        <v>261</v>
      </c>
      <c r="H8" s="8" t="s">
        <v>475</v>
      </c>
      <c r="I8" s="10" t="s">
        <v>3</v>
      </c>
      <c r="J8" s="10" t="s">
        <v>70</v>
      </c>
      <c r="K8" s="10" t="s">
        <v>487</v>
      </c>
      <c r="L8" s="10"/>
      <c r="O8" s="63">
        <f t="shared" si="2"/>
        <v>4</v>
      </c>
      <c r="P8" s="61" t="str">
        <f t="shared" si="0"/>
        <v>Ummu Rizki Hafizha</v>
      </c>
      <c r="Q8" s="61" t="str">
        <f t="shared" si="1"/>
        <v>--</v>
      </c>
      <c r="S8" s="63"/>
      <c r="T8" s="72" t="s">
        <v>22</v>
      </c>
      <c r="U8" s="72" t="s">
        <v>44</v>
      </c>
      <c r="W8" s="73"/>
      <c r="X8" s="72" t="s">
        <v>180</v>
      </c>
      <c r="Y8" s="72" t="s">
        <v>30</v>
      </c>
    </row>
    <row r="9" spans="1:26" ht="20.149999999999999" customHeight="1" x14ac:dyDescent="0.35">
      <c r="A9" t="str">
        <f>COUNTIFS($K$6:K9,K9)&amp;K9</f>
        <v>2II</v>
      </c>
      <c r="B9" s="9">
        <v>4</v>
      </c>
      <c r="C9" s="8" t="s">
        <v>27</v>
      </c>
      <c r="D9" s="10" t="s">
        <v>175</v>
      </c>
      <c r="E9" s="8" t="s">
        <v>13</v>
      </c>
      <c r="F9" s="8" t="s">
        <v>273</v>
      </c>
      <c r="G9" s="8" t="s">
        <v>261</v>
      </c>
      <c r="H9" s="8" t="s">
        <v>437</v>
      </c>
      <c r="I9" s="10" t="s">
        <v>3</v>
      </c>
      <c r="J9" s="10" t="s">
        <v>70</v>
      </c>
      <c r="K9" s="10" t="s">
        <v>488</v>
      </c>
      <c r="L9" s="10"/>
      <c r="O9" s="63">
        <f t="shared" si="2"/>
        <v>5</v>
      </c>
      <c r="P9" s="61" t="str">
        <f t="shared" si="0"/>
        <v>Najma Sarifatul Auli</v>
      </c>
      <c r="Q9" s="61" t="str">
        <f t="shared" si="1"/>
        <v>--</v>
      </c>
      <c r="S9" s="63"/>
      <c r="T9" s="72" t="s">
        <v>15</v>
      </c>
      <c r="U9" s="72" t="s">
        <v>45</v>
      </c>
      <c r="W9" s="73"/>
      <c r="X9" s="72" t="s">
        <v>361</v>
      </c>
      <c r="Y9" s="72" t="s">
        <v>34</v>
      </c>
    </row>
    <row r="10" spans="1:26" ht="20.149999999999999" customHeight="1" x14ac:dyDescent="0.35">
      <c r="A10" t="str">
        <f>COUNTIFS($K$6:K10,K10)&amp;K10</f>
        <v>3II</v>
      </c>
      <c r="B10" s="9">
        <v>5</v>
      </c>
      <c r="C10" s="8" t="s">
        <v>26</v>
      </c>
      <c r="D10" s="10" t="s">
        <v>177</v>
      </c>
      <c r="E10" s="8" t="s">
        <v>31</v>
      </c>
      <c r="F10" s="8" t="s">
        <v>275</v>
      </c>
      <c r="G10" s="8" t="s">
        <v>261</v>
      </c>
      <c r="H10" s="8" t="s">
        <v>480</v>
      </c>
      <c r="I10" s="10" t="s">
        <v>3</v>
      </c>
      <c r="J10" s="10" t="s">
        <v>70</v>
      </c>
      <c r="K10" s="10" t="s">
        <v>488</v>
      </c>
      <c r="L10" s="10"/>
      <c r="O10" s="63">
        <f t="shared" si="2"/>
        <v>6</v>
      </c>
      <c r="P10" s="61" t="str">
        <f t="shared" si="0"/>
        <v>Kismanto</v>
      </c>
      <c r="Q10" s="61" t="str">
        <f t="shared" si="1"/>
        <v>--</v>
      </c>
      <c r="S10" s="63"/>
      <c r="T10" s="72" t="s">
        <v>19</v>
      </c>
      <c r="U10" s="72" t="s">
        <v>56</v>
      </c>
      <c r="W10" s="73"/>
      <c r="X10" s="72" t="s">
        <v>17</v>
      </c>
      <c r="Y10" s="72" t="s">
        <v>54</v>
      </c>
    </row>
    <row r="11" spans="1:26" ht="20.149999999999999" customHeight="1" x14ac:dyDescent="0.35">
      <c r="A11" t="str">
        <f>COUNTIFS($K$6:K11,K11)&amp;K11</f>
        <v>3I</v>
      </c>
      <c r="B11" s="9">
        <v>6</v>
      </c>
      <c r="C11" s="8" t="s">
        <v>25</v>
      </c>
      <c r="D11" s="10" t="s">
        <v>178</v>
      </c>
      <c r="E11" s="8" t="s">
        <v>32</v>
      </c>
      <c r="F11" s="8" t="s">
        <v>276</v>
      </c>
      <c r="G11" s="8" t="s">
        <v>261</v>
      </c>
      <c r="H11" s="8" t="s">
        <v>179</v>
      </c>
      <c r="I11" s="10" t="s">
        <v>3</v>
      </c>
      <c r="J11" s="10" t="s">
        <v>70</v>
      </c>
      <c r="K11" s="10" t="s">
        <v>487</v>
      </c>
      <c r="L11" s="10"/>
      <c r="O11" s="63">
        <f t="shared" si="2"/>
        <v>7</v>
      </c>
      <c r="P11" s="61" t="str">
        <f t="shared" si="0"/>
        <v/>
      </c>
      <c r="Q11" s="61" t="str">
        <f t="shared" si="1"/>
        <v/>
      </c>
      <c r="S11" s="63"/>
      <c r="T11" s="72" t="s">
        <v>18</v>
      </c>
      <c r="U11" s="72" t="s">
        <v>58</v>
      </c>
      <c r="W11" s="73"/>
      <c r="X11" s="72" t="s">
        <v>20</v>
      </c>
      <c r="Y11" s="72" t="s">
        <v>55</v>
      </c>
    </row>
    <row r="12" spans="1:26" ht="20.149999999999999" customHeight="1" x14ac:dyDescent="0.35">
      <c r="A12" t="str">
        <f>COUNTIFS($K$6:K12,K12)&amp;K12</f>
        <v>4II</v>
      </c>
      <c r="B12" s="9">
        <v>7</v>
      </c>
      <c r="C12" s="8" t="s">
        <v>180</v>
      </c>
      <c r="D12" s="10" t="s">
        <v>181</v>
      </c>
      <c r="E12" s="8" t="s">
        <v>30</v>
      </c>
      <c r="F12" s="8" t="s">
        <v>277</v>
      </c>
      <c r="G12" s="8" t="s">
        <v>261</v>
      </c>
      <c r="H12" s="8" t="s">
        <v>6</v>
      </c>
      <c r="I12" s="10" t="s">
        <v>3</v>
      </c>
      <c r="J12" s="10" t="s">
        <v>70</v>
      </c>
      <c r="K12" s="10" t="s">
        <v>488</v>
      </c>
      <c r="L12" s="10"/>
      <c r="O12" s="63" t="str">
        <f t="shared" si="2"/>
        <v/>
      </c>
      <c r="P12" s="61" t="str">
        <f t="shared" si="0"/>
        <v/>
      </c>
      <c r="Q12" s="61" t="str">
        <f t="shared" si="1"/>
        <v/>
      </c>
      <c r="S12" s="63"/>
      <c r="T12" s="72" t="s">
        <v>42</v>
      </c>
      <c r="U12" s="72" t="s">
        <v>125</v>
      </c>
      <c r="W12" s="73"/>
      <c r="X12" s="72" t="s">
        <v>21</v>
      </c>
      <c r="Y12" s="72" t="s">
        <v>53</v>
      </c>
    </row>
    <row r="13" spans="1:26" ht="20.149999999999999" customHeight="1" x14ac:dyDescent="0.35">
      <c r="A13" t="str">
        <f>COUNTIFS($K$6:K13,K13)&amp;K13</f>
        <v>5II</v>
      </c>
      <c r="B13" s="9">
        <v>8</v>
      </c>
      <c r="C13" s="8" t="s">
        <v>361</v>
      </c>
      <c r="D13" s="10" t="s">
        <v>185</v>
      </c>
      <c r="E13" s="8" t="s">
        <v>34</v>
      </c>
      <c r="F13" s="8" t="s">
        <v>282</v>
      </c>
      <c r="G13" s="8" t="s">
        <v>261</v>
      </c>
      <c r="H13" s="8" t="s">
        <v>438</v>
      </c>
      <c r="I13" s="10" t="s">
        <v>3</v>
      </c>
      <c r="J13" s="10" t="s">
        <v>70</v>
      </c>
      <c r="K13" s="10" t="s">
        <v>488</v>
      </c>
      <c r="L13" s="10"/>
      <c r="O13" s="63" t="str">
        <f t="shared" si="2"/>
        <v/>
      </c>
      <c r="P13" s="61" t="str">
        <f t="shared" si="0"/>
        <v/>
      </c>
      <c r="Q13" s="61" t="str">
        <f t="shared" si="1"/>
        <v/>
      </c>
      <c r="S13" s="63"/>
      <c r="T13" s="72" t="s">
        <v>47</v>
      </c>
      <c r="U13" s="72" t="s">
        <v>114</v>
      </c>
      <c r="W13" s="73"/>
      <c r="X13" s="72" t="s">
        <v>16</v>
      </c>
      <c r="Y13" s="72" t="s">
        <v>59</v>
      </c>
    </row>
    <row r="14" spans="1:26" ht="20.149999999999999" customHeight="1" x14ac:dyDescent="0.35">
      <c r="A14" t="str">
        <f>COUNTIFS($K$6:K14,K14)&amp;K14</f>
        <v>6II</v>
      </c>
      <c r="B14" s="9">
        <v>9</v>
      </c>
      <c r="C14" s="8" t="s">
        <v>17</v>
      </c>
      <c r="D14" s="10" t="s">
        <v>187</v>
      </c>
      <c r="E14" s="8" t="s">
        <v>54</v>
      </c>
      <c r="F14" s="8" t="s">
        <v>284</v>
      </c>
      <c r="G14" s="8" t="s">
        <v>261</v>
      </c>
      <c r="H14" s="8" t="s">
        <v>5</v>
      </c>
      <c r="I14" s="10" t="s">
        <v>3</v>
      </c>
      <c r="J14" s="10" t="s">
        <v>70</v>
      </c>
      <c r="K14" s="10" t="s">
        <v>488</v>
      </c>
      <c r="L14" s="10"/>
      <c r="O14" s="63" t="str">
        <f t="shared" si="2"/>
        <v/>
      </c>
      <c r="P14" s="61" t="str">
        <f t="shared" si="0"/>
        <v/>
      </c>
      <c r="Q14" s="61" t="str">
        <f t="shared" si="1"/>
        <v/>
      </c>
      <c r="S14" s="63"/>
      <c r="T14" s="72" t="s">
        <v>425</v>
      </c>
      <c r="U14" s="72" t="s">
        <v>123</v>
      </c>
      <c r="W14" s="73"/>
      <c r="X14" s="72" t="s">
        <v>28</v>
      </c>
      <c r="Y14" s="72" t="s">
        <v>90</v>
      </c>
    </row>
    <row r="15" spans="1:26" ht="20.149999999999999" customHeight="1" x14ac:dyDescent="0.35">
      <c r="A15" t="str">
        <f>COUNTIFS($K$6:K15,K15)&amp;K15</f>
        <v>7II</v>
      </c>
      <c r="B15" s="9">
        <v>10</v>
      </c>
      <c r="C15" s="8" t="s">
        <v>20</v>
      </c>
      <c r="D15" s="10" t="s">
        <v>188</v>
      </c>
      <c r="E15" s="8" t="s">
        <v>55</v>
      </c>
      <c r="F15" s="8" t="s">
        <v>285</v>
      </c>
      <c r="G15" s="8" t="s">
        <v>261</v>
      </c>
      <c r="H15" s="8" t="s">
        <v>439</v>
      </c>
      <c r="I15" s="10" t="s">
        <v>3</v>
      </c>
      <c r="J15" s="10" t="s">
        <v>70</v>
      </c>
      <c r="K15" s="10" t="s">
        <v>488</v>
      </c>
      <c r="L15" s="10"/>
      <c r="O15" s="47" t="str">
        <f t="shared" si="2"/>
        <v/>
      </c>
      <c r="P15" s="60" t="str">
        <f t="shared" si="0"/>
        <v/>
      </c>
      <c r="Q15" s="60" t="str">
        <f t="shared" si="1"/>
        <v/>
      </c>
      <c r="T15" s="69"/>
      <c r="U15" s="69"/>
      <c r="V15" s="69"/>
      <c r="X15" s="69"/>
      <c r="Y15" s="69"/>
      <c r="Z15" s="47"/>
    </row>
    <row r="16" spans="1:26" ht="20.149999999999999" customHeight="1" x14ac:dyDescent="0.35">
      <c r="A16" t="str">
        <f>COUNTIFS($K$6:K16,K16)&amp;K16</f>
        <v>8II</v>
      </c>
      <c r="B16" s="9">
        <v>11</v>
      </c>
      <c r="C16" s="8" t="s">
        <v>21</v>
      </c>
      <c r="D16" s="10" t="s">
        <v>189</v>
      </c>
      <c r="E16" s="8" t="s">
        <v>53</v>
      </c>
      <c r="F16" s="8" t="s">
        <v>286</v>
      </c>
      <c r="G16" s="8" t="s">
        <v>261</v>
      </c>
      <c r="H16" s="8" t="s">
        <v>50</v>
      </c>
      <c r="I16" s="10" t="s">
        <v>3</v>
      </c>
      <c r="J16" s="10" t="s">
        <v>70</v>
      </c>
      <c r="K16" s="10" t="s">
        <v>488</v>
      </c>
      <c r="L16" s="10"/>
      <c r="O16" s="47" t="str">
        <f t="shared" si="2"/>
        <v/>
      </c>
      <c r="P16" s="60" t="str">
        <f t="shared" si="0"/>
        <v/>
      </c>
      <c r="Q16" s="60" t="str">
        <f t="shared" si="1"/>
        <v/>
      </c>
      <c r="T16" s="69"/>
      <c r="U16" s="69"/>
      <c r="V16" s="69"/>
      <c r="X16" s="69"/>
      <c r="Y16" s="69"/>
      <c r="Z16" s="47"/>
    </row>
    <row r="17" spans="1:26" ht="20.149999999999999" customHeight="1" x14ac:dyDescent="0.35">
      <c r="A17" t="str">
        <f>COUNTIFS($K$6:K17,K17)&amp;K17</f>
        <v>4I</v>
      </c>
      <c r="B17" s="9">
        <v>12</v>
      </c>
      <c r="C17" s="8" t="s">
        <v>22</v>
      </c>
      <c r="D17" s="10" t="s">
        <v>190</v>
      </c>
      <c r="E17" s="8" t="s">
        <v>44</v>
      </c>
      <c r="F17" s="8" t="s">
        <v>287</v>
      </c>
      <c r="G17" s="8" t="s">
        <v>261</v>
      </c>
      <c r="H17" s="8" t="s">
        <v>191</v>
      </c>
      <c r="I17" s="10" t="s">
        <v>3</v>
      </c>
      <c r="J17" s="10" t="s">
        <v>70</v>
      </c>
      <c r="K17" s="10" t="s">
        <v>487</v>
      </c>
      <c r="L17" s="10"/>
      <c r="O17" s="47" t="str">
        <f t="shared" ref="O17:O22" si="3">IF(P16="","",O16+1)</f>
        <v/>
      </c>
      <c r="P17" s="60" t="str">
        <f t="shared" si="0"/>
        <v/>
      </c>
      <c r="Q17" s="60" t="str">
        <f t="shared" si="1"/>
        <v/>
      </c>
      <c r="T17" s="75" t="s">
        <v>495</v>
      </c>
      <c r="U17" s="127" t="s">
        <v>489</v>
      </c>
      <c r="V17" s="77"/>
      <c r="W17" s="77"/>
      <c r="X17" s="75" t="s">
        <v>495</v>
      </c>
      <c r="Y17" s="127" t="s">
        <v>490</v>
      </c>
      <c r="Z17" s="47"/>
    </row>
    <row r="18" spans="1:26" ht="20.149999999999999" customHeight="1" x14ac:dyDescent="0.35">
      <c r="A18" t="str">
        <f>COUNTIFS($K$6:K18,K18)&amp;K18</f>
        <v>5I</v>
      </c>
      <c r="B18" s="9">
        <v>13</v>
      </c>
      <c r="C18" s="8" t="s">
        <v>15</v>
      </c>
      <c r="D18" s="10" t="s">
        <v>192</v>
      </c>
      <c r="E18" s="8" t="s">
        <v>45</v>
      </c>
      <c r="F18" s="8" t="s">
        <v>288</v>
      </c>
      <c r="G18" s="8" t="s">
        <v>289</v>
      </c>
      <c r="H18" s="8" t="s">
        <v>193</v>
      </c>
      <c r="I18" s="10" t="s">
        <v>8</v>
      </c>
      <c r="J18" s="10" t="s">
        <v>70</v>
      </c>
      <c r="K18" s="10" t="s">
        <v>487</v>
      </c>
      <c r="L18" s="10"/>
      <c r="O18" s="47" t="str">
        <f t="shared" si="3"/>
        <v/>
      </c>
      <c r="P18" s="60" t="str">
        <f t="shared" si="0"/>
        <v/>
      </c>
      <c r="Q18" s="60" t="str">
        <f t="shared" si="1"/>
        <v/>
      </c>
      <c r="T18" s="70" t="s">
        <v>248</v>
      </c>
      <c r="U18" s="70" t="s">
        <v>9</v>
      </c>
      <c r="V18" s="69"/>
      <c r="X18" s="70" t="s">
        <v>248</v>
      </c>
      <c r="Y18" s="70" t="s">
        <v>9</v>
      </c>
      <c r="Z18" s="47"/>
    </row>
    <row r="19" spans="1:26" ht="20.149999999999999" customHeight="1" x14ac:dyDescent="0.35">
      <c r="A19" t="str">
        <f>COUNTIFS($K$6:K19,K19)&amp;K19</f>
        <v>6I</v>
      </c>
      <c r="B19" s="9">
        <v>14</v>
      </c>
      <c r="C19" s="8" t="s">
        <v>19</v>
      </c>
      <c r="D19" s="10" t="s">
        <v>194</v>
      </c>
      <c r="E19" s="8" t="s">
        <v>56</v>
      </c>
      <c r="F19" s="8" t="s">
        <v>290</v>
      </c>
      <c r="G19" s="8" t="s">
        <v>261</v>
      </c>
      <c r="H19" s="8" t="s">
        <v>474</v>
      </c>
      <c r="I19" s="10" t="s">
        <v>3</v>
      </c>
      <c r="J19" s="10" t="s">
        <v>70</v>
      </c>
      <c r="K19" s="10" t="s">
        <v>487</v>
      </c>
      <c r="L19" s="10"/>
      <c r="O19" s="47" t="str">
        <f t="shared" si="3"/>
        <v/>
      </c>
      <c r="P19" s="60" t="str">
        <f t="shared" si="0"/>
        <v/>
      </c>
      <c r="Q19" s="60" t="str">
        <f t="shared" si="1"/>
        <v/>
      </c>
      <c r="T19" s="72" t="s">
        <v>160</v>
      </c>
      <c r="U19" s="72" t="s">
        <v>92</v>
      </c>
      <c r="V19" s="69"/>
      <c r="X19" s="72" t="s">
        <v>112</v>
      </c>
      <c r="Y19" s="72" t="s">
        <v>146</v>
      </c>
      <c r="Z19" s="47"/>
    </row>
    <row r="20" spans="1:26" ht="20.149999999999999" customHeight="1" x14ac:dyDescent="0.35">
      <c r="A20" t="str">
        <f>COUNTIFS($K$6:K20,K20)&amp;K20</f>
        <v>7I</v>
      </c>
      <c r="B20" s="9">
        <v>15</v>
      </c>
      <c r="C20" s="8" t="s">
        <v>18</v>
      </c>
      <c r="D20" s="10" t="s">
        <v>196</v>
      </c>
      <c r="E20" s="8" t="s">
        <v>58</v>
      </c>
      <c r="F20" s="8" t="s">
        <v>293</v>
      </c>
      <c r="G20" s="8" t="s">
        <v>289</v>
      </c>
      <c r="H20" s="8" t="s">
        <v>64</v>
      </c>
      <c r="I20" s="10" t="s">
        <v>3</v>
      </c>
      <c r="J20" s="10" t="s">
        <v>70</v>
      </c>
      <c r="K20" s="10" t="s">
        <v>487</v>
      </c>
      <c r="L20" s="10"/>
      <c r="O20" s="47" t="str">
        <f t="shared" si="3"/>
        <v/>
      </c>
      <c r="P20" s="60" t="str">
        <f t="shared" si="0"/>
        <v/>
      </c>
      <c r="Q20" s="60" t="str">
        <f t="shared" si="1"/>
        <v/>
      </c>
      <c r="T20" s="72" t="s">
        <v>29</v>
      </c>
      <c r="U20" s="72" t="s">
        <v>93</v>
      </c>
      <c r="V20" s="69"/>
      <c r="X20" s="72" t="s">
        <v>221</v>
      </c>
      <c r="Y20" s="72" t="s">
        <v>151</v>
      </c>
      <c r="Z20" s="47"/>
    </row>
    <row r="21" spans="1:26" ht="20.149999999999999" customHeight="1" x14ac:dyDescent="0.35">
      <c r="A21" t="str">
        <f>COUNTIFS($K$6:K21,K21)&amp;K21</f>
        <v>9II</v>
      </c>
      <c r="B21" s="9">
        <v>16</v>
      </c>
      <c r="C21" s="8" t="s">
        <v>16</v>
      </c>
      <c r="D21" s="10" t="s">
        <v>197</v>
      </c>
      <c r="E21" s="8" t="s">
        <v>59</v>
      </c>
      <c r="F21" s="8" t="s">
        <v>294</v>
      </c>
      <c r="G21" s="8" t="s">
        <v>263</v>
      </c>
      <c r="H21" s="8" t="s">
        <v>198</v>
      </c>
      <c r="I21" s="10" t="s">
        <v>8</v>
      </c>
      <c r="J21" s="10" t="s">
        <v>70</v>
      </c>
      <c r="K21" s="10" t="s">
        <v>488</v>
      </c>
      <c r="L21" s="10"/>
      <c r="O21" s="47" t="str">
        <f t="shared" si="3"/>
        <v/>
      </c>
      <c r="P21" s="60" t="str">
        <f t="shared" si="0"/>
        <v/>
      </c>
      <c r="Q21" s="60" t="str">
        <f t="shared" si="1"/>
        <v/>
      </c>
      <c r="T21" s="72" t="s">
        <v>43</v>
      </c>
      <c r="U21" s="72" t="s">
        <v>115</v>
      </c>
      <c r="V21" s="69"/>
      <c r="X21" s="72" t="s">
        <v>155</v>
      </c>
      <c r="Y21" s="72" t="s">
        <v>245</v>
      </c>
      <c r="Z21" s="47"/>
    </row>
    <row r="22" spans="1:26" ht="20.149999999999999" customHeight="1" x14ac:dyDescent="0.35">
      <c r="A22" t="str">
        <f>COUNTIFS($K$6:K22,K22)&amp;K22</f>
        <v>10II</v>
      </c>
      <c r="B22" s="9">
        <v>17</v>
      </c>
      <c r="C22" s="8" t="s">
        <v>28</v>
      </c>
      <c r="D22" s="10" t="s">
        <v>199</v>
      </c>
      <c r="E22" s="8" t="s">
        <v>90</v>
      </c>
      <c r="F22" s="8" t="s">
        <v>295</v>
      </c>
      <c r="G22" s="8" t="s">
        <v>263</v>
      </c>
      <c r="H22" s="8" t="s">
        <v>200</v>
      </c>
      <c r="I22" s="10" t="s">
        <v>3</v>
      </c>
      <c r="J22" s="10" t="s">
        <v>70</v>
      </c>
      <c r="K22" s="10" t="s">
        <v>488</v>
      </c>
      <c r="L22" s="10"/>
      <c r="O22" s="47" t="str">
        <f t="shared" si="3"/>
        <v/>
      </c>
      <c r="P22" s="60" t="str">
        <f t="shared" si="0"/>
        <v/>
      </c>
      <c r="Q22" s="60" t="str">
        <f t="shared" si="1"/>
        <v/>
      </c>
      <c r="T22" s="72" t="s">
        <v>48</v>
      </c>
      <c r="U22" s="72" t="s">
        <v>106</v>
      </c>
      <c r="V22" s="69"/>
      <c r="X22" s="72" t="s">
        <v>154</v>
      </c>
      <c r="Y22" s="72" t="s">
        <v>244</v>
      </c>
      <c r="Z22" s="47"/>
    </row>
    <row r="23" spans="1:26" ht="20.149999999999999" customHeight="1" x14ac:dyDescent="0.35">
      <c r="A23" t="str">
        <f>COUNTIFS($K$6:K23,K23)&amp;K23</f>
        <v>1III</v>
      </c>
      <c r="B23" s="9">
        <v>18</v>
      </c>
      <c r="C23" s="8" t="s">
        <v>160</v>
      </c>
      <c r="D23" s="10" t="s">
        <v>202</v>
      </c>
      <c r="E23" s="8" t="s">
        <v>92</v>
      </c>
      <c r="F23" s="8" t="s">
        <v>297</v>
      </c>
      <c r="G23" s="8" t="s">
        <v>263</v>
      </c>
      <c r="H23" s="8" t="s">
        <v>40</v>
      </c>
      <c r="I23" s="10" t="s">
        <v>3</v>
      </c>
      <c r="J23" s="10" t="s">
        <v>70</v>
      </c>
      <c r="K23" s="10" t="s">
        <v>489</v>
      </c>
      <c r="L23" s="10"/>
      <c r="O23" s="47" t="str">
        <f t="shared" ref="O23:O35" si="4">IF(P22="","",O22+1)</f>
        <v/>
      </c>
      <c r="P23" s="60" t="str">
        <f t="shared" si="0"/>
        <v/>
      </c>
      <c r="Q23" s="60" t="str">
        <f t="shared" si="1"/>
        <v/>
      </c>
      <c r="T23" s="72" t="s">
        <v>63</v>
      </c>
      <c r="U23" s="72" t="s">
        <v>109</v>
      </c>
      <c r="V23" s="69"/>
      <c r="X23" s="72" t="s">
        <v>430</v>
      </c>
      <c r="Y23" s="72" t="s">
        <v>344</v>
      </c>
      <c r="Z23" s="47"/>
    </row>
    <row r="24" spans="1:26" ht="20.149999999999999" customHeight="1" x14ac:dyDescent="0.35">
      <c r="A24" t="str">
        <f>COUNTIFS($K$6:K24,K24)&amp;K24</f>
        <v>2III</v>
      </c>
      <c r="B24" s="9">
        <v>19</v>
      </c>
      <c r="C24" s="8" t="s">
        <v>29</v>
      </c>
      <c r="D24" s="10" t="s">
        <v>203</v>
      </c>
      <c r="E24" s="8" t="s">
        <v>93</v>
      </c>
      <c r="F24" s="8" t="s">
        <v>298</v>
      </c>
      <c r="G24" s="8" t="s">
        <v>263</v>
      </c>
      <c r="H24" s="8" t="s">
        <v>466</v>
      </c>
      <c r="I24" s="10" t="s">
        <v>3</v>
      </c>
      <c r="J24" s="10" t="s">
        <v>70</v>
      </c>
      <c r="K24" s="10" t="s">
        <v>489</v>
      </c>
      <c r="L24" s="10"/>
      <c r="O24" s="47" t="str">
        <f t="shared" si="4"/>
        <v/>
      </c>
      <c r="P24" s="60" t="str">
        <f t="shared" si="0"/>
        <v/>
      </c>
      <c r="Q24" s="60" t="str">
        <f t="shared" si="1"/>
        <v/>
      </c>
      <c r="T24" s="72" t="s">
        <v>107</v>
      </c>
      <c r="U24" s="72" t="s">
        <v>143</v>
      </c>
      <c r="V24" s="69"/>
      <c r="X24" s="72" t="s">
        <v>396</v>
      </c>
      <c r="Y24" s="72" t="s">
        <v>392</v>
      </c>
      <c r="Z24" s="47"/>
    </row>
    <row r="25" spans="1:26" ht="20.149999999999999" customHeight="1" x14ac:dyDescent="0.35">
      <c r="A25" t="str">
        <f>COUNTIFS($K$6:K25,K25)&amp;K25</f>
        <v>8I</v>
      </c>
      <c r="B25" s="9">
        <v>20</v>
      </c>
      <c r="C25" s="8" t="s">
        <v>42</v>
      </c>
      <c r="D25" s="10" t="s">
        <v>204</v>
      </c>
      <c r="E25" s="8" t="s">
        <v>125</v>
      </c>
      <c r="F25" s="8" t="s">
        <v>299</v>
      </c>
      <c r="G25" s="8" t="s">
        <v>289</v>
      </c>
      <c r="H25" s="8" t="s">
        <v>39</v>
      </c>
      <c r="I25" s="10" t="s">
        <v>3</v>
      </c>
      <c r="J25" s="10" t="s">
        <v>70</v>
      </c>
      <c r="K25" s="10" t="s">
        <v>487</v>
      </c>
      <c r="L25" s="10"/>
      <c r="O25" s="47" t="str">
        <f t="shared" si="4"/>
        <v/>
      </c>
      <c r="P25" s="60" t="str">
        <f t="shared" si="0"/>
        <v/>
      </c>
      <c r="Q25" s="60" t="str">
        <f t="shared" si="1"/>
        <v/>
      </c>
      <c r="T25" s="72" t="s">
        <v>108</v>
      </c>
      <c r="U25" s="72" t="s">
        <v>144</v>
      </c>
      <c r="V25" s="69"/>
      <c r="X25" s="72" t="s">
        <v>352</v>
      </c>
      <c r="Y25" s="72" t="s">
        <v>12</v>
      </c>
      <c r="Z25" s="47"/>
    </row>
    <row r="26" spans="1:26" ht="20.149999999999999" customHeight="1" x14ac:dyDescent="0.35">
      <c r="A26" t="str">
        <f>COUNTIFS($K$6:K26,K26)&amp;K26</f>
        <v>3III</v>
      </c>
      <c r="B26" s="9">
        <v>21</v>
      </c>
      <c r="C26" s="8" t="s">
        <v>43</v>
      </c>
      <c r="D26" s="10" t="s">
        <v>205</v>
      </c>
      <c r="E26" s="8" t="s">
        <v>115</v>
      </c>
      <c r="F26" s="8" t="s">
        <v>300</v>
      </c>
      <c r="G26" s="8" t="s">
        <v>289</v>
      </c>
      <c r="H26" s="8" t="s">
        <v>61</v>
      </c>
      <c r="I26" s="10" t="s">
        <v>3</v>
      </c>
      <c r="J26" s="10" t="s">
        <v>70</v>
      </c>
      <c r="K26" s="10" t="s">
        <v>489</v>
      </c>
      <c r="L26" s="10"/>
      <c r="O26" s="47" t="str">
        <f t="shared" si="4"/>
        <v/>
      </c>
      <c r="P26" s="60" t="str">
        <f t="shared" si="0"/>
        <v/>
      </c>
      <c r="Q26" s="60" t="str">
        <f t="shared" si="1"/>
        <v/>
      </c>
      <c r="T26" s="72" t="s">
        <v>110</v>
      </c>
      <c r="U26" s="72" t="s">
        <v>145</v>
      </c>
      <c r="V26" s="69"/>
      <c r="X26" s="72" t="s">
        <v>353</v>
      </c>
      <c r="Y26" s="72" t="s">
        <v>12</v>
      </c>
      <c r="Z26" s="47"/>
    </row>
    <row r="27" spans="1:26" ht="20.149999999999999" customHeight="1" x14ac:dyDescent="0.35">
      <c r="A27" t="str">
        <f>COUNTIFS($K$6:K27,K27)&amp;K27</f>
        <v>9I</v>
      </c>
      <c r="B27" s="9">
        <v>22</v>
      </c>
      <c r="C27" s="8" t="s">
        <v>47</v>
      </c>
      <c r="D27" s="10" t="s">
        <v>206</v>
      </c>
      <c r="E27" s="8" t="s">
        <v>114</v>
      </c>
      <c r="F27" s="8" t="s">
        <v>301</v>
      </c>
      <c r="G27" s="8" t="s">
        <v>261</v>
      </c>
      <c r="H27" s="8" t="s">
        <v>62</v>
      </c>
      <c r="I27" s="10" t="s">
        <v>3</v>
      </c>
      <c r="J27" s="10" t="s">
        <v>70</v>
      </c>
      <c r="K27" s="10" t="s">
        <v>487</v>
      </c>
      <c r="L27" s="10"/>
      <c r="O27" s="47" t="str">
        <f t="shared" si="4"/>
        <v/>
      </c>
      <c r="P27" s="60" t="str">
        <f t="shared" si="0"/>
        <v/>
      </c>
      <c r="Q27" s="60" t="str">
        <f t="shared" si="1"/>
        <v/>
      </c>
      <c r="T27" s="72" t="s">
        <v>113</v>
      </c>
      <c r="U27" s="72" t="s">
        <v>147</v>
      </c>
      <c r="V27" s="69"/>
      <c r="X27" s="72" t="s">
        <v>464</v>
      </c>
      <c r="Y27" s="72" t="s">
        <v>12</v>
      </c>
      <c r="Z27" s="47"/>
    </row>
    <row r="28" spans="1:26" ht="20.149999999999999" customHeight="1" x14ac:dyDescent="0.35">
      <c r="A28" t="str">
        <f>COUNTIFS($K$6:K28,K28)&amp;K28</f>
        <v>4III</v>
      </c>
      <c r="B28" s="9">
        <v>23</v>
      </c>
      <c r="C28" s="8" t="s">
        <v>48</v>
      </c>
      <c r="D28" s="10" t="s">
        <v>208</v>
      </c>
      <c r="E28" s="8" t="s">
        <v>106</v>
      </c>
      <c r="F28" s="8" t="s">
        <v>302</v>
      </c>
      <c r="G28" s="8" t="s">
        <v>261</v>
      </c>
      <c r="H28" s="8" t="s">
        <v>38</v>
      </c>
      <c r="I28" s="10" t="s">
        <v>3</v>
      </c>
      <c r="J28" s="10" t="s">
        <v>70</v>
      </c>
      <c r="K28" s="10" t="s">
        <v>489</v>
      </c>
      <c r="L28" s="10"/>
      <c r="O28" s="47" t="str">
        <f t="shared" si="4"/>
        <v/>
      </c>
      <c r="P28" s="60" t="str">
        <f t="shared" si="0"/>
        <v/>
      </c>
      <c r="Q28" s="60" t="str">
        <f t="shared" si="1"/>
        <v/>
      </c>
      <c r="T28" s="72" t="s">
        <v>121</v>
      </c>
      <c r="U28" s="72" t="s">
        <v>150</v>
      </c>
      <c r="V28" s="69"/>
      <c r="X28" s="74" t="s">
        <v>496</v>
      </c>
      <c r="Y28" s="74" t="s">
        <v>12</v>
      </c>
      <c r="Z28" s="47"/>
    </row>
    <row r="29" spans="1:26" ht="20.149999999999999" customHeight="1" x14ac:dyDescent="0.35">
      <c r="A29" t="str">
        <f>COUNTIFS($K$6:K29,K29)&amp;K29</f>
        <v>5III</v>
      </c>
      <c r="B29" s="9">
        <v>24</v>
      </c>
      <c r="C29" s="8" t="s">
        <v>63</v>
      </c>
      <c r="D29" s="10" t="s">
        <v>209</v>
      </c>
      <c r="E29" s="8" t="s">
        <v>109</v>
      </c>
      <c r="F29" s="8" t="s">
        <v>303</v>
      </c>
      <c r="G29" s="8" t="s">
        <v>261</v>
      </c>
      <c r="H29" s="8" t="s">
        <v>51</v>
      </c>
      <c r="I29" s="10" t="s">
        <v>3</v>
      </c>
      <c r="J29" s="10" t="s">
        <v>70</v>
      </c>
      <c r="K29" s="10" t="s">
        <v>489</v>
      </c>
      <c r="L29" s="10"/>
      <c r="O29" s="47" t="str">
        <f t="shared" si="4"/>
        <v/>
      </c>
      <c r="P29" s="60" t="str">
        <f t="shared" si="0"/>
        <v/>
      </c>
      <c r="Q29" s="60" t="str">
        <f t="shared" si="1"/>
        <v/>
      </c>
      <c r="T29" s="69"/>
      <c r="U29" s="69"/>
      <c r="V29" s="69"/>
      <c r="Z29" s="47"/>
    </row>
    <row r="30" spans="1:26" ht="20.149999999999999" customHeight="1" x14ac:dyDescent="0.35">
      <c r="A30" t="str">
        <f>COUNTIFS($K$6:K30,K30)&amp;K30</f>
        <v>10I</v>
      </c>
      <c r="B30" s="9">
        <v>25</v>
      </c>
      <c r="C30" s="8" t="s">
        <v>425</v>
      </c>
      <c r="D30" s="10" t="s">
        <v>210</v>
      </c>
      <c r="E30" s="8" t="s">
        <v>123</v>
      </c>
      <c r="F30" s="8" t="s">
        <v>304</v>
      </c>
      <c r="G30" s="8" t="s">
        <v>261</v>
      </c>
      <c r="H30" s="8" t="s">
        <v>211</v>
      </c>
      <c r="I30" s="10" t="s">
        <v>3</v>
      </c>
      <c r="J30" s="10" t="s">
        <v>70</v>
      </c>
      <c r="K30" s="10" t="s">
        <v>487</v>
      </c>
      <c r="L30" s="10"/>
      <c r="O30" s="47" t="str">
        <f t="shared" si="4"/>
        <v/>
      </c>
      <c r="P30" s="60" t="str">
        <f t="shared" si="0"/>
        <v/>
      </c>
      <c r="Q30" s="60" t="str">
        <f t="shared" si="1"/>
        <v/>
      </c>
      <c r="T30" s="69"/>
      <c r="U30" s="69"/>
      <c r="V30" s="69"/>
      <c r="X30" s="69"/>
      <c r="Y30" s="69"/>
      <c r="Z30" s="47"/>
    </row>
    <row r="31" spans="1:26" ht="20.149999999999999" customHeight="1" x14ac:dyDescent="0.35">
      <c r="A31" t="str">
        <f>COUNTIFS($K$6:K31,K31)&amp;K31</f>
        <v>6III</v>
      </c>
      <c r="B31" s="9">
        <v>26</v>
      </c>
      <c r="C31" s="8" t="s">
        <v>107</v>
      </c>
      <c r="D31" s="10" t="s">
        <v>213</v>
      </c>
      <c r="E31" s="8" t="s">
        <v>143</v>
      </c>
      <c r="F31" s="8" t="s">
        <v>306</v>
      </c>
      <c r="G31" s="8" t="s">
        <v>261</v>
      </c>
      <c r="H31" s="8" t="s">
        <v>111</v>
      </c>
      <c r="I31" s="10" t="s">
        <v>3</v>
      </c>
      <c r="J31" s="10" t="s">
        <v>70</v>
      </c>
      <c r="K31" s="10" t="s">
        <v>489</v>
      </c>
      <c r="L31" s="10"/>
      <c r="O31" s="47" t="str">
        <f t="shared" si="4"/>
        <v/>
      </c>
      <c r="P31" s="60" t="str">
        <f t="shared" si="0"/>
        <v/>
      </c>
      <c r="Q31" s="60" t="str">
        <f t="shared" si="1"/>
        <v/>
      </c>
      <c r="T31" s="75" t="s">
        <v>495</v>
      </c>
      <c r="U31" s="127" t="s">
        <v>491</v>
      </c>
      <c r="V31" s="77"/>
      <c r="W31" s="77"/>
      <c r="X31" s="75" t="s">
        <v>495</v>
      </c>
      <c r="Y31" s="127" t="s">
        <v>492</v>
      </c>
      <c r="Z31" s="47"/>
    </row>
    <row r="32" spans="1:26" ht="20.149999999999999" customHeight="1" x14ac:dyDescent="0.35">
      <c r="A32" t="str">
        <f>COUNTIFS($K$6:K32,K32)&amp;K32</f>
        <v>7III</v>
      </c>
      <c r="B32" s="9">
        <v>27</v>
      </c>
      <c r="C32" s="8" t="s">
        <v>108</v>
      </c>
      <c r="D32" s="10" t="s">
        <v>214</v>
      </c>
      <c r="E32" s="8" t="s">
        <v>144</v>
      </c>
      <c r="F32" s="8" t="s">
        <v>307</v>
      </c>
      <c r="G32" s="8" t="s">
        <v>261</v>
      </c>
      <c r="H32" s="8" t="s">
        <v>49</v>
      </c>
      <c r="I32" s="10" t="s">
        <v>3</v>
      </c>
      <c r="J32" s="10" t="s">
        <v>70</v>
      </c>
      <c r="K32" s="10" t="s">
        <v>489</v>
      </c>
      <c r="L32" s="10"/>
      <c r="O32" s="47" t="str">
        <f t="shared" si="4"/>
        <v/>
      </c>
      <c r="P32" s="60" t="str">
        <f t="shared" si="0"/>
        <v/>
      </c>
      <c r="Q32" s="60" t="str">
        <f t="shared" si="1"/>
        <v/>
      </c>
      <c r="T32" s="70" t="s">
        <v>248</v>
      </c>
      <c r="U32" s="70" t="s">
        <v>9</v>
      </c>
      <c r="V32" s="69"/>
      <c r="X32" s="70" t="s">
        <v>248</v>
      </c>
      <c r="Y32" s="70" t="s">
        <v>9</v>
      </c>
      <c r="Z32" s="47"/>
    </row>
    <row r="33" spans="1:26" ht="20.149999999999999" customHeight="1" x14ac:dyDescent="0.35">
      <c r="A33" t="str">
        <f>COUNTIFS($K$6:K33,K33)&amp;K33</f>
        <v>8III</v>
      </c>
      <c r="B33" s="9">
        <v>28</v>
      </c>
      <c r="C33" s="8" t="s">
        <v>110</v>
      </c>
      <c r="D33" s="10" t="s">
        <v>215</v>
      </c>
      <c r="E33" s="8" t="s">
        <v>145</v>
      </c>
      <c r="F33" s="8" t="s">
        <v>308</v>
      </c>
      <c r="G33" s="8" t="s">
        <v>261</v>
      </c>
      <c r="H33" s="8" t="s">
        <v>65</v>
      </c>
      <c r="I33" s="10" t="s">
        <v>3</v>
      </c>
      <c r="J33" s="10" t="s">
        <v>70</v>
      </c>
      <c r="K33" s="10" t="s">
        <v>489</v>
      </c>
      <c r="L33" s="10"/>
      <c r="O33" s="47" t="str">
        <f t="shared" si="4"/>
        <v/>
      </c>
      <c r="P33" s="60" t="str">
        <f t="shared" si="0"/>
        <v/>
      </c>
      <c r="Q33" s="60" t="str">
        <f t="shared" si="1"/>
        <v/>
      </c>
      <c r="T33" s="72" t="s">
        <v>128</v>
      </c>
      <c r="U33" s="72" t="s">
        <v>153</v>
      </c>
      <c r="V33" s="69"/>
      <c r="X33" s="72" t="s">
        <v>347</v>
      </c>
      <c r="Y33" s="72" t="s">
        <v>12</v>
      </c>
      <c r="Z33" s="47"/>
    </row>
    <row r="34" spans="1:26" ht="20.149999999999999" customHeight="1" x14ac:dyDescent="0.35">
      <c r="A34" t="str">
        <f>COUNTIFS($K$6:K34,K34)&amp;K34</f>
        <v>1IV</v>
      </c>
      <c r="B34" s="9">
        <v>29</v>
      </c>
      <c r="C34" s="8" t="s">
        <v>112</v>
      </c>
      <c r="D34" s="10" t="s">
        <v>216</v>
      </c>
      <c r="E34" s="8" t="s">
        <v>146</v>
      </c>
      <c r="F34" s="8" t="s">
        <v>309</v>
      </c>
      <c r="G34" s="8" t="s">
        <v>261</v>
      </c>
      <c r="H34" s="8" t="s">
        <v>207</v>
      </c>
      <c r="I34" s="10" t="s">
        <v>3</v>
      </c>
      <c r="J34" s="10" t="s">
        <v>70</v>
      </c>
      <c r="K34" s="10" t="s">
        <v>490</v>
      </c>
      <c r="L34" s="10"/>
      <c r="O34" s="47" t="str">
        <f t="shared" si="4"/>
        <v/>
      </c>
      <c r="P34" s="60" t="str">
        <f t="shared" si="0"/>
        <v/>
      </c>
      <c r="Q34" s="60" t="str">
        <f t="shared" si="1"/>
        <v/>
      </c>
      <c r="T34" s="72" t="s">
        <v>138</v>
      </c>
      <c r="U34" s="72" t="s">
        <v>234</v>
      </c>
      <c r="V34" s="69"/>
      <c r="X34" s="72" t="s">
        <v>348</v>
      </c>
      <c r="Y34" s="72" t="s">
        <v>12</v>
      </c>
      <c r="Z34" s="47"/>
    </row>
    <row r="35" spans="1:26" ht="20.149999999999999" customHeight="1" x14ac:dyDescent="0.35">
      <c r="A35" t="str">
        <f>COUNTIFS($K$6:K35,K35)&amp;K35</f>
        <v>9III</v>
      </c>
      <c r="B35" s="9">
        <v>30</v>
      </c>
      <c r="C35" s="8" t="s">
        <v>113</v>
      </c>
      <c r="D35" s="10" t="s">
        <v>217</v>
      </c>
      <c r="E35" s="8" t="s">
        <v>147</v>
      </c>
      <c r="F35" s="8" t="s">
        <v>310</v>
      </c>
      <c r="G35" s="8" t="s">
        <v>261</v>
      </c>
      <c r="H35" s="8" t="s">
        <v>477</v>
      </c>
      <c r="I35" s="10" t="s">
        <v>3</v>
      </c>
      <c r="J35" s="10" t="s">
        <v>70</v>
      </c>
      <c r="K35" s="10" t="s">
        <v>489</v>
      </c>
      <c r="L35" s="10"/>
      <c r="O35" s="47" t="str">
        <f t="shared" si="4"/>
        <v/>
      </c>
      <c r="P35" s="60" t="str">
        <f t="shared" si="0"/>
        <v/>
      </c>
      <c r="Q35" s="60" t="str">
        <f t="shared" si="1"/>
        <v/>
      </c>
      <c r="T35" s="72" t="s">
        <v>139</v>
      </c>
      <c r="U35" s="72" t="s">
        <v>240</v>
      </c>
      <c r="V35" s="69"/>
      <c r="X35" s="72" t="s">
        <v>349</v>
      </c>
      <c r="Y35" s="72" t="s">
        <v>12</v>
      </c>
      <c r="Z35" s="47"/>
    </row>
    <row r="36" spans="1:26" ht="20.149999999999999" customHeight="1" x14ac:dyDescent="0.35">
      <c r="A36" t="str">
        <f>COUNTIFS($K$6:K36,K36)&amp;K36</f>
        <v>10III</v>
      </c>
      <c r="B36" s="9">
        <v>31</v>
      </c>
      <c r="C36" s="8" t="s">
        <v>121</v>
      </c>
      <c r="D36" s="10" t="s">
        <v>220</v>
      </c>
      <c r="E36" s="8" t="s">
        <v>150</v>
      </c>
      <c r="F36" s="8" t="s">
        <v>313</v>
      </c>
      <c r="G36" s="8" t="s">
        <v>281</v>
      </c>
      <c r="H36" s="8" t="s">
        <v>440</v>
      </c>
      <c r="I36" s="10" t="s">
        <v>3</v>
      </c>
      <c r="J36" s="10" t="s">
        <v>70</v>
      </c>
      <c r="K36" s="10" t="s">
        <v>489</v>
      </c>
      <c r="L36" s="10"/>
      <c r="T36" s="72" t="s">
        <v>127</v>
      </c>
      <c r="U36" s="72" t="s">
        <v>239</v>
      </c>
      <c r="V36" s="69"/>
      <c r="X36" s="72" t="s">
        <v>350</v>
      </c>
      <c r="Y36" s="72" t="s">
        <v>12</v>
      </c>
      <c r="Z36" s="47"/>
    </row>
    <row r="37" spans="1:26" ht="20.149999999999999" customHeight="1" x14ac:dyDescent="0.35">
      <c r="A37" t="str">
        <f>COUNTIFS($K$6:K37,K37)&amp;K37</f>
        <v>2IV</v>
      </c>
      <c r="B37" s="9">
        <v>32</v>
      </c>
      <c r="C37" s="8" t="s">
        <v>221</v>
      </c>
      <c r="D37" s="10" t="s">
        <v>222</v>
      </c>
      <c r="E37" s="8" t="s">
        <v>151</v>
      </c>
      <c r="F37" s="8" t="s">
        <v>316</v>
      </c>
      <c r="G37" s="8" t="s">
        <v>261</v>
      </c>
      <c r="H37" s="8" t="s">
        <v>473</v>
      </c>
      <c r="I37" s="10" t="s">
        <v>3</v>
      </c>
      <c r="J37" s="10" t="s">
        <v>70</v>
      </c>
      <c r="K37" s="10" t="s">
        <v>490</v>
      </c>
      <c r="L37" s="10"/>
      <c r="T37" s="72" t="s">
        <v>229</v>
      </c>
      <c r="U37" s="72" t="s">
        <v>339</v>
      </c>
      <c r="V37" s="69"/>
      <c r="X37" s="72" t="s">
        <v>351</v>
      </c>
      <c r="Y37" s="72" t="s">
        <v>12</v>
      </c>
      <c r="Z37" s="47"/>
    </row>
    <row r="38" spans="1:26" ht="20.149999999999999" customHeight="1" x14ac:dyDescent="0.35">
      <c r="A38" t="str">
        <f>COUNTIFS($K$6:K38,K38)&amp;K38</f>
        <v>1V</v>
      </c>
      <c r="B38" s="9">
        <v>33</v>
      </c>
      <c r="C38" s="8" t="s">
        <v>128</v>
      </c>
      <c r="D38" s="10" t="s">
        <v>225</v>
      </c>
      <c r="E38" s="8" t="s">
        <v>153</v>
      </c>
      <c r="F38" s="8" t="s">
        <v>319</v>
      </c>
      <c r="G38" s="8" t="s">
        <v>320</v>
      </c>
      <c r="H38" s="8" t="s">
        <v>478</v>
      </c>
      <c r="I38" s="10" t="s">
        <v>3</v>
      </c>
      <c r="J38" s="10" t="s">
        <v>70</v>
      </c>
      <c r="K38" s="10" t="s">
        <v>491</v>
      </c>
      <c r="L38" s="10"/>
      <c r="T38" s="72" t="s">
        <v>161</v>
      </c>
      <c r="U38" s="72" t="s">
        <v>340</v>
      </c>
      <c r="V38" s="69"/>
      <c r="X38" s="72" t="s">
        <v>395</v>
      </c>
      <c r="Y38" s="72" t="s">
        <v>12</v>
      </c>
      <c r="Z38" s="47"/>
    </row>
    <row r="39" spans="1:26" ht="20.149999999999999" customHeight="1" x14ac:dyDescent="0.35">
      <c r="A39" t="str">
        <f>COUNTIFS($K$6:K39,K39)&amp;K39</f>
        <v>2V</v>
      </c>
      <c r="B39" s="9">
        <v>34</v>
      </c>
      <c r="C39" s="8" t="s">
        <v>138</v>
      </c>
      <c r="D39" s="10" t="s">
        <v>235</v>
      </c>
      <c r="E39" s="8" t="s">
        <v>234</v>
      </c>
      <c r="F39" s="8" t="s">
        <v>321</v>
      </c>
      <c r="G39" s="8" t="s">
        <v>259</v>
      </c>
      <c r="H39" s="8" t="s">
        <v>131</v>
      </c>
      <c r="I39" s="10" t="s">
        <v>3</v>
      </c>
      <c r="J39" s="10" t="s">
        <v>70</v>
      </c>
      <c r="K39" s="10" t="s">
        <v>491</v>
      </c>
      <c r="L39" s="10"/>
      <c r="T39" s="72" t="s">
        <v>162</v>
      </c>
      <c r="U39" s="72" t="s">
        <v>341</v>
      </c>
      <c r="V39" s="69"/>
      <c r="X39" s="72" t="s">
        <v>445</v>
      </c>
      <c r="Y39" s="72" t="s">
        <v>12</v>
      </c>
      <c r="Z39" s="47"/>
    </row>
    <row r="40" spans="1:26" ht="20.149999999999999" customHeight="1" x14ac:dyDescent="0.35">
      <c r="A40" t="str">
        <f>COUNTIFS($K$6:K40,K40)&amp;K40</f>
        <v>3V</v>
      </c>
      <c r="B40" s="9">
        <v>35</v>
      </c>
      <c r="C40" s="8" t="s">
        <v>139</v>
      </c>
      <c r="D40" s="10" t="s">
        <v>236</v>
      </c>
      <c r="E40" s="8" t="s">
        <v>240</v>
      </c>
      <c r="F40" s="8" t="s">
        <v>322</v>
      </c>
      <c r="G40" s="8" t="s">
        <v>261</v>
      </c>
      <c r="H40" s="8" t="s">
        <v>60</v>
      </c>
      <c r="I40" s="10" t="s">
        <v>3</v>
      </c>
      <c r="J40" s="10" t="s">
        <v>70</v>
      </c>
      <c r="K40" s="10" t="s">
        <v>491</v>
      </c>
      <c r="L40" s="10"/>
      <c r="T40" s="72" t="s">
        <v>156</v>
      </c>
      <c r="U40" s="72" t="s">
        <v>343</v>
      </c>
      <c r="V40" s="69"/>
      <c r="X40" s="72" t="s">
        <v>447</v>
      </c>
      <c r="Y40" s="72" t="s">
        <v>12</v>
      </c>
      <c r="Z40" s="47"/>
    </row>
    <row r="41" spans="1:26" ht="20.149999999999999" customHeight="1" x14ac:dyDescent="0.35">
      <c r="A41" t="str">
        <f>COUNTIFS($K$6:K41,K41)&amp;K41</f>
        <v>4V</v>
      </c>
      <c r="B41" s="9">
        <v>36</v>
      </c>
      <c r="C41" s="8" t="s">
        <v>127</v>
      </c>
      <c r="D41" s="10" t="s">
        <v>237</v>
      </c>
      <c r="E41" s="8" t="s">
        <v>239</v>
      </c>
      <c r="F41" s="8" t="s">
        <v>323</v>
      </c>
      <c r="G41" s="8" t="s">
        <v>261</v>
      </c>
      <c r="H41" s="8" t="s">
        <v>481</v>
      </c>
      <c r="I41" s="10" t="s">
        <v>3</v>
      </c>
      <c r="J41" s="10" t="s">
        <v>70</v>
      </c>
      <c r="K41" s="10" t="s">
        <v>491</v>
      </c>
      <c r="L41" s="10"/>
      <c r="T41" s="72" t="s">
        <v>157</v>
      </c>
      <c r="U41" s="72" t="s">
        <v>391</v>
      </c>
      <c r="V41" s="69"/>
      <c r="X41" s="72" t="s">
        <v>449</v>
      </c>
      <c r="Y41" s="72" t="s">
        <v>12</v>
      </c>
      <c r="Z41" s="47"/>
    </row>
    <row r="42" spans="1:26" ht="20.149999999999999" customHeight="1" x14ac:dyDescent="0.35">
      <c r="A42" t="str">
        <f>COUNTIFS($K$6:K42,K42)&amp;K42</f>
        <v>3IV</v>
      </c>
      <c r="B42" s="9">
        <v>37</v>
      </c>
      <c r="C42" s="8" t="s">
        <v>155</v>
      </c>
      <c r="D42" s="10" t="s">
        <v>242</v>
      </c>
      <c r="E42" s="8" t="s">
        <v>245</v>
      </c>
      <c r="F42" s="8" t="s">
        <v>325</v>
      </c>
      <c r="G42" s="8" t="s">
        <v>289</v>
      </c>
      <c r="H42" s="8" t="s">
        <v>227</v>
      </c>
      <c r="I42" s="10" t="s">
        <v>8</v>
      </c>
      <c r="J42" s="10" t="s">
        <v>70</v>
      </c>
      <c r="K42" s="10" t="s">
        <v>490</v>
      </c>
      <c r="L42" s="10"/>
      <c r="T42" s="72" t="s">
        <v>346</v>
      </c>
      <c r="U42" s="72" t="s">
        <v>12</v>
      </c>
      <c r="V42" s="69"/>
      <c r="X42" s="72" t="s">
        <v>451</v>
      </c>
      <c r="Y42" s="72" t="s">
        <v>12</v>
      </c>
      <c r="Z42" s="47"/>
    </row>
    <row r="43" spans="1:26" ht="20.149999999999999" customHeight="1" x14ac:dyDescent="0.35">
      <c r="A43" t="str">
        <f>COUNTIFS($K$6:K43,K43)&amp;K43</f>
        <v>4IV</v>
      </c>
      <c r="B43" s="9">
        <v>38</v>
      </c>
      <c r="C43" s="8" t="s">
        <v>154</v>
      </c>
      <c r="D43" s="10" t="s">
        <v>243</v>
      </c>
      <c r="E43" s="8" t="s">
        <v>244</v>
      </c>
      <c r="F43" s="8" t="s">
        <v>326</v>
      </c>
      <c r="G43" s="8" t="s">
        <v>289</v>
      </c>
      <c r="H43" s="8" t="s">
        <v>37</v>
      </c>
      <c r="I43" s="10" t="s">
        <v>8</v>
      </c>
      <c r="J43" s="10" t="s">
        <v>70</v>
      </c>
      <c r="K43" s="10" t="s">
        <v>490</v>
      </c>
      <c r="L43" s="10"/>
      <c r="T43" s="69"/>
      <c r="U43" s="69"/>
      <c r="V43" s="69"/>
      <c r="X43" s="69"/>
      <c r="Y43" s="69"/>
      <c r="Z43" s="47"/>
    </row>
    <row r="44" spans="1:26" ht="20.149999999999999" customHeight="1" x14ac:dyDescent="0.35">
      <c r="A44" t="str">
        <f>COUNTIFS($K$6:K44,K44)&amp;K44</f>
        <v>5V</v>
      </c>
      <c r="B44" s="9">
        <v>39</v>
      </c>
      <c r="C44" s="8" t="s">
        <v>229</v>
      </c>
      <c r="D44" s="10" t="s">
        <v>333</v>
      </c>
      <c r="E44" s="8" t="s">
        <v>339</v>
      </c>
      <c r="F44" s="8" t="s">
        <v>427</v>
      </c>
      <c r="G44" s="8" t="s">
        <v>261</v>
      </c>
      <c r="H44" s="8" t="s">
        <v>476</v>
      </c>
      <c r="I44" s="10" t="s">
        <v>3</v>
      </c>
      <c r="J44" s="10" t="s">
        <v>70</v>
      </c>
      <c r="K44" s="10" t="s">
        <v>491</v>
      </c>
      <c r="L44" s="10"/>
      <c r="T44" s="69"/>
      <c r="U44" s="69"/>
      <c r="V44" s="69"/>
      <c r="X44" s="69"/>
      <c r="Y44" s="69"/>
      <c r="Z44" s="47"/>
    </row>
    <row r="45" spans="1:26" ht="20.149999999999999" customHeight="1" x14ac:dyDescent="0.35">
      <c r="A45" t="str">
        <f>COUNTIFS($K$6:K45,K45)&amp;K45</f>
        <v>6V</v>
      </c>
      <c r="B45" s="9">
        <v>40</v>
      </c>
      <c r="C45" s="8" t="s">
        <v>161</v>
      </c>
      <c r="D45" s="10" t="s">
        <v>334</v>
      </c>
      <c r="E45" s="8" t="s">
        <v>340</v>
      </c>
      <c r="F45" s="8" t="s">
        <v>426</v>
      </c>
      <c r="G45" s="8" t="s">
        <v>263</v>
      </c>
      <c r="H45" s="8" t="s">
        <v>441</v>
      </c>
      <c r="I45" s="10" t="s">
        <v>3</v>
      </c>
      <c r="J45" s="10" t="s">
        <v>70</v>
      </c>
      <c r="K45" s="10" t="s">
        <v>491</v>
      </c>
      <c r="L45" s="10"/>
      <c r="T45" s="69"/>
      <c r="U45" s="69"/>
      <c r="V45" s="69"/>
      <c r="X45" s="69"/>
      <c r="Y45" s="69"/>
      <c r="Z45" s="47"/>
    </row>
    <row r="46" spans="1:26" ht="20.149999999999999" customHeight="1" x14ac:dyDescent="0.35">
      <c r="A46" t="str">
        <f>COUNTIFS($K$6:K46,K46)&amp;K46</f>
        <v>7V</v>
      </c>
      <c r="B46" s="9">
        <v>41</v>
      </c>
      <c r="C46" s="8" t="s">
        <v>162</v>
      </c>
      <c r="D46" s="10" t="s">
        <v>335</v>
      </c>
      <c r="E46" s="8" t="s">
        <v>341</v>
      </c>
      <c r="F46" s="8" t="s">
        <v>434</v>
      </c>
      <c r="G46" s="8" t="s">
        <v>263</v>
      </c>
      <c r="H46" s="8" t="s">
        <v>120</v>
      </c>
      <c r="I46" s="10" t="s">
        <v>3</v>
      </c>
      <c r="J46" s="10" t="s">
        <v>70</v>
      </c>
      <c r="K46" s="10" t="s">
        <v>491</v>
      </c>
      <c r="L46" s="10"/>
    </row>
    <row r="47" spans="1:26" ht="20.149999999999999" customHeight="1" x14ac:dyDescent="0.35">
      <c r="A47" t="str">
        <f>COUNTIFS($K$6:K47,K47)&amp;K47</f>
        <v>8V</v>
      </c>
      <c r="B47" s="9">
        <v>42</v>
      </c>
      <c r="C47" s="8" t="s">
        <v>156</v>
      </c>
      <c r="D47" s="10" t="s">
        <v>337</v>
      </c>
      <c r="E47" s="8" t="s">
        <v>343</v>
      </c>
      <c r="F47" s="8" t="s">
        <v>432</v>
      </c>
      <c r="G47" s="8" t="s">
        <v>263</v>
      </c>
      <c r="H47" s="8" t="s">
        <v>231</v>
      </c>
      <c r="I47" s="10" t="s">
        <v>8</v>
      </c>
      <c r="J47" s="10" t="s">
        <v>70</v>
      </c>
      <c r="K47" s="10" t="s">
        <v>491</v>
      </c>
      <c r="L47" s="10"/>
    </row>
    <row r="48" spans="1:26" ht="20.149999999999999" customHeight="1" x14ac:dyDescent="0.35">
      <c r="A48" t="str">
        <f>COUNTIFS($K$6:K48,K48)&amp;K48</f>
        <v>5IV</v>
      </c>
      <c r="B48" s="9">
        <v>43</v>
      </c>
      <c r="C48" s="8" t="s">
        <v>430</v>
      </c>
      <c r="D48" s="10" t="s">
        <v>338</v>
      </c>
      <c r="E48" s="8" t="s">
        <v>344</v>
      </c>
      <c r="F48" s="8" t="s">
        <v>429</v>
      </c>
      <c r="G48" s="8" t="s">
        <v>261</v>
      </c>
      <c r="H48" s="8" t="s">
        <v>230</v>
      </c>
      <c r="I48" s="10" t="s">
        <v>8</v>
      </c>
      <c r="J48" s="10" t="s">
        <v>70</v>
      </c>
      <c r="K48" s="10" t="s">
        <v>490</v>
      </c>
      <c r="L48" s="10"/>
    </row>
    <row r="49" spans="1:12" ht="20.149999999999999" customHeight="1" x14ac:dyDescent="0.35">
      <c r="A49" t="str">
        <f>COUNTIFS($K$6:K49,K49)&amp;K49</f>
        <v>9V</v>
      </c>
      <c r="B49" s="9">
        <v>44</v>
      </c>
      <c r="C49" s="8" t="s">
        <v>157</v>
      </c>
      <c r="D49" s="10" t="s">
        <v>389</v>
      </c>
      <c r="E49" s="8" t="s">
        <v>391</v>
      </c>
      <c r="F49" s="8" t="s">
        <v>428</v>
      </c>
      <c r="G49" s="8" t="s">
        <v>263</v>
      </c>
      <c r="H49" s="8" t="s">
        <v>230</v>
      </c>
      <c r="I49" s="10" t="s">
        <v>7</v>
      </c>
      <c r="J49" s="10" t="s">
        <v>70</v>
      </c>
      <c r="K49" s="10" t="s">
        <v>491</v>
      </c>
      <c r="L49" s="10"/>
    </row>
    <row r="50" spans="1:12" ht="20.149999999999999" customHeight="1" x14ac:dyDescent="0.35">
      <c r="A50" t="str">
        <f>COUNTIFS($K$6:K50,K50)&amp;K50</f>
        <v>6IV</v>
      </c>
      <c r="B50" s="9">
        <v>45</v>
      </c>
      <c r="C50" s="8" t="s">
        <v>396</v>
      </c>
      <c r="D50" s="10" t="s">
        <v>390</v>
      </c>
      <c r="E50" s="8" t="s">
        <v>392</v>
      </c>
      <c r="F50" s="8" t="s">
        <v>397</v>
      </c>
      <c r="G50" s="8" t="s">
        <v>261</v>
      </c>
      <c r="H50" s="8" t="s">
        <v>36</v>
      </c>
      <c r="I50" s="10" t="s">
        <v>4</v>
      </c>
      <c r="J50" s="10" t="s">
        <v>70</v>
      </c>
      <c r="K50" s="10" t="s">
        <v>490</v>
      </c>
      <c r="L50" s="10"/>
    </row>
    <row r="51" spans="1:12" ht="20.149999999999999" customHeight="1" x14ac:dyDescent="0.35">
      <c r="A51" t="str">
        <f>COUNTIFS($K$6:K51,K51)&amp;K51</f>
        <v>10V</v>
      </c>
      <c r="B51" s="9">
        <v>46</v>
      </c>
      <c r="C51" s="8" t="s">
        <v>346</v>
      </c>
      <c r="D51" s="10" t="s">
        <v>12</v>
      </c>
      <c r="E51" s="8" t="s">
        <v>12</v>
      </c>
      <c r="F51" s="8" t="s">
        <v>381</v>
      </c>
      <c r="G51" s="8" t="s">
        <v>289</v>
      </c>
      <c r="H51" s="8" t="s">
        <v>118</v>
      </c>
      <c r="I51" s="10" t="s">
        <v>4</v>
      </c>
      <c r="J51" s="10" t="s">
        <v>70</v>
      </c>
      <c r="K51" s="10" t="s">
        <v>491</v>
      </c>
      <c r="L51" s="10"/>
    </row>
    <row r="52" spans="1:12" ht="20.149999999999999" customHeight="1" x14ac:dyDescent="0.35">
      <c r="A52" t="str">
        <f>COUNTIFS($K$6:K52,K52)&amp;K52</f>
        <v>1VI</v>
      </c>
      <c r="B52" s="9">
        <v>47</v>
      </c>
      <c r="C52" s="8" t="s">
        <v>347</v>
      </c>
      <c r="D52" s="10" t="s">
        <v>12</v>
      </c>
      <c r="E52" s="8" t="s">
        <v>12</v>
      </c>
      <c r="F52" s="8" t="s">
        <v>382</v>
      </c>
      <c r="G52" s="8" t="s">
        <v>289</v>
      </c>
      <c r="H52" s="8" t="s">
        <v>167</v>
      </c>
      <c r="I52" s="10" t="s">
        <v>4</v>
      </c>
      <c r="J52" s="10" t="s">
        <v>70</v>
      </c>
      <c r="K52" s="10" t="s">
        <v>492</v>
      </c>
      <c r="L52" s="10"/>
    </row>
    <row r="53" spans="1:12" ht="20.149999999999999" customHeight="1" x14ac:dyDescent="0.35">
      <c r="A53" t="str">
        <f>COUNTIFS($K$6:K53,K53)&amp;K53</f>
        <v>2VI</v>
      </c>
      <c r="B53" s="9">
        <v>48</v>
      </c>
      <c r="C53" s="8" t="s">
        <v>348</v>
      </c>
      <c r="D53" s="10" t="s">
        <v>12</v>
      </c>
      <c r="E53" s="8" t="s">
        <v>12</v>
      </c>
      <c r="F53" s="8" t="s">
        <v>433</v>
      </c>
      <c r="G53" s="8" t="s">
        <v>261</v>
      </c>
      <c r="H53" s="8" t="s">
        <v>230</v>
      </c>
      <c r="I53" s="10" t="s">
        <v>7</v>
      </c>
      <c r="J53" s="10" t="s">
        <v>70</v>
      </c>
      <c r="K53" s="10" t="s">
        <v>492</v>
      </c>
      <c r="L53" s="10"/>
    </row>
    <row r="54" spans="1:12" ht="20.149999999999999" customHeight="1" x14ac:dyDescent="0.35">
      <c r="A54" t="str">
        <f>COUNTIFS($K$6:K54,K54)&amp;K54</f>
        <v>3VI</v>
      </c>
      <c r="B54" s="9">
        <v>49</v>
      </c>
      <c r="C54" s="8" t="s">
        <v>349</v>
      </c>
      <c r="D54" s="10" t="s">
        <v>12</v>
      </c>
      <c r="E54" s="8" t="s">
        <v>12</v>
      </c>
      <c r="F54" s="8" t="s">
        <v>435</v>
      </c>
      <c r="G54" s="8" t="s">
        <v>281</v>
      </c>
      <c r="H54" s="8" t="s">
        <v>52</v>
      </c>
      <c r="I54" s="10" t="s">
        <v>4</v>
      </c>
      <c r="J54" s="10" t="s">
        <v>70</v>
      </c>
      <c r="K54" s="10" t="s">
        <v>492</v>
      </c>
      <c r="L54" s="10"/>
    </row>
    <row r="55" spans="1:12" ht="20.149999999999999" customHeight="1" x14ac:dyDescent="0.35">
      <c r="A55" t="str">
        <f>COUNTIFS($K$6:K55,K55)&amp;K55</f>
        <v>4VI</v>
      </c>
      <c r="B55" s="9">
        <v>50</v>
      </c>
      <c r="C55" s="8" t="s">
        <v>350</v>
      </c>
      <c r="D55" s="10" t="s">
        <v>12</v>
      </c>
      <c r="E55" s="8" t="s">
        <v>12</v>
      </c>
      <c r="F55" s="8" t="s">
        <v>384</v>
      </c>
      <c r="G55" s="8" t="s">
        <v>281</v>
      </c>
      <c r="H55" s="8" t="s">
        <v>116</v>
      </c>
      <c r="I55" s="10" t="s">
        <v>4</v>
      </c>
      <c r="J55" s="10" t="s">
        <v>70</v>
      </c>
      <c r="K55" s="10" t="s">
        <v>492</v>
      </c>
      <c r="L55" s="10"/>
    </row>
    <row r="56" spans="1:12" ht="20.149999999999999" customHeight="1" x14ac:dyDescent="0.35">
      <c r="A56" t="str">
        <f>COUNTIFS($K$6:K56,K56)&amp;K56</f>
        <v>5VI</v>
      </c>
      <c r="B56" s="9">
        <v>51</v>
      </c>
      <c r="C56" s="8" t="s">
        <v>351</v>
      </c>
      <c r="D56" s="10" t="s">
        <v>12</v>
      </c>
      <c r="E56" s="8" t="s">
        <v>12</v>
      </c>
      <c r="F56" s="8" t="s">
        <v>383</v>
      </c>
      <c r="G56" s="8" t="s">
        <v>261</v>
      </c>
      <c r="H56" s="8" t="s">
        <v>479</v>
      </c>
      <c r="I56" s="10" t="s">
        <v>4</v>
      </c>
      <c r="J56" s="10" t="s">
        <v>70</v>
      </c>
      <c r="K56" s="10" t="s">
        <v>492</v>
      </c>
      <c r="L56" s="10"/>
    </row>
    <row r="57" spans="1:12" ht="20.149999999999999" customHeight="1" x14ac:dyDescent="0.35">
      <c r="A57" t="str">
        <f>COUNTIFS($K$6:K57,K57)&amp;K57</f>
        <v>7IV</v>
      </c>
      <c r="B57" s="9">
        <v>52</v>
      </c>
      <c r="C57" s="8" t="s">
        <v>352</v>
      </c>
      <c r="D57" s="10" t="s">
        <v>12</v>
      </c>
      <c r="E57" s="8" t="s">
        <v>12</v>
      </c>
      <c r="F57" s="8" t="s">
        <v>385</v>
      </c>
      <c r="G57" s="8" t="s">
        <v>261</v>
      </c>
      <c r="H57" s="8" t="s">
        <v>453</v>
      </c>
      <c r="I57" s="10" t="s">
        <v>4</v>
      </c>
      <c r="J57" s="10" t="s">
        <v>70</v>
      </c>
      <c r="K57" s="10" t="s">
        <v>490</v>
      </c>
      <c r="L57" s="10"/>
    </row>
    <row r="58" spans="1:12" ht="20.149999999999999" customHeight="1" x14ac:dyDescent="0.35">
      <c r="A58" t="str">
        <f>COUNTIFS($K$6:K58,K58)&amp;K58</f>
        <v>8IV</v>
      </c>
      <c r="B58" s="9">
        <v>53</v>
      </c>
      <c r="C58" s="8" t="s">
        <v>353</v>
      </c>
      <c r="D58" s="10" t="s">
        <v>12</v>
      </c>
      <c r="E58" s="8" t="s">
        <v>12</v>
      </c>
      <c r="F58" s="8" t="s">
        <v>386</v>
      </c>
      <c r="G58" s="8" t="s">
        <v>289</v>
      </c>
      <c r="H58" s="8" t="s">
        <v>227</v>
      </c>
      <c r="I58" s="10" t="s">
        <v>7</v>
      </c>
      <c r="J58" s="10" t="s">
        <v>70</v>
      </c>
      <c r="K58" s="10" t="s">
        <v>490</v>
      </c>
      <c r="L58" s="10"/>
    </row>
    <row r="59" spans="1:12" ht="20.149999999999999" customHeight="1" x14ac:dyDescent="0.35">
      <c r="A59" t="str">
        <f>COUNTIFS($K$6:K59,K59)&amp;K59</f>
        <v>6VI</v>
      </c>
      <c r="B59" s="9">
        <v>54</v>
      </c>
      <c r="C59" s="8" t="s">
        <v>395</v>
      </c>
      <c r="D59" s="10" t="s">
        <v>12</v>
      </c>
      <c r="E59" s="8" t="s">
        <v>12</v>
      </c>
      <c r="F59" s="8" t="s">
        <v>431</v>
      </c>
      <c r="G59" s="8" t="s">
        <v>261</v>
      </c>
      <c r="H59" s="8" t="s">
        <v>398</v>
      </c>
      <c r="I59" s="10" t="s">
        <v>4</v>
      </c>
      <c r="J59" s="10" t="s">
        <v>70</v>
      </c>
      <c r="K59" s="10" t="s">
        <v>492</v>
      </c>
      <c r="L59" s="10"/>
    </row>
    <row r="60" spans="1:12" ht="20.149999999999999" customHeight="1" x14ac:dyDescent="0.35">
      <c r="A60" t="str">
        <f>COUNTIFS($K$6:K60,K60)&amp;K60</f>
        <v>9IV</v>
      </c>
      <c r="B60" s="9">
        <v>55</v>
      </c>
      <c r="C60" s="8" t="s">
        <v>464</v>
      </c>
      <c r="D60" s="10" t="s">
        <v>12</v>
      </c>
      <c r="E60" s="8" t="s">
        <v>12</v>
      </c>
      <c r="F60" s="8" t="s">
        <v>465</v>
      </c>
      <c r="G60" s="8" t="s">
        <v>261</v>
      </c>
      <c r="H60" s="8" t="s">
        <v>472</v>
      </c>
      <c r="I60" s="10" t="s">
        <v>126</v>
      </c>
      <c r="J60" s="10" t="s">
        <v>70</v>
      </c>
      <c r="K60" s="10" t="s">
        <v>490</v>
      </c>
      <c r="L60" s="10"/>
    </row>
    <row r="61" spans="1:12" ht="20.149999999999999" customHeight="1" x14ac:dyDescent="0.35">
      <c r="A61" t="str">
        <f>COUNTIFS($K$6:K61,K61)&amp;K61</f>
        <v>7VI</v>
      </c>
      <c r="B61" s="9">
        <v>56</v>
      </c>
      <c r="C61" s="8" t="s">
        <v>445</v>
      </c>
      <c r="D61" s="10" t="s">
        <v>12</v>
      </c>
      <c r="E61" s="8" t="s">
        <v>12</v>
      </c>
      <c r="F61" s="8" t="s">
        <v>446</v>
      </c>
      <c r="G61" s="8" t="s">
        <v>261</v>
      </c>
      <c r="H61" s="8" t="s">
        <v>440</v>
      </c>
      <c r="I61" s="10" t="s">
        <v>126</v>
      </c>
      <c r="J61" s="10" t="s">
        <v>70</v>
      </c>
      <c r="K61" s="10" t="s">
        <v>492</v>
      </c>
      <c r="L61" s="10"/>
    </row>
    <row r="62" spans="1:12" ht="20.149999999999999" customHeight="1" x14ac:dyDescent="0.35">
      <c r="A62" t="str">
        <f>COUNTIFS($K$6:K62,K62)&amp;K62</f>
        <v>8VI</v>
      </c>
      <c r="B62" s="9">
        <v>57</v>
      </c>
      <c r="C62" s="8" t="s">
        <v>447</v>
      </c>
      <c r="D62" s="10" t="s">
        <v>12</v>
      </c>
      <c r="E62" s="8" t="s">
        <v>12</v>
      </c>
      <c r="F62" s="8" t="s">
        <v>448</v>
      </c>
      <c r="G62" s="8" t="s">
        <v>261</v>
      </c>
      <c r="H62" s="8" t="s">
        <v>467</v>
      </c>
      <c r="I62" s="10" t="s">
        <v>126</v>
      </c>
      <c r="J62" s="10" t="s">
        <v>70</v>
      </c>
      <c r="K62" s="10" t="s">
        <v>492</v>
      </c>
      <c r="L62" s="10"/>
    </row>
    <row r="63" spans="1:12" ht="20.149999999999999" customHeight="1" x14ac:dyDescent="0.35">
      <c r="A63" t="str">
        <f>COUNTIFS($K$6:K63,K63)&amp;K63</f>
        <v>9VI</v>
      </c>
      <c r="B63" s="9">
        <v>58</v>
      </c>
      <c r="C63" s="8" t="s">
        <v>449</v>
      </c>
      <c r="D63" s="10" t="s">
        <v>12</v>
      </c>
      <c r="E63" s="8" t="s">
        <v>12</v>
      </c>
      <c r="F63" s="8" t="s">
        <v>450</v>
      </c>
      <c r="G63" s="8" t="s">
        <v>261</v>
      </c>
      <c r="H63" s="8" t="s">
        <v>469</v>
      </c>
      <c r="I63" s="10" t="s">
        <v>126</v>
      </c>
      <c r="J63" s="10" t="s">
        <v>70</v>
      </c>
      <c r="K63" s="10" t="s">
        <v>492</v>
      </c>
      <c r="L63" s="10"/>
    </row>
    <row r="64" spans="1:12" ht="20.149999999999999" customHeight="1" x14ac:dyDescent="0.35">
      <c r="A64" t="str">
        <f>COUNTIFS($K$6:K64,K64)&amp;K64</f>
        <v>10VI</v>
      </c>
      <c r="B64" s="9">
        <v>59</v>
      </c>
      <c r="C64" s="8" t="s">
        <v>451</v>
      </c>
      <c r="D64" s="10" t="s">
        <v>12</v>
      </c>
      <c r="E64" s="8" t="s">
        <v>12</v>
      </c>
      <c r="F64" s="8" t="s">
        <v>452</v>
      </c>
      <c r="G64" s="8" t="s">
        <v>261</v>
      </c>
      <c r="H64" s="8" t="s">
        <v>453</v>
      </c>
      <c r="I64" s="10" t="s">
        <v>126</v>
      </c>
      <c r="J64" s="10" t="s">
        <v>70</v>
      </c>
      <c r="K64" s="10" t="s">
        <v>492</v>
      </c>
      <c r="L64" s="10"/>
    </row>
    <row r="65" spans="1:12" ht="20.149999999999999" customHeight="1" x14ac:dyDescent="0.35">
      <c r="A65" t="str">
        <f>COUNTIFS($K$6:K65,K65)&amp;K65</f>
        <v>10IV</v>
      </c>
      <c r="B65" s="9">
        <v>60</v>
      </c>
      <c r="C65" s="8" t="s">
        <v>454</v>
      </c>
      <c r="D65" s="10" t="s">
        <v>12</v>
      </c>
      <c r="E65" s="8" t="s">
        <v>12</v>
      </c>
      <c r="F65" s="8" t="s">
        <v>455</v>
      </c>
      <c r="G65" s="8" t="s">
        <v>289</v>
      </c>
      <c r="H65" s="8" t="s">
        <v>453</v>
      </c>
      <c r="I65" s="10" t="s">
        <v>126</v>
      </c>
      <c r="J65" s="10" t="s">
        <v>70</v>
      </c>
      <c r="K65" s="10" t="s">
        <v>490</v>
      </c>
      <c r="L65" s="10"/>
    </row>
    <row r="66" spans="1:12" ht="20.149999999999999" customHeight="1" x14ac:dyDescent="0.35">
      <c r="A66" t="str">
        <f>COUNTIFS($K$6:K66,K66)&amp;K66</f>
        <v>1VII</v>
      </c>
      <c r="B66" s="9">
        <v>61</v>
      </c>
      <c r="C66" s="8" t="s">
        <v>456</v>
      </c>
      <c r="D66" s="10" t="s">
        <v>12</v>
      </c>
      <c r="E66" s="8" t="s">
        <v>12</v>
      </c>
      <c r="F66" s="8" t="s">
        <v>457</v>
      </c>
      <c r="G66" s="8" t="s">
        <v>289</v>
      </c>
      <c r="H66" s="8" t="s">
        <v>468</v>
      </c>
      <c r="I66" s="10" t="s">
        <v>126</v>
      </c>
      <c r="J66" s="10" t="s">
        <v>70</v>
      </c>
      <c r="K66" s="10" t="s">
        <v>493</v>
      </c>
      <c r="L66" s="10"/>
    </row>
    <row r="67" spans="1:12" ht="20.149999999999999" customHeight="1" x14ac:dyDescent="0.35">
      <c r="A67" t="str">
        <f>COUNTIFS($K$6:K67,K67)&amp;K67</f>
        <v>2VII</v>
      </c>
      <c r="B67" s="9">
        <v>62</v>
      </c>
      <c r="C67" s="8" t="s">
        <v>458</v>
      </c>
      <c r="D67" s="10" t="s">
        <v>12</v>
      </c>
      <c r="E67" s="8" t="s">
        <v>12</v>
      </c>
      <c r="F67" s="8" t="s">
        <v>459</v>
      </c>
      <c r="G67" s="8" t="s">
        <v>289</v>
      </c>
      <c r="H67" s="8" t="s">
        <v>453</v>
      </c>
      <c r="I67" s="10" t="s">
        <v>126</v>
      </c>
      <c r="J67" s="10" t="s">
        <v>70</v>
      </c>
      <c r="K67" s="10" t="s">
        <v>493</v>
      </c>
      <c r="L67" s="10"/>
    </row>
    <row r="68" spans="1:12" ht="20.149999999999999" customHeight="1" x14ac:dyDescent="0.35">
      <c r="A68" t="str">
        <f>COUNTIFS($K$6:K68,K68)&amp;K68</f>
        <v>3VII</v>
      </c>
      <c r="B68" s="9">
        <v>63</v>
      </c>
      <c r="C68" s="8" t="s">
        <v>460</v>
      </c>
      <c r="D68" s="10" t="s">
        <v>12</v>
      </c>
      <c r="E68" s="8" t="s">
        <v>12</v>
      </c>
      <c r="F68" s="8" t="s">
        <v>461</v>
      </c>
      <c r="G68" s="8" t="s">
        <v>289</v>
      </c>
      <c r="H68" s="8" t="s">
        <v>470</v>
      </c>
      <c r="I68" s="10" t="s">
        <v>126</v>
      </c>
      <c r="J68" s="10" t="s">
        <v>70</v>
      </c>
      <c r="K68" s="10" t="s">
        <v>493</v>
      </c>
      <c r="L68" s="10"/>
    </row>
    <row r="69" spans="1:12" ht="20.149999999999999" customHeight="1" x14ac:dyDescent="0.35">
      <c r="A69" t="str">
        <f>COUNTIFS($K$6:K69,K69)&amp;K69</f>
        <v>4VII</v>
      </c>
      <c r="B69" s="9">
        <v>64</v>
      </c>
      <c r="C69" s="8" t="s">
        <v>462</v>
      </c>
      <c r="D69" s="10" t="s">
        <v>12</v>
      </c>
      <c r="E69" s="8" t="s">
        <v>12</v>
      </c>
      <c r="F69" s="8" t="s">
        <v>463</v>
      </c>
      <c r="G69" s="8" t="s">
        <v>289</v>
      </c>
      <c r="H69" s="8" t="s">
        <v>471</v>
      </c>
      <c r="I69" s="10" t="s">
        <v>126</v>
      </c>
      <c r="J69" s="10" t="s">
        <v>70</v>
      </c>
      <c r="K69" s="10" t="s">
        <v>493</v>
      </c>
      <c r="L69" s="10"/>
    </row>
    <row r="70" spans="1:12" ht="20.149999999999999" customHeight="1" x14ac:dyDescent="0.35">
      <c r="A70" t="str">
        <f>COUNTIFS($K$6:K70,K70)&amp;K70</f>
        <v>5VII</v>
      </c>
      <c r="B70" s="9">
        <v>65</v>
      </c>
      <c r="C70" s="8" t="s">
        <v>504</v>
      </c>
      <c r="D70" s="10" t="s">
        <v>12</v>
      </c>
      <c r="E70" s="8" t="s">
        <v>12</v>
      </c>
      <c r="F70" s="8" t="s">
        <v>505</v>
      </c>
      <c r="G70" s="8" t="s">
        <v>289</v>
      </c>
      <c r="H70" s="8" t="s">
        <v>191</v>
      </c>
      <c r="I70" s="10" t="s">
        <v>4</v>
      </c>
      <c r="J70" s="10" t="s">
        <v>70</v>
      </c>
      <c r="K70" s="10" t="s">
        <v>493</v>
      </c>
      <c r="L70" s="10"/>
    </row>
    <row r="71" spans="1:12" ht="20.149999999999999" customHeight="1" x14ac:dyDescent="0.35">
      <c r="A71" t="str">
        <f>COUNTIFS($K$6:K71,K71)&amp;K71</f>
        <v>6VII</v>
      </c>
      <c r="B71" s="9">
        <v>66</v>
      </c>
      <c r="C71" s="8" t="s">
        <v>568</v>
      </c>
      <c r="D71" s="10" t="s">
        <v>12</v>
      </c>
      <c r="E71" s="8" t="s">
        <v>12</v>
      </c>
      <c r="F71" s="8" t="s">
        <v>569</v>
      </c>
      <c r="G71" s="8" t="s">
        <v>263</v>
      </c>
      <c r="H71" s="8" t="s">
        <v>37</v>
      </c>
      <c r="I71" s="10" t="s">
        <v>126</v>
      </c>
      <c r="J71" s="10" t="s">
        <v>70</v>
      </c>
      <c r="K71" s="10" t="s">
        <v>493</v>
      </c>
      <c r="L71" s="10"/>
    </row>
    <row r="72" spans="1:12" ht="20.149999999999999" customHeight="1" x14ac:dyDescent="0.35">
      <c r="A72" t="str">
        <f>COUNTIFS($K$6:K72,K72)&amp;K72</f>
        <v>0</v>
      </c>
    </row>
    <row r="73" spans="1:12" ht="20.149999999999999" customHeight="1" x14ac:dyDescent="0.35">
      <c r="A73" t="str">
        <f>COUNTIFS($K$6:K73,K73)&amp;K73</f>
        <v>1OUT</v>
      </c>
      <c r="B73" s="9">
        <v>65</v>
      </c>
      <c r="C73" s="8" t="s">
        <v>68</v>
      </c>
      <c r="D73" s="10" t="s">
        <v>164</v>
      </c>
      <c r="E73" s="8" t="s">
        <v>69</v>
      </c>
      <c r="F73" s="8" t="s">
        <v>260</v>
      </c>
      <c r="G73" s="8" t="s">
        <v>261</v>
      </c>
      <c r="H73" s="8" t="s">
        <v>12</v>
      </c>
      <c r="I73" s="10" t="s">
        <v>3</v>
      </c>
      <c r="J73" s="10" t="s">
        <v>67</v>
      </c>
      <c r="K73" s="42" t="s">
        <v>494</v>
      </c>
      <c r="L73" s="42"/>
    </row>
    <row r="74" spans="1:12" ht="20.149999999999999" customHeight="1" x14ac:dyDescent="0.35">
      <c r="A74" t="str">
        <f>COUNTIFS($K$6:K74,K74)&amp;K74</f>
        <v>2OUT</v>
      </c>
      <c r="B74" s="9">
        <v>66</v>
      </c>
      <c r="C74" s="8" t="s">
        <v>72</v>
      </c>
      <c r="D74" s="10" t="s">
        <v>165</v>
      </c>
      <c r="E74" s="8" t="s">
        <v>71</v>
      </c>
      <c r="F74" s="8" t="s">
        <v>262</v>
      </c>
      <c r="G74" s="8" t="s">
        <v>263</v>
      </c>
      <c r="H74" s="8" t="s">
        <v>12</v>
      </c>
      <c r="I74" s="10" t="s">
        <v>3</v>
      </c>
      <c r="J74" s="10" t="s">
        <v>67</v>
      </c>
      <c r="K74" s="42" t="s">
        <v>494</v>
      </c>
      <c r="L74" s="42"/>
    </row>
    <row r="75" spans="1:12" ht="20.149999999999999" customHeight="1" x14ac:dyDescent="0.35">
      <c r="A75" t="str">
        <f>COUNTIFS($K$6:K75,K75)&amp;K75</f>
        <v>3OUT</v>
      </c>
      <c r="B75" s="9">
        <v>67</v>
      </c>
      <c r="C75" s="8" t="s">
        <v>73</v>
      </c>
      <c r="D75" s="10" t="s">
        <v>168</v>
      </c>
      <c r="E75" s="8" t="s">
        <v>74</v>
      </c>
      <c r="F75" s="8" t="s">
        <v>265</v>
      </c>
      <c r="G75" s="8" t="s">
        <v>266</v>
      </c>
      <c r="H75" s="8" t="s">
        <v>12</v>
      </c>
      <c r="I75" s="10" t="s">
        <v>8</v>
      </c>
      <c r="J75" s="10" t="s">
        <v>67</v>
      </c>
      <c r="K75" s="42" t="s">
        <v>494</v>
      </c>
      <c r="L75" s="42"/>
    </row>
    <row r="76" spans="1:12" ht="20.149999999999999" customHeight="1" x14ac:dyDescent="0.35">
      <c r="A76" t="str">
        <f>COUNTIFS($K$6:K76,K76)&amp;K76</f>
        <v>4OUT</v>
      </c>
      <c r="B76" s="9">
        <v>68</v>
      </c>
      <c r="C76" s="8" t="s">
        <v>76</v>
      </c>
      <c r="D76" s="10" t="s">
        <v>170</v>
      </c>
      <c r="E76" s="8" t="s">
        <v>75</v>
      </c>
      <c r="F76" s="8" t="s">
        <v>268</v>
      </c>
      <c r="G76" s="8" t="s">
        <v>261</v>
      </c>
      <c r="H76" s="8" t="s">
        <v>12</v>
      </c>
      <c r="I76" s="10" t="s">
        <v>3</v>
      </c>
      <c r="J76" s="10" t="s">
        <v>67</v>
      </c>
      <c r="K76" s="42" t="s">
        <v>494</v>
      </c>
      <c r="L76" s="42"/>
    </row>
    <row r="77" spans="1:12" ht="20.149999999999999" customHeight="1" x14ac:dyDescent="0.35">
      <c r="A77" t="str">
        <f>COUNTIFS($K$6:K77,K77)&amp;K77</f>
        <v>5OUT</v>
      </c>
      <c r="B77" s="9">
        <v>69</v>
      </c>
      <c r="C77" s="8" t="s">
        <v>77</v>
      </c>
      <c r="D77" s="10" t="s">
        <v>171</v>
      </c>
      <c r="E77" s="8" t="s">
        <v>78</v>
      </c>
      <c r="F77" s="8" t="s">
        <v>269</v>
      </c>
      <c r="G77" s="8" t="s">
        <v>263</v>
      </c>
      <c r="H77" s="8" t="s">
        <v>12</v>
      </c>
      <c r="I77" s="10" t="s">
        <v>3</v>
      </c>
      <c r="J77" s="10" t="s">
        <v>67</v>
      </c>
      <c r="K77" s="42" t="s">
        <v>494</v>
      </c>
      <c r="L77" s="42"/>
    </row>
    <row r="78" spans="1:12" ht="20.149999999999999" customHeight="1" x14ac:dyDescent="0.35">
      <c r="A78" t="str">
        <f>COUNTIFS($K$6:K78,K78)&amp;K78</f>
        <v>6OUT</v>
      </c>
      <c r="B78" s="9">
        <v>70</v>
      </c>
      <c r="C78" s="8" t="s">
        <v>80</v>
      </c>
      <c r="D78" s="10" t="s">
        <v>172</v>
      </c>
      <c r="E78" s="8" t="s">
        <v>79</v>
      </c>
      <c r="F78" s="8" t="s">
        <v>270</v>
      </c>
      <c r="G78" s="8" t="s">
        <v>289</v>
      </c>
      <c r="H78" s="8" t="s">
        <v>12</v>
      </c>
      <c r="I78" s="10" t="s">
        <v>8</v>
      </c>
      <c r="J78" s="10" t="s">
        <v>67</v>
      </c>
      <c r="K78" s="42" t="s">
        <v>494</v>
      </c>
      <c r="L78" s="42"/>
    </row>
    <row r="79" spans="1:12" ht="20.149999999999999" customHeight="1" x14ac:dyDescent="0.35">
      <c r="A79" t="str">
        <f>COUNTIFS($K$6:K79,K79)&amp;K79</f>
        <v>7OUT</v>
      </c>
      <c r="B79" s="9">
        <v>71</v>
      </c>
      <c r="C79" s="8" t="s">
        <v>82</v>
      </c>
      <c r="D79" s="10" t="s">
        <v>173</v>
      </c>
      <c r="E79" s="8" t="s">
        <v>81</v>
      </c>
      <c r="F79" s="8" t="s">
        <v>271</v>
      </c>
      <c r="G79" s="8" t="s">
        <v>261</v>
      </c>
      <c r="H79" s="8" t="s">
        <v>131</v>
      </c>
      <c r="I79" s="10" t="s">
        <v>3</v>
      </c>
      <c r="J79" s="10" t="s">
        <v>67</v>
      </c>
      <c r="K79" s="42" t="s">
        <v>494</v>
      </c>
      <c r="L79" s="42"/>
    </row>
    <row r="80" spans="1:12" ht="20.149999999999999" customHeight="1" x14ac:dyDescent="0.35">
      <c r="A80" t="str">
        <f>COUNTIFS($K$6:K80,K80)&amp;K80</f>
        <v>8OUT</v>
      </c>
      <c r="B80" s="9">
        <v>72</v>
      </c>
      <c r="C80" s="8" t="s">
        <v>83</v>
      </c>
      <c r="D80" s="10" t="s">
        <v>12</v>
      </c>
      <c r="E80" s="8" t="s">
        <v>12</v>
      </c>
      <c r="F80" s="8" t="s">
        <v>272</v>
      </c>
      <c r="G80" s="8" t="s">
        <v>261</v>
      </c>
      <c r="H80" s="8" t="s">
        <v>12</v>
      </c>
      <c r="I80" s="10" t="s">
        <v>4</v>
      </c>
      <c r="J80" s="10" t="s">
        <v>67</v>
      </c>
      <c r="K80" s="42" t="s">
        <v>494</v>
      </c>
      <c r="L80" s="42"/>
    </row>
    <row r="81" spans="1:12" ht="20.149999999999999" customHeight="1" x14ac:dyDescent="0.35">
      <c r="A81" t="str">
        <f>COUNTIFS($K$6:K81,K81)&amp;K81</f>
        <v>9OUT</v>
      </c>
      <c r="B81" s="9">
        <v>73</v>
      </c>
      <c r="C81" s="8" t="s">
        <v>330</v>
      </c>
      <c r="D81" s="10" t="s">
        <v>174</v>
      </c>
      <c r="E81" s="8" t="s">
        <v>331</v>
      </c>
      <c r="F81" s="8" t="s">
        <v>332</v>
      </c>
      <c r="G81" s="8" t="s">
        <v>289</v>
      </c>
      <c r="H81" s="8">
        <v>0</v>
      </c>
      <c r="I81" s="10" t="s">
        <v>8</v>
      </c>
      <c r="J81" s="10" t="s">
        <v>67</v>
      </c>
      <c r="K81" s="42" t="s">
        <v>494</v>
      </c>
      <c r="L81" s="42"/>
    </row>
    <row r="82" spans="1:12" ht="20.149999999999999" customHeight="1" x14ac:dyDescent="0.35">
      <c r="A82" t="str">
        <f>COUNTIFS($K$6:K82,K82)&amp;K82</f>
        <v>10OUT</v>
      </c>
      <c r="B82" s="9">
        <v>74</v>
      </c>
      <c r="C82" s="8" t="s">
        <v>24</v>
      </c>
      <c r="D82" s="10" t="s">
        <v>176</v>
      </c>
      <c r="E82" s="8" t="s">
        <v>33</v>
      </c>
      <c r="F82" s="8" t="s">
        <v>274</v>
      </c>
      <c r="G82" s="8" t="s">
        <v>261</v>
      </c>
      <c r="H82" s="8" t="s">
        <v>12</v>
      </c>
      <c r="I82" s="10" t="s">
        <v>3</v>
      </c>
      <c r="J82" s="10" t="s">
        <v>67</v>
      </c>
      <c r="K82" s="42" t="s">
        <v>494</v>
      </c>
      <c r="L82" s="42"/>
    </row>
    <row r="83" spans="1:12" ht="20.149999999999999" customHeight="1" x14ac:dyDescent="0.35">
      <c r="A83" t="str">
        <f>COUNTIFS($K$6:K83,K83)&amp;K83</f>
        <v>11OUT</v>
      </c>
      <c r="B83" s="9">
        <v>75</v>
      </c>
      <c r="C83" s="8" t="s">
        <v>84</v>
      </c>
      <c r="D83" s="10" t="s">
        <v>182</v>
      </c>
      <c r="E83" s="8" t="s">
        <v>85</v>
      </c>
      <c r="F83" s="8" t="s">
        <v>278</v>
      </c>
      <c r="G83" s="8" t="s">
        <v>261</v>
      </c>
      <c r="H83" s="8" t="s">
        <v>12</v>
      </c>
      <c r="I83" s="10" t="s">
        <v>3</v>
      </c>
      <c r="J83" s="10" t="s">
        <v>67</v>
      </c>
      <c r="K83" s="42" t="s">
        <v>494</v>
      </c>
      <c r="L83" s="42"/>
    </row>
    <row r="84" spans="1:12" ht="20.149999999999999" customHeight="1" x14ac:dyDescent="0.35">
      <c r="A84" t="str">
        <f>COUNTIFS($K$6:K84,K84)&amp;K84</f>
        <v>12OUT</v>
      </c>
      <c r="B84" s="9">
        <v>76</v>
      </c>
      <c r="C84" s="8" t="s">
        <v>86</v>
      </c>
      <c r="D84" s="10" t="s">
        <v>183</v>
      </c>
      <c r="E84" s="8" t="s">
        <v>87</v>
      </c>
      <c r="F84" s="8" t="s">
        <v>279</v>
      </c>
      <c r="G84" s="8" t="s">
        <v>263</v>
      </c>
      <c r="H84" s="8" t="s">
        <v>12</v>
      </c>
      <c r="I84" s="10" t="s">
        <v>3</v>
      </c>
      <c r="J84" s="10" t="s">
        <v>67</v>
      </c>
      <c r="K84" s="42" t="s">
        <v>494</v>
      </c>
      <c r="L84" s="42"/>
    </row>
    <row r="85" spans="1:12" ht="20.149999999999999" customHeight="1" x14ac:dyDescent="0.35">
      <c r="A85" t="str">
        <f>COUNTIFS($K$6:K85,K85)&amp;K85</f>
        <v>13OUT</v>
      </c>
      <c r="B85" s="9">
        <v>77</v>
      </c>
      <c r="C85" s="8" t="s">
        <v>88</v>
      </c>
      <c r="D85" s="10" t="s">
        <v>184</v>
      </c>
      <c r="E85" s="8" t="s">
        <v>89</v>
      </c>
      <c r="F85" s="8" t="s">
        <v>280</v>
      </c>
      <c r="G85" s="8" t="s">
        <v>281</v>
      </c>
      <c r="H85" s="8" t="s">
        <v>12</v>
      </c>
      <c r="I85" s="10" t="s">
        <v>3</v>
      </c>
      <c r="J85" s="10" t="s">
        <v>67</v>
      </c>
      <c r="K85" s="42" t="s">
        <v>494</v>
      </c>
      <c r="L85" s="42"/>
    </row>
    <row r="86" spans="1:12" ht="20.149999999999999" customHeight="1" x14ac:dyDescent="0.35">
      <c r="A86" t="str">
        <f>COUNTIFS($K$6:K86,K86)&amp;K86</f>
        <v>14OUT</v>
      </c>
      <c r="B86" s="9">
        <v>78</v>
      </c>
      <c r="C86" s="8" t="s">
        <v>23</v>
      </c>
      <c r="D86" s="10" t="s">
        <v>186</v>
      </c>
      <c r="E86" s="8" t="s">
        <v>35</v>
      </c>
      <c r="F86" s="8" t="s">
        <v>283</v>
      </c>
      <c r="G86" s="8" t="s">
        <v>261</v>
      </c>
      <c r="H86" s="8" t="s">
        <v>12</v>
      </c>
      <c r="I86" s="10" t="s">
        <v>3</v>
      </c>
      <c r="J86" s="10" t="s">
        <v>67</v>
      </c>
      <c r="K86" s="42" t="s">
        <v>494</v>
      </c>
      <c r="L86" s="42"/>
    </row>
    <row r="87" spans="1:12" ht="20.149999999999999" customHeight="1" x14ac:dyDescent="0.35">
      <c r="A87" t="str">
        <f>COUNTIFS($K$6:K87,K87)&amp;K87</f>
        <v>15OUT</v>
      </c>
      <c r="B87" s="9">
        <v>79</v>
      </c>
      <c r="C87" s="8" t="s">
        <v>14</v>
      </c>
      <c r="D87" s="10" t="s">
        <v>195</v>
      </c>
      <c r="E87" s="8" t="s">
        <v>57</v>
      </c>
      <c r="F87" s="8" t="s">
        <v>291</v>
      </c>
      <c r="G87" s="8" t="s">
        <v>292</v>
      </c>
      <c r="H87" s="8" t="s">
        <v>12</v>
      </c>
      <c r="I87" s="10" t="s">
        <v>3</v>
      </c>
      <c r="J87" s="10" t="s">
        <v>67</v>
      </c>
      <c r="K87" s="42" t="s">
        <v>494</v>
      </c>
      <c r="L87" s="42"/>
    </row>
    <row r="88" spans="1:12" ht="20.149999999999999" customHeight="1" x14ac:dyDescent="0.35">
      <c r="A88" t="str">
        <f>COUNTIFS($K$6:K88,K88)&amp;K88</f>
        <v>16OUT</v>
      </c>
      <c r="B88" s="9">
        <v>80</v>
      </c>
      <c r="C88" s="8" t="s">
        <v>41</v>
      </c>
      <c r="D88" s="10" t="s">
        <v>201</v>
      </c>
      <c r="E88" s="8" t="s">
        <v>91</v>
      </c>
      <c r="F88" s="8" t="s">
        <v>296</v>
      </c>
      <c r="G88" s="8" t="s">
        <v>281</v>
      </c>
      <c r="H88" s="8" t="s">
        <v>12</v>
      </c>
      <c r="I88" s="10" t="s">
        <v>3</v>
      </c>
      <c r="J88" s="10" t="s">
        <v>67</v>
      </c>
      <c r="K88" s="42" t="s">
        <v>494</v>
      </c>
      <c r="L88" s="42"/>
    </row>
    <row r="89" spans="1:12" ht="20.149999999999999" customHeight="1" x14ac:dyDescent="0.35">
      <c r="A89" t="str">
        <f>COUNTIFS($K$6:K89,K89)&amp;K89</f>
        <v>17OUT</v>
      </c>
      <c r="B89" s="9">
        <v>81</v>
      </c>
      <c r="C89" s="8" t="s">
        <v>46</v>
      </c>
      <c r="D89" s="10" t="s">
        <v>212</v>
      </c>
      <c r="E89" s="8" t="s">
        <v>124</v>
      </c>
      <c r="F89" s="8" t="s">
        <v>305</v>
      </c>
      <c r="G89" s="8" t="s">
        <v>263</v>
      </c>
      <c r="H89" s="8" t="s">
        <v>12</v>
      </c>
      <c r="I89" s="10" t="s">
        <v>7</v>
      </c>
      <c r="J89" s="10" t="s">
        <v>67</v>
      </c>
      <c r="K89" s="42" t="s">
        <v>494</v>
      </c>
      <c r="L89" s="42"/>
    </row>
    <row r="90" spans="1:12" ht="20.149999999999999" customHeight="1" x14ac:dyDescent="0.35">
      <c r="A90" t="str">
        <f>COUNTIFS($K$6:K90,K90)&amp;K90</f>
        <v>18OUT</v>
      </c>
      <c r="B90" s="9">
        <v>82</v>
      </c>
      <c r="C90" s="8" t="s">
        <v>117</v>
      </c>
      <c r="D90" s="10" t="s">
        <v>218</v>
      </c>
      <c r="E90" s="8" t="s">
        <v>148</v>
      </c>
      <c r="F90" s="8" t="s">
        <v>311</v>
      </c>
      <c r="G90" s="8" t="s">
        <v>281</v>
      </c>
      <c r="H90" s="8" t="s">
        <v>12</v>
      </c>
      <c r="I90" s="10" t="s">
        <v>3</v>
      </c>
      <c r="J90" s="10" t="s">
        <v>67</v>
      </c>
      <c r="K90" s="42" t="s">
        <v>494</v>
      </c>
      <c r="L90" s="42"/>
    </row>
    <row r="91" spans="1:12" ht="20.149999999999999" customHeight="1" x14ac:dyDescent="0.35">
      <c r="A91" t="str">
        <f>COUNTIFS($K$6:K91,K91)&amp;K91</f>
        <v>19OUT</v>
      </c>
      <c r="B91" s="9">
        <v>83</v>
      </c>
      <c r="C91" s="8" t="s">
        <v>119</v>
      </c>
      <c r="D91" s="10" t="s">
        <v>219</v>
      </c>
      <c r="E91" s="8" t="s">
        <v>149</v>
      </c>
      <c r="F91" s="8" t="s">
        <v>312</v>
      </c>
      <c r="G91" s="8" t="s">
        <v>281</v>
      </c>
      <c r="H91" s="8">
        <v>0</v>
      </c>
      <c r="I91" s="10" t="s">
        <v>3</v>
      </c>
      <c r="J91" s="10" t="s">
        <v>67</v>
      </c>
      <c r="K91" s="42" t="s">
        <v>494</v>
      </c>
      <c r="L91" s="42"/>
    </row>
    <row r="92" spans="1:12" ht="20.149999999999999" customHeight="1" x14ac:dyDescent="0.35">
      <c r="A92" t="str">
        <f>COUNTIFS($K$6:K92,K92)&amp;K92</f>
        <v>20OUT</v>
      </c>
      <c r="B92" s="9">
        <v>84</v>
      </c>
      <c r="C92" s="8" t="s">
        <v>122</v>
      </c>
      <c r="D92" s="10" t="s">
        <v>12</v>
      </c>
      <c r="E92" s="8" t="s">
        <v>12</v>
      </c>
      <c r="F92" s="8" t="s">
        <v>314</v>
      </c>
      <c r="G92" s="8" t="s">
        <v>315</v>
      </c>
      <c r="H92" s="8" t="s">
        <v>12</v>
      </c>
      <c r="I92" s="10" t="s">
        <v>4</v>
      </c>
      <c r="J92" s="10" t="s">
        <v>67</v>
      </c>
      <c r="K92" s="42" t="s">
        <v>494</v>
      </c>
      <c r="L92" s="42"/>
    </row>
    <row r="93" spans="1:12" ht="20.149999999999999" customHeight="1" x14ac:dyDescent="0.35">
      <c r="A93" t="str">
        <f>COUNTIFS($K$6:K93,K93)&amp;K93</f>
        <v>21OUT</v>
      </c>
      <c r="B93" s="9">
        <v>85</v>
      </c>
      <c r="C93" s="8" t="s">
        <v>377</v>
      </c>
      <c r="D93" s="10" t="s">
        <v>223</v>
      </c>
      <c r="E93" s="8" t="s">
        <v>152</v>
      </c>
      <c r="F93" s="8" t="s">
        <v>317</v>
      </c>
      <c r="G93" s="8" t="s">
        <v>261</v>
      </c>
      <c r="H93" s="8">
        <v>0</v>
      </c>
      <c r="I93" s="10" t="s">
        <v>3</v>
      </c>
      <c r="J93" s="10" t="s">
        <v>67</v>
      </c>
      <c r="K93" s="42" t="s">
        <v>494</v>
      </c>
      <c r="L93" s="42"/>
    </row>
    <row r="94" spans="1:12" ht="20.149999999999999" customHeight="1" x14ac:dyDescent="0.35">
      <c r="A94" t="str">
        <f>COUNTIFS($K$6:K94,K94)&amp;K94</f>
        <v>22OUT</v>
      </c>
      <c r="B94" s="9">
        <v>86</v>
      </c>
      <c r="C94" s="8" t="s">
        <v>137</v>
      </c>
      <c r="D94" s="10" t="s">
        <v>224</v>
      </c>
      <c r="E94" s="8" t="s">
        <v>233</v>
      </c>
      <c r="F94" s="8" t="s">
        <v>318</v>
      </c>
      <c r="G94" s="8" t="s">
        <v>289</v>
      </c>
      <c r="H94" s="8" t="s">
        <v>37</v>
      </c>
      <c r="I94" s="10" t="s">
        <v>8</v>
      </c>
      <c r="J94" s="10" t="s">
        <v>70</v>
      </c>
      <c r="K94" s="42" t="s">
        <v>494</v>
      </c>
      <c r="L94" s="42"/>
    </row>
    <row r="95" spans="1:12" ht="20.149999999999999" customHeight="1" x14ac:dyDescent="0.35">
      <c r="A95" t="str">
        <f>COUNTIFS($K$6:K95,K95)&amp;K95</f>
        <v>23OUT</v>
      </c>
      <c r="B95" s="9">
        <v>87</v>
      </c>
      <c r="C95" s="8" t="s">
        <v>140</v>
      </c>
      <c r="D95" s="10" t="s">
        <v>238</v>
      </c>
      <c r="E95" s="8" t="s">
        <v>241</v>
      </c>
      <c r="F95" s="8" t="s">
        <v>324</v>
      </c>
      <c r="G95" s="8" t="s">
        <v>281</v>
      </c>
      <c r="H95" s="8">
        <v>0</v>
      </c>
      <c r="I95" s="10" t="s">
        <v>3</v>
      </c>
      <c r="J95" s="10" t="s">
        <v>67</v>
      </c>
      <c r="K95" s="42" t="s">
        <v>494</v>
      </c>
      <c r="L95" s="42"/>
    </row>
    <row r="96" spans="1:12" ht="20.149999999999999" customHeight="1" x14ac:dyDescent="0.35">
      <c r="A96" t="str">
        <f>COUNTIFS($K$6:K96,K96)&amp;K96</f>
        <v>24OUT</v>
      </c>
      <c r="B96" s="9">
        <v>88</v>
      </c>
      <c r="C96" s="8" t="s">
        <v>228</v>
      </c>
      <c r="D96" s="10" t="s">
        <v>12</v>
      </c>
      <c r="E96" s="8" t="s">
        <v>12</v>
      </c>
      <c r="F96" s="8" t="s">
        <v>327</v>
      </c>
      <c r="G96" s="8" t="s">
        <v>261</v>
      </c>
      <c r="H96" s="8">
        <v>0</v>
      </c>
      <c r="I96" s="10" t="s">
        <v>4</v>
      </c>
      <c r="J96" s="10" t="s">
        <v>67</v>
      </c>
      <c r="K96" s="42" t="s">
        <v>494</v>
      </c>
      <c r="L96" s="42"/>
    </row>
    <row r="97" spans="1:12" ht="20.149999999999999" customHeight="1" x14ac:dyDescent="0.35">
      <c r="A97" t="str">
        <f>COUNTIFS($K$6:K97,K97)&amp;K97</f>
        <v>25OUT</v>
      </c>
      <c r="B97" s="9">
        <v>89</v>
      </c>
      <c r="C97" s="8" t="s">
        <v>328</v>
      </c>
      <c r="D97" s="10" t="s">
        <v>12</v>
      </c>
      <c r="E97" s="8" t="s">
        <v>12</v>
      </c>
      <c r="F97" s="8" t="s">
        <v>329</v>
      </c>
      <c r="G97" s="8" t="s">
        <v>320</v>
      </c>
      <c r="H97" s="8" t="s">
        <v>12</v>
      </c>
      <c r="I97" s="10" t="s">
        <v>4</v>
      </c>
      <c r="J97" s="10" t="s">
        <v>67</v>
      </c>
      <c r="K97" s="42" t="s">
        <v>494</v>
      </c>
      <c r="L97" s="42"/>
    </row>
    <row r="98" spans="1:12" ht="20.149999999999999" customHeight="1" x14ac:dyDescent="0.35">
      <c r="A98" t="str">
        <f>COUNTIFS($K$6:K98,K98)&amp;K98</f>
        <v>26OUT</v>
      </c>
      <c r="B98" s="9">
        <v>90</v>
      </c>
      <c r="C98" s="8" t="s">
        <v>158</v>
      </c>
      <c r="D98" s="10" t="s">
        <v>336</v>
      </c>
      <c r="E98" s="8" t="s">
        <v>342</v>
      </c>
      <c r="F98" s="8" t="s">
        <v>436</v>
      </c>
      <c r="G98" s="8" t="s">
        <v>281</v>
      </c>
      <c r="H98" s="8" t="s">
        <v>232</v>
      </c>
      <c r="I98" s="10" t="s">
        <v>3</v>
      </c>
      <c r="J98" s="10" t="s">
        <v>67</v>
      </c>
      <c r="K98" s="42" t="s">
        <v>494</v>
      </c>
      <c r="L98" s="42"/>
    </row>
    <row r="99" spans="1:12" ht="15.5" x14ac:dyDescent="0.35">
      <c r="A99" t="str">
        <f>COUNTIFS($K$6:K99,K99)&amp;K99</f>
        <v>27OUT</v>
      </c>
      <c r="B99" s="9">
        <v>91</v>
      </c>
      <c r="C99" s="8" t="s">
        <v>345</v>
      </c>
      <c r="D99" s="10" t="s">
        <v>12</v>
      </c>
      <c r="E99" s="8" t="s">
        <v>12</v>
      </c>
      <c r="F99" s="8" t="s">
        <v>442</v>
      </c>
      <c r="G99" s="8" t="s">
        <v>261</v>
      </c>
      <c r="H99" s="8">
        <v>0</v>
      </c>
      <c r="I99" s="10" t="s">
        <v>4</v>
      </c>
      <c r="J99" s="10" t="s">
        <v>67</v>
      </c>
      <c r="K99" s="42" t="s">
        <v>494</v>
      </c>
      <c r="L99" s="42"/>
    </row>
    <row r="100" spans="1:12" ht="15.5" x14ac:dyDescent="0.35">
      <c r="A100" t="str">
        <f>COUNTIFS($K$6:K100,K100)&amp;K100</f>
        <v>28OUT</v>
      </c>
      <c r="B100" s="9">
        <v>92</v>
      </c>
      <c r="C100" s="8" t="s">
        <v>159</v>
      </c>
      <c r="D100" s="10" t="s">
        <v>12</v>
      </c>
      <c r="E100" s="8" t="s">
        <v>12</v>
      </c>
      <c r="F100" s="8">
        <v>0</v>
      </c>
      <c r="G100" s="8">
        <v>0</v>
      </c>
      <c r="H100" s="8" t="s">
        <v>129</v>
      </c>
      <c r="I100" s="10" t="s">
        <v>126</v>
      </c>
      <c r="J100" s="10" t="s">
        <v>67</v>
      </c>
      <c r="K100" s="42" t="s">
        <v>494</v>
      </c>
      <c r="L100" s="42"/>
    </row>
    <row r="101" spans="1:12" ht="20.149999999999999" customHeight="1" x14ac:dyDescent="0.35">
      <c r="A101" t="str">
        <f>COUNTIFS($K$6:K101,K101)&amp;K101</f>
        <v>29OUT</v>
      </c>
      <c r="B101" s="9">
        <v>65</v>
      </c>
      <c r="C101" s="8" t="s">
        <v>497</v>
      </c>
      <c r="D101" s="10" t="s">
        <v>12</v>
      </c>
      <c r="E101" s="8" t="s">
        <v>12</v>
      </c>
      <c r="F101" s="8" t="s">
        <v>485</v>
      </c>
      <c r="G101" s="8" t="s">
        <v>498</v>
      </c>
      <c r="H101" s="8" t="s">
        <v>37</v>
      </c>
      <c r="I101" s="10" t="s">
        <v>126</v>
      </c>
      <c r="J101" s="10" t="s">
        <v>67</v>
      </c>
      <c r="K101" s="42" t="s">
        <v>494</v>
      </c>
      <c r="L101" s="42"/>
    </row>
  </sheetData>
  <autoFilter ref="B5:K69" xr:uid="{00000000-0009-0000-0000-000005000000}"/>
  <mergeCells count="3">
    <mergeCell ref="B3:K3"/>
    <mergeCell ref="B1:K1"/>
    <mergeCell ref="B2:K2"/>
  </mergeCells>
  <conditionalFormatting sqref="B94:J94 B101:I101">
    <cfRule type="expression" dxfId="2" priority="4">
      <formula>#REF!="Non Aktif"</formula>
    </cfRule>
  </conditionalFormatting>
  <conditionalFormatting sqref="B6:L71 B73:B101">
    <cfRule type="expression" dxfId="1" priority="1">
      <formula>#REF!="Non Aktif"</formula>
    </cfRule>
  </conditionalFormatting>
  <conditionalFormatting sqref="C73:K93 L73:L101 K94 C95:K100 J101:K101">
    <cfRule type="expression" dxfId="0" priority="2">
      <formula>$K73="Non Aktif"</formula>
    </cfRule>
  </conditionalFormatting>
  <dataValidations count="1">
    <dataValidation type="list" allowBlank="1" showInputMessage="1" showErrorMessage="1" sqref="Q3" xr:uid="{00000000-0002-0000-0500-000000000000}">
      <formula1>"I,II,III,IV,V,VI,VII,VIII,IX,X,OUT"</formula1>
    </dataValidation>
  </dataValidations>
  <pageMargins left="0.70866141732283472" right="0.70866141732283472" top="0.59055118110236227" bottom="0.59055118110236227" header="0.31496062992125984" footer="0.31496062992125984"/>
  <pageSetup paperSize="1000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375C-F552-4078-9F35-AF7718FA0C17}">
  <dimension ref="A1:F38"/>
  <sheetViews>
    <sheetView workbookViewId="0">
      <selection activeCell="E1" sqref="E1"/>
    </sheetView>
  </sheetViews>
  <sheetFormatPr defaultRowHeight="14.5" x14ac:dyDescent="0.35"/>
  <cols>
    <col min="1" max="1" width="12.36328125" bestFit="1" customWidth="1"/>
    <col min="2" max="2" width="30.54296875" bestFit="1" customWidth="1"/>
    <col min="3" max="3" width="10.7265625" customWidth="1"/>
    <col min="4" max="4" width="6" style="25" customWidth="1"/>
    <col min="5" max="5" width="18.453125" customWidth="1"/>
    <col min="6" max="6" width="19.453125" bestFit="1" customWidth="1"/>
    <col min="7" max="7" width="10.7265625" bestFit="1" customWidth="1"/>
  </cols>
  <sheetData>
    <row r="1" spans="1:5" x14ac:dyDescent="0.35">
      <c r="A1" t="s">
        <v>534</v>
      </c>
      <c r="B1" s="107" t="s">
        <v>528</v>
      </c>
      <c r="E1" s="130" t="s">
        <v>566</v>
      </c>
    </row>
    <row r="2" spans="1:5" x14ac:dyDescent="0.35">
      <c r="A2" s="18" t="s">
        <v>530</v>
      </c>
      <c r="B2" s="18" cm="1">
        <f t="array" ref="B2">SUM(COUNTIFS('Data Induk Pegawai'!K:K,{"Aktif";"Cuti"},'Data Induk Pegawai'!F:F,"L"))</f>
        <v>8</v>
      </c>
    </row>
    <row r="3" spans="1:5" x14ac:dyDescent="0.35">
      <c r="A3" s="18" t="s">
        <v>531</v>
      </c>
      <c r="B3" s="18" cm="1">
        <f t="array" ref="B3">SUM(COUNTIFS('Data Induk Pegawai'!K:K,{"Aktif";"Cuti"},'Data Induk Pegawai'!F:F,"P"))</f>
        <v>3</v>
      </c>
    </row>
    <row r="4" spans="1:5" x14ac:dyDescent="0.35">
      <c r="A4" s="18" t="s">
        <v>533</v>
      </c>
      <c r="B4" s="18">
        <f>SUM(B2:B3)</f>
        <v>11</v>
      </c>
    </row>
    <row r="6" spans="1:5" x14ac:dyDescent="0.35">
      <c r="A6" t="s">
        <v>534</v>
      </c>
      <c r="B6" s="107" t="s">
        <v>529</v>
      </c>
    </row>
    <row r="7" spans="1:5" x14ac:dyDescent="0.35">
      <c r="A7" s="18" t="s">
        <v>532</v>
      </c>
      <c r="B7" s="18" cm="1">
        <f t="array" ref="B7">SUM(COUNTIFS('Data Induk Pegawai'!K:K,{"Aktif";"Cuti"},'Data Induk Pegawai'!J:J,"MG"))</f>
        <v>0</v>
      </c>
    </row>
    <row r="8" spans="1:5" x14ac:dyDescent="0.35">
      <c r="A8" s="18" t="s">
        <v>4</v>
      </c>
      <c r="B8" s="18" cm="1">
        <f t="array" ref="B8">SUM(COUNTIFS('Data Induk Pegawai'!K:K,{"Aktif";"Cuti"},'Data Induk Pegawai'!J:J,A8))</f>
        <v>4</v>
      </c>
    </row>
    <row r="9" spans="1:5" x14ac:dyDescent="0.35">
      <c r="A9" s="18" t="s">
        <v>7</v>
      </c>
      <c r="B9" s="18" cm="1">
        <f t="array" ref="B9">SUM(COUNTIFS('Data Induk Pegawai'!K:K,{"Aktif";"Cuti"},'Data Induk Pegawai'!J:J,A9))</f>
        <v>2</v>
      </c>
    </row>
    <row r="10" spans="1:5" x14ac:dyDescent="0.35">
      <c r="A10" s="18" t="s">
        <v>3</v>
      </c>
      <c r="B10" s="18" cm="1">
        <f t="array" ref="B10">SUM(COUNTIFS('Data Induk Pegawai'!K:K,{"Aktif";"Cuti"},'Data Induk Pegawai'!J:J,A10))</f>
        <v>4</v>
      </c>
    </row>
    <row r="11" spans="1:5" x14ac:dyDescent="0.35">
      <c r="A11" s="18" t="s">
        <v>8</v>
      </c>
      <c r="B11" s="18" cm="1">
        <f t="array" ref="B11">SUM(COUNTIFS('Data Induk Pegawai'!K:K,{"Aktif";"Cuti"},'Data Induk Pegawai'!J:J,A11))</f>
        <v>1</v>
      </c>
    </row>
    <row r="12" spans="1:5" x14ac:dyDescent="0.35">
      <c r="A12" s="18" t="s">
        <v>533</v>
      </c>
      <c r="B12" s="18">
        <f>SUM(B7:B11)</f>
        <v>11</v>
      </c>
    </row>
    <row r="14" spans="1:5" x14ac:dyDescent="0.35">
      <c r="A14" t="s">
        <v>535</v>
      </c>
      <c r="B14" s="108">
        <f ca="1">C14</f>
        <v>45987.31434247685</v>
      </c>
      <c r="C14" s="109">
        <f ca="1">NOW()</f>
        <v>45987.31434247685</v>
      </c>
    </row>
    <row r="16" spans="1:5" x14ac:dyDescent="0.35">
      <c r="A16" t="s">
        <v>539</v>
      </c>
    </row>
    <row r="17" spans="1:6" x14ac:dyDescent="0.35">
      <c r="A17" s="112" t="s">
        <v>537</v>
      </c>
      <c r="B17" s="113" t="s">
        <v>248</v>
      </c>
      <c r="C17" s="113" t="s">
        <v>521</v>
      </c>
      <c r="D17" s="113" t="s">
        <v>0</v>
      </c>
      <c r="E17" s="113" t="s">
        <v>546</v>
      </c>
      <c r="F17" s="120" t="s">
        <v>551</v>
      </c>
    </row>
    <row r="18" spans="1:6" x14ac:dyDescent="0.35">
      <c r="A18" s="117" t="s">
        <v>549</v>
      </c>
      <c r="B18" s="118" t="s">
        <v>550</v>
      </c>
      <c r="C18" s="119">
        <f ca="1">IF(F18-'Kontrol Perpanjangan'!U8&lt;35,F18,"")</f>
        <v>45839</v>
      </c>
      <c r="D18" s="118">
        <f ca="1">IF(C18="",0,COUNTIFS(C$18:C18,"&gt;"&amp;0))</f>
        <v>1</v>
      </c>
      <c r="E18" s="118" t="str">
        <f ca="1">IF(D18=0,"",TEXT(C18,"DD/MM/YYYY")&amp;" Pembuatan SK "&amp;B18)</f>
        <v>01/07/2025 Pembuatan SK Perpanjangan GTY/PTY</v>
      </c>
      <c r="F18" s="121">
        <v>45839</v>
      </c>
    </row>
    <row r="19" spans="1:6" x14ac:dyDescent="0.35">
      <c r="A19" s="111">
        <v>1</v>
      </c>
      <c r="B19" s="18"/>
      <c r="C19" s="115"/>
      <c r="D19" s="110">
        <f>IF(C19="",0,COUNTIFS(C$18:C19,"&gt;"&amp;0))</f>
        <v>0</v>
      </c>
      <c r="E19" s="110" t="str">
        <f t="shared" ref="E19:E29" si="0">IF(D19=0,"",TEXT(C19,"DD/MM/YYYY")&amp;" Penilaian a.n "&amp;B19)</f>
        <v/>
      </c>
    </row>
    <row r="20" spans="1:6" x14ac:dyDescent="0.35">
      <c r="A20" s="111">
        <v>2</v>
      </c>
      <c r="B20" s="18"/>
      <c r="C20" s="115"/>
      <c r="D20" s="110">
        <f>IF(C20="",0,COUNTIFS(C$18:C20,"&gt;"&amp;0))</f>
        <v>0</v>
      </c>
      <c r="E20" s="110" t="str">
        <f t="shared" si="0"/>
        <v/>
      </c>
    </row>
    <row r="21" spans="1:6" x14ac:dyDescent="0.35">
      <c r="A21" s="111">
        <v>3</v>
      </c>
      <c r="B21" s="18"/>
      <c r="C21" s="115"/>
      <c r="D21" s="110">
        <f>IF(C21="",0,COUNTIFS(C$18:C21,"&gt;"&amp;0))</f>
        <v>0</v>
      </c>
      <c r="E21" s="110" t="str">
        <f t="shared" si="0"/>
        <v/>
      </c>
    </row>
    <row r="22" spans="1:6" x14ac:dyDescent="0.35">
      <c r="A22" s="111">
        <v>4</v>
      </c>
      <c r="B22" s="18"/>
      <c r="C22" s="115"/>
      <c r="D22" s="110">
        <f>IF(C22="",0,COUNTIFS(C$18:C22,"&gt;"&amp;0))</f>
        <v>0</v>
      </c>
      <c r="E22" s="110" t="str">
        <f t="shared" si="0"/>
        <v/>
      </c>
    </row>
    <row r="23" spans="1:6" x14ac:dyDescent="0.35">
      <c r="A23" s="111">
        <v>5</v>
      </c>
      <c r="B23" s="18"/>
      <c r="C23" s="115"/>
      <c r="D23" s="110">
        <f>IF(C23="",0,COUNTIFS(C$18:C23,"&gt;"&amp;0))</f>
        <v>0</v>
      </c>
      <c r="E23" s="110" t="str">
        <f t="shared" si="0"/>
        <v/>
      </c>
    </row>
    <row r="24" spans="1:6" x14ac:dyDescent="0.35">
      <c r="A24" s="111" t="s">
        <v>540</v>
      </c>
      <c r="B24" s="110" t="str">
        <f>IFERROR(VLOOKUP(A24,'Kontrol Perpanjangan'!V:X,2,FALSE),"")</f>
        <v/>
      </c>
      <c r="C24" s="116" t="str">
        <f>IFERROR(VLOOKUP(A24,'Kontrol Perpanjangan'!V:X,3,FALSE),"")</f>
        <v/>
      </c>
      <c r="D24" s="110">
        <f>IF(C24="",0,COUNTIFS(C$18:C24,"&gt;"&amp;0))</f>
        <v>0</v>
      </c>
      <c r="E24" s="110" t="str">
        <f t="shared" si="0"/>
        <v/>
      </c>
    </row>
    <row r="25" spans="1:6" x14ac:dyDescent="0.35">
      <c r="A25" s="111" t="s">
        <v>541</v>
      </c>
      <c r="B25" s="110" t="str">
        <f>IFERROR(VLOOKUP(A25,'Kontrol Perpanjangan'!V:X,2,FALSE),"")</f>
        <v/>
      </c>
      <c r="C25" s="116" t="str">
        <f>IFERROR(VLOOKUP(A25,'Kontrol Perpanjangan'!V:X,3,FALSE),"")</f>
        <v/>
      </c>
      <c r="D25" s="110">
        <f>IF(C25="",0,COUNTIFS(C$18:C25,"&gt;"&amp;0))</f>
        <v>0</v>
      </c>
      <c r="E25" s="110" t="str">
        <f t="shared" si="0"/>
        <v/>
      </c>
    </row>
    <row r="26" spans="1:6" x14ac:dyDescent="0.35">
      <c r="A26" s="111" t="s">
        <v>542</v>
      </c>
      <c r="B26" s="110" t="str">
        <f>IFERROR(VLOOKUP(A26,'Kontrol Perpanjangan'!V:X,2,FALSE),"")</f>
        <v/>
      </c>
      <c r="C26" s="116" t="str">
        <f>IFERROR(VLOOKUP(A26,'Kontrol Perpanjangan'!V:X,3,FALSE),"")</f>
        <v/>
      </c>
      <c r="D26" s="110">
        <f>IF(C26="",0,COUNTIFS(C$18:C26,"&gt;"&amp;0))</f>
        <v>0</v>
      </c>
      <c r="E26" s="110" t="str">
        <f t="shared" si="0"/>
        <v/>
      </c>
    </row>
    <row r="27" spans="1:6" x14ac:dyDescent="0.35">
      <c r="A27" s="111" t="s">
        <v>543</v>
      </c>
      <c r="B27" s="110" t="str">
        <f>IFERROR(VLOOKUP(A27,'Kontrol Perpanjangan'!V:X,2,FALSE),"")</f>
        <v/>
      </c>
      <c r="C27" s="116" t="str">
        <f>IFERROR(VLOOKUP(A27,'Kontrol Perpanjangan'!V:X,3,FALSE),"")</f>
        <v/>
      </c>
      <c r="D27" s="110">
        <f>IF(C27="",0,COUNTIFS(C$18:C27,"&gt;"&amp;0))</f>
        <v>0</v>
      </c>
      <c r="E27" s="110" t="str">
        <f t="shared" si="0"/>
        <v/>
      </c>
    </row>
    <row r="28" spans="1:6" x14ac:dyDescent="0.35">
      <c r="A28" s="111" t="s">
        <v>544</v>
      </c>
      <c r="B28" s="110" t="str">
        <f>IFERROR(VLOOKUP(A28,'Kontrol Perpanjangan'!V:X,2,FALSE),"")</f>
        <v/>
      </c>
      <c r="C28" s="116" t="str">
        <f>IFERROR(VLOOKUP(A28,'Kontrol Perpanjangan'!V:X,3,FALSE),"")</f>
        <v/>
      </c>
      <c r="D28" s="110">
        <f>IF(C28="",0,COUNTIFS(C$18:C28,"&gt;"&amp;0))</f>
        <v>0</v>
      </c>
      <c r="E28" s="110" t="str">
        <f t="shared" si="0"/>
        <v/>
      </c>
    </row>
    <row r="29" spans="1:6" x14ac:dyDescent="0.35">
      <c r="A29" s="111" t="s">
        <v>545</v>
      </c>
      <c r="B29" s="110" t="str">
        <f>IFERROR(VLOOKUP(A29,'Kontrol Perpanjangan'!V:X,2,FALSE),"")</f>
        <v/>
      </c>
      <c r="C29" s="116" t="str">
        <f>IFERROR(VLOOKUP(A29,'Kontrol Perpanjangan'!V:X,3,FALSE),"")</f>
        <v/>
      </c>
      <c r="D29" s="110">
        <f>IF(C29="",0,COUNTIFS(C$18:C29,"&gt;"&amp;0))</f>
        <v>0</v>
      </c>
      <c r="E29" s="110" t="str">
        <f t="shared" si="0"/>
        <v/>
      </c>
    </row>
    <row r="31" spans="1:6" x14ac:dyDescent="0.35">
      <c r="A31" s="114" t="s">
        <v>547</v>
      </c>
    </row>
    <row r="32" spans="1:6" x14ac:dyDescent="0.35">
      <c r="A32" s="114" t="s">
        <v>0</v>
      </c>
    </row>
    <row r="33" spans="1:2" x14ac:dyDescent="0.35">
      <c r="A33">
        <v>1</v>
      </c>
      <c r="B33" t="str">
        <f ca="1">IFERROR(VLOOKUP(A33,D17:E29,2,FALSE),"Tidak ada Pengangkatan dalam waktu dekat")</f>
        <v>01/07/2025 Pembuatan SK Perpanjangan GTY/PTY</v>
      </c>
    </row>
    <row r="34" spans="1:2" x14ac:dyDescent="0.35">
      <c r="A34">
        <v>2</v>
      </c>
      <c r="B34" t="str">
        <f ca="1">IFERROR(VLOOKUP(A34,D18:E30,2,FALSE),"")</f>
        <v/>
      </c>
    </row>
    <row r="35" spans="1:2" x14ac:dyDescent="0.35">
      <c r="A35">
        <v>3</v>
      </c>
      <c r="B35" t="str">
        <f t="shared" ref="B35:B37" si="1">IFERROR(VLOOKUP(A35,D20:E31,2,FALSE),"")</f>
        <v/>
      </c>
    </row>
    <row r="36" spans="1:2" x14ac:dyDescent="0.35">
      <c r="A36">
        <v>4</v>
      </c>
      <c r="B36" t="str">
        <f t="shared" si="1"/>
        <v/>
      </c>
    </row>
    <row r="37" spans="1:2" x14ac:dyDescent="0.35">
      <c r="A37">
        <v>5</v>
      </c>
      <c r="B37" t="str">
        <f t="shared" si="1"/>
        <v/>
      </c>
    </row>
    <row r="38" spans="1:2" x14ac:dyDescent="0.35">
      <c r="A38">
        <v>6</v>
      </c>
      <c r="B38" t="str">
        <f ca="1">IF(MAX(D18:D29)&gt;5,"Lihat selengkapnya di Kontrol Perpanjangan","")</f>
        <v/>
      </c>
    </row>
  </sheetData>
  <phoneticPr fontId="8" type="noConversion"/>
  <hyperlinks>
    <hyperlink ref="E1" location="Dashboard!A1" display="Back To Dashboard" xr:uid="{10674166-3FD0-488F-ADAB-176F197732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Dashboard</vt:lpstr>
      <vt:lpstr>REGISTER SK</vt:lpstr>
      <vt:lpstr>Draft SK</vt:lpstr>
      <vt:lpstr>Data Induk Pegawai</vt:lpstr>
      <vt:lpstr>Pegawai Aktif</vt:lpstr>
      <vt:lpstr>Kontrol Perpanjangan</vt:lpstr>
      <vt:lpstr>Rekap Simpan DIP</vt:lpstr>
      <vt:lpstr>data dashboard</vt:lpstr>
      <vt:lpstr>'Data Induk Pegawai'!Print_Area</vt:lpstr>
      <vt:lpstr>'REGISTER SK'!Print_Area</vt:lpstr>
      <vt:lpstr>'Rekap Simpan DIP'!Print_Area</vt:lpstr>
      <vt:lpstr>'Data Induk Pegawai'!Print_Titles</vt:lpstr>
      <vt:lpstr>'Pegawai Aktif'!Print_Titles</vt:lpstr>
      <vt:lpstr>'REGISTER SK'!Print_Titles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asus_e14080524@outlook.com</cp:lastModifiedBy>
  <cp:lastPrinted>2025-05-03T05:56:05Z</cp:lastPrinted>
  <dcterms:created xsi:type="dcterms:W3CDTF">2015-08-04T02:39:29Z</dcterms:created>
  <dcterms:modified xsi:type="dcterms:W3CDTF">2025-11-26T00:32:47Z</dcterms:modified>
</cp:coreProperties>
</file>